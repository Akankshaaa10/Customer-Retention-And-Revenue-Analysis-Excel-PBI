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13_ncr:1_{AE72CBCF-AA74-48B6-BA12-1275C873EE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1" r:id="rId1"/>
    <sheet name="Products" sheetId="2" r:id="rId2"/>
    <sheet name="Orders" sheetId="3" r:id="rId3"/>
    <sheet name="Marketing" sheetId="4" r:id="rId4"/>
    <sheet name="Metrics" sheetId="5" r:id="rId5"/>
    <sheet name="Pivot1" sheetId="6" r:id="rId6"/>
    <sheet name="Pivot2" sheetId="7" r:id="rId7"/>
    <sheet name="Pivot3" sheetId="8" r:id="rId8"/>
    <sheet name="Pivot4" sheetId="9" r:id="rId9"/>
    <sheet name="Pivot5" sheetId="10" r:id="rId10"/>
  </sheets>
  <definedNames>
    <definedName name="_xlnm._FilterDatabase" localSheetId="0" hidden="1">Customers!$A$1:$F$1201</definedName>
    <definedName name="_xlnm._FilterDatabase" localSheetId="3" hidden="1">Marketing!$A$1:$D$101</definedName>
    <definedName name="_xlnm._FilterDatabase" localSheetId="2" hidden="1">Orders!$A$1:$K$2080</definedName>
    <definedName name="_xlnm._FilterDatabase" localSheetId="1" hidden="1">Products!$A$1:$D$81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" l="1"/>
  <c r="G3" i="4"/>
  <c r="B12" i="5"/>
  <c r="E7" i="8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B4" i="5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" i="3"/>
  <c r="J93" i="3"/>
  <c r="J94" i="3"/>
  <c r="J95" i="3"/>
  <c r="J148" i="3"/>
  <c r="J158" i="3"/>
  <c r="J228" i="3"/>
  <c r="J231" i="3"/>
  <c r="J238" i="3"/>
  <c r="J276" i="3"/>
  <c r="J300" i="3"/>
  <c r="J310" i="3"/>
  <c r="J375" i="3"/>
  <c r="J391" i="3"/>
  <c r="J420" i="3"/>
  <c r="J438" i="3"/>
  <c r="J463" i="3"/>
  <c r="J484" i="3"/>
  <c r="J519" i="3"/>
  <c r="J534" i="3"/>
  <c r="J590" i="3"/>
  <c r="J615" i="3"/>
  <c r="J622" i="3"/>
  <c r="J788" i="3"/>
  <c r="J940" i="3"/>
  <c r="J950" i="3"/>
  <c r="J959" i="3"/>
  <c r="J966" i="3"/>
  <c r="J998" i="3"/>
  <c r="J1014" i="3"/>
  <c r="J1015" i="3"/>
  <c r="J1046" i="3"/>
  <c r="J1047" i="3"/>
  <c r="J1055" i="3"/>
  <c r="J1087" i="3"/>
  <c r="J1102" i="3"/>
  <c r="J1134" i="3"/>
  <c r="J1135" i="3"/>
  <c r="J1136" i="3"/>
  <c r="J1174" i="3"/>
  <c r="J1175" i="3"/>
  <c r="J1230" i="3"/>
  <c r="J1231" i="3"/>
  <c r="J1262" i="3"/>
  <c r="J1263" i="3"/>
  <c r="J1264" i="3"/>
  <c r="J1318" i="3"/>
  <c r="J1366" i="3"/>
  <c r="J1397" i="3"/>
  <c r="J1398" i="3"/>
  <c r="J1414" i="3"/>
  <c r="J1422" i="3"/>
  <c r="J1462" i="3"/>
  <c r="J1463" i="3"/>
  <c r="J1493" i="3"/>
  <c r="J1494" i="3"/>
  <c r="J1510" i="3"/>
  <c r="J1518" i="3"/>
  <c r="J1558" i="3"/>
  <c r="J1606" i="3"/>
  <c r="J1614" i="3"/>
  <c r="J1615" i="3"/>
  <c r="J1663" i="3"/>
  <c r="J1664" i="3"/>
  <c r="J1702" i="3"/>
  <c r="J1710" i="3"/>
  <c r="J1750" i="3"/>
  <c r="J1751" i="3"/>
  <c r="J1799" i="3"/>
  <c r="J1800" i="3"/>
  <c r="J1842" i="3"/>
  <c r="J1871" i="3"/>
  <c r="J1895" i="3"/>
  <c r="J1951" i="3"/>
  <c r="J2007" i="3"/>
  <c r="J2008" i="3"/>
  <c r="J2079" i="3"/>
  <c r="J2080" i="3"/>
  <c r="H3" i="3"/>
  <c r="J3" i="3" s="1"/>
  <c r="H4" i="3"/>
  <c r="J4" i="3" s="1"/>
  <c r="H5" i="3"/>
  <c r="J5" i="3" s="1"/>
  <c r="H6" i="3"/>
  <c r="J6" i="3" s="1"/>
  <c r="H7" i="3"/>
  <c r="J7" i="3" s="1"/>
  <c r="H8" i="3"/>
  <c r="J8" i="3" s="1"/>
  <c r="H9" i="3"/>
  <c r="J9" i="3" s="1"/>
  <c r="H10" i="3"/>
  <c r="J10" i="3" s="1"/>
  <c r="H11" i="3"/>
  <c r="J11" i="3" s="1"/>
  <c r="H12" i="3"/>
  <c r="J12" i="3" s="1"/>
  <c r="H13" i="3"/>
  <c r="J13" i="3" s="1"/>
  <c r="H14" i="3"/>
  <c r="J14" i="3" s="1"/>
  <c r="H15" i="3"/>
  <c r="J15" i="3" s="1"/>
  <c r="H16" i="3"/>
  <c r="J16" i="3" s="1"/>
  <c r="H17" i="3"/>
  <c r="J17" i="3" s="1"/>
  <c r="H18" i="3"/>
  <c r="J18" i="3" s="1"/>
  <c r="H19" i="3"/>
  <c r="J19" i="3" s="1"/>
  <c r="H20" i="3"/>
  <c r="J20" i="3" s="1"/>
  <c r="H21" i="3"/>
  <c r="J21" i="3" s="1"/>
  <c r="H22" i="3"/>
  <c r="J22" i="3" s="1"/>
  <c r="H23" i="3"/>
  <c r="J23" i="3" s="1"/>
  <c r="H24" i="3"/>
  <c r="J24" i="3" s="1"/>
  <c r="H25" i="3"/>
  <c r="J25" i="3" s="1"/>
  <c r="H26" i="3"/>
  <c r="J26" i="3" s="1"/>
  <c r="H27" i="3"/>
  <c r="J27" i="3" s="1"/>
  <c r="H28" i="3"/>
  <c r="J28" i="3" s="1"/>
  <c r="H29" i="3"/>
  <c r="J29" i="3" s="1"/>
  <c r="H30" i="3"/>
  <c r="J30" i="3" s="1"/>
  <c r="H31" i="3"/>
  <c r="J31" i="3" s="1"/>
  <c r="H32" i="3"/>
  <c r="J32" i="3" s="1"/>
  <c r="H33" i="3"/>
  <c r="J33" i="3" s="1"/>
  <c r="H34" i="3"/>
  <c r="J34" i="3" s="1"/>
  <c r="H35" i="3"/>
  <c r="J35" i="3" s="1"/>
  <c r="H36" i="3"/>
  <c r="J36" i="3" s="1"/>
  <c r="H37" i="3"/>
  <c r="J37" i="3" s="1"/>
  <c r="H38" i="3"/>
  <c r="J38" i="3" s="1"/>
  <c r="H39" i="3"/>
  <c r="J39" i="3" s="1"/>
  <c r="H40" i="3"/>
  <c r="J40" i="3" s="1"/>
  <c r="H41" i="3"/>
  <c r="J41" i="3" s="1"/>
  <c r="H42" i="3"/>
  <c r="J42" i="3" s="1"/>
  <c r="H43" i="3"/>
  <c r="J43" i="3" s="1"/>
  <c r="H44" i="3"/>
  <c r="J44" i="3" s="1"/>
  <c r="H45" i="3"/>
  <c r="J45" i="3" s="1"/>
  <c r="H46" i="3"/>
  <c r="J46" i="3" s="1"/>
  <c r="H47" i="3"/>
  <c r="J47" i="3" s="1"/>
  <c r="H48" i="3"/>
  <c r="J48" i="3" s="1"/>
  <c r="H49" i="3"/>
  <c r="J49" i="3" s="1"/>
  <c r="H50" i="3"/>
  <c r="J50" i="3" s="1"/>
  <c r="H51" i="3"/>
  <c r="J51" i="3" s="1"/>
  <c r="H52" i="3"/>
  <c r="J52" i="3" s="1"/>
  <c r="H53" i="3"/>
  <c r="J53" i="3" s="1"/>
  <c r="H54" i="3"/>
  <c r="J54" i="3" s="1"/>
  <c r="H55" i="3"/>
  <c r="J55" i="3" s="1"/>
  <c r="H56" i="3"/>
  <c r="J56" i="3" s="1"/>
  <c r="H57" i="3"/>
  <c r="J57" i="3" s="1"/>
  <c r="H58" i="3"/>
  <c r="J58" i="3" s="1"/>
  <c r="H59" i="3"/>
  <c r="J59" i="3" s="1"/>
  <c r="H60" i="3"/>
  <c r="J60" i="3" s="1"/>
  <c r="H61" i="3"/>
  <c r="J61" i="3" s="1"/>
  <c r="H62" i="3"/>
  <c r="J62" i="3" s="1"/>
  <c r="H63" i="3"/>
  <c r="J63" i="3" s="1"/>
  <c r="H64" i="3"/>
  <c r="J64" i="3" s="1"/>
  <c r="H65" i="3"/>
  <c r="J65" i="3" s="1"/>
  <c r="H66" i="3"/>
  <c r="J66" i="3" s="1"/>
  <c r="H67" i="3"/>
  <c r="J67" i="3" s="1"/>
  <c r="H68" i="3"/>
  <c r="J68" i="3" s="1"/>
  <c r="H69" i="3"/>
  <c r="J69" i="3" s="1"/>
  <c r="H70" i="3"/>
  <c r="J70" i="3" s="1"/>
  <c r="H71" i="3"/>
  <c r="J71" i="3" s="1"/>
  <c r="H72" i="3"/>
  <c r="J72" i="3" s="1"/>
  <c r="H73" i="3"/>
  <c r="J73" i="3" s="1"/>
  <c r="H74" i="3"/>
  <c r="J74" i="3" s="1"/>
  <c r="H75" i="3"/>
  <c r="J75" i="3" s="1"/>
  <c r="H76" i="3"/>
  <c r="J76" i="3" s="1"/>
  <c r="H77" i="3"/>
  <c r="J77" i="3" s="1"/>
  <c r="H78" i="3"/>
  <c r="J78" i="3" s="1"/>
  <c r="H79" i="3"/>
  <c r="J79" i="3" s="1"/>
  <c r="H80" i="3"/>
  <c r="J80" i="3" s="1"/>
  <c r="H81" i="3"/>
  <c r="J81" i="3" s="1"/>
  <c r="H82" i="3"/>
  <c r="J82" i="3" s="1"/>
  <c r="H83" i="3"/>
  <c r="J83" i="3" s="1"/>
  <c r="H84" i="3"/>
  <c r="J84" i="3" s="1"/>
  <c r="H85" i="3"/>
  <c r="J85" i="3" s="1"/>
  <c r="H86" i="3"/>
  <c r="J86" i="3" s="1"/>
  <c r="H87" i="3"/>
  <c r="J87" i="3" s="1"/>
  <c r="H88" i="3"/>
  <c r="J88" i="3" s="1"/>
  <c r="H89" i="3"/>
  <c r="J89" i="3" s="1"/>
  <c r="H90" i="3"/>
  <c r="J90" i="3" s="1"/>
  <c r="H91" i="3"/>
  <c r="J91" i="3" s="1"/>
  <c r="H92" i="3"/>
  <c r="J92" i="3" s="1"/>
  <c r="H93" i="3"/>
  <c r="H94" i="3"/>
  <c r="H95" i="3"/>
  <c r="H96" i="3"/>
  <c r="J96" i="3" s="1"/>
  <c r="H97" i="3"/>
  <c r="J97" i="3" s="1"/>
  <c r="H98" i="3"/>
  <c r="J98" i="3" s="1"/>
  <c r="H99" i="3"/>
  <c r="J99" i="3" s="1"/>
  <c r="H100" i="3"/>
  <c r="J100" i="3" s="1"/>
  <c r="H101" i="3"/>
  <c r="J101" i="3" s="1"/>
  <c r="H102" i="3"/>
  <c r="J102" i="3" s="1"/>
  <c r="H103" i="3"/>
  <c r="J103" i="3" s="1"/>
  <c r="H104" i="3"/>
  <c r="J104" i="3" s="1"/>
  <c r="H105" i="3"/>
  <c r="J105" i="3" s="1"/>
  <c r="H106" i="3"/>
  <c r="J106" i="3" s="1"/>
  <c r="H107" i="3"/>
  <c r="J107" i="3" s="1"/>
  <c r="H108" i="3"/>
  <c r="J108" i="3" s="1"/>
  <c r="H109" i="3"/>
  <c r="J109" i="3" s="1"/>
  <c r="H110" i="3"/>
  <c r="J110" i="3" s="1"/>
  <c r="H111" i="3"/>
  <c r="J111" i="3" s="1"/>
  <c r="H112" i="3"/>
  <c r="J112" i="3" s="1"/>
  <c r="H113" i="3"/>
  <c r="J113" i="3" s="1"/>
  <c r="H114" i="3"/>
  <c r="J114" i="3" s="1"/>
  <c r="H115" i="3"/>
  <c r="J115" i="3" s="1"/>
  <c r="H116" i="3"/>
  <c r="J116" i="3" s="1"/>
  <c r="H117" i="3"/>
  <c r="J117" i="3" s="1"/>
  <c r="H118" i="3"/>
  <c r="J118" i="3" s="1"/>
  <c r="H119" i="3"/>
  <c r="J119" i="3" s="1"/>
  <c r="H120" i="3"/>
  <c r="J120" i="3" s="1"/>
  <c r="H121" i="3"/>
  <c r="J121" i="3" s="1"/>
  <c r="H122" i="3"/>
  <c r="J122" i="3" s="1"/>
  <c r="H123" i="3"/>
  <c r="J123" i="3" s="1"/>
  <c r="H124" i="3"/>
  <c r="J124" i="3" s="1"/>
  <c r="H125" i="3"/>
  <c r="J125" i="3" s="1"/>
  <c r="H126" i="3"/>
  <c r="J126" i="3" s="1"/>
  <c r="H127" i="3"/>
  <c r="J127" i="3" s="1"/>
  <c r="H128" i="3"/>
  <c r="J128" i="3" s="1"/>
  <c r="H129" i="3"/>
  <c r="J129" i="3" s="1"/>
  <c r="H130" i="3"/>
  <c r="J130" i="3" s="1"/>
  <c r="H131" i="3"/>
  <c r="J131" i="3" s="1"/>
  <c r="H132" i="3"/>
  <c r="J132" i="3" s="1"/>
  <c r="H133" i="3"/>
  <c r="J133" i="3" s="1"/>
  <c r="H134" i="3"/>
  <c r="J134" i="3" s="1"/>
  <c r="H135" i="3"/>
  <c r="J135" i="3" s="1"/>
  <c r="H136" i="3"/>
  <c r="J136" i="3" s="1"/>
  <c r="H137" i="3"/>
  <c r="J137" i="3" s="1"/>
  <c r="H138" i="3"/>
  <c r="J138" i="3" s="1"/>
  <c r="H139" i="3"/>
  <c r="J139" i="3" s="1"/>
  <c r="H140" i="3"/>
  <c r="J140" i="3" s="1"/>
  <c r="H141" i="3"/>
  <c r="J141" i="3" s="1"/>
  <c r="H142" i="3"/>
  <c r="J142" i="3" s="1"/>
  <c r="H143" i="3"/>
  <c r="J143" i="3" s="1"/>
  <c r="H144" i="3"/>
  <c r="J144" i="3" s="1"/>
  <c r="H145" i="3"/>
  <c r="J145" i="3" s="1"/>
  <c r="H146" i="3"/>
  <c r="J146" i="3" s="1"/>
  <c r="H147" i="3"/>
  <c r="J147" i="3" s="1"/>
  <c r="H148" i="3"/>
  <c r="H149" i="3"/>
  <c r="J149" i="3" s="1"/>
  <c r="H150" i="3"/>
  <c r="J150" i="3" s="1"/>
  <c r="H151" i="3"/>
  <c r="J151" i="3" s="1"/>
  <c r="H152" i="3"/>
  <c r="J152" i="3" s="1"/>
  <c r="H153" i="3"/>
  <c r="J153" i="3" s="1"/>
  <c r="H154" i="3"/>
  <c r="J154" i="3" s="1"/>
  <c r="H155" i="3"/>
  <c r="J155" i="3" s="1"/>
  <c r="H156" i="3"/>
  <c r="J156" i="3" s="1"/>
  <c r="H157" i="3"/>
  <c r="J157" i="3" s="1"/>
  <c r="H158" i="3"/>
  <c r="H159" i="3"/>
  <c r="J159" i="3" s="1"/>
  <c r="H160" i="3"/>
  <c r="J160" i="3" s="1"/>
  <c r="H161" i="3"/>
  <c r="J161" i="3" s="1"/>
  <c r="H162" i="3"/>
  <c r="J162" i="3" s="1"/>
  <c r="H163" i="3"/>
  <c r="J163" i="3" s="1"/>
  <c r="H164" i="3"/>
  <c r="J164" i="3" s="1"/>
  <c r="H165" i="3"/>
  <c r="J165" i="3" s="1"/>
  <c r="H166" i="3"/>
  <c r="J166" i="3" s="1"/>
  <c r="H167" i="3"/>
  <c r="J167" i="3" s="1"/>
  <c r="H168" i="3"/>
  <c r="J168" i="3" s="1"/>
  <c r="H169" i="3"/>
  <c r="J169" i="3" s="1"/>
  <c r="H170" i="3"/>
  <c r="J170" i="3" s="1"/>
  <c r="H171" i="3"/>
  <c r="J171" i="3" s="1"/>
  <c r="H172" i="3"/>
  <c r="J172" i="3" s="1"/>
  <c r="H173" i="3"/>
  <c r="J173" i="3" s="1"/>
  <c r="H174" i="3"/>
  <c r="J174" i="3" s="1"/>
  <c r="H175" i="3"/>
  <c r="J175" i="3" s="1"/>
  <c r="H176" i="3"/>
  <c r="J176" i="3" s="1"/>
  <c r="H177" i="3"/>
  <c r="J177" i="3" s="1"/>
  <c r="H178" i="3"/>
  <c r="J178" i="3" s="1"/>
  <c r="H179" i="3"/>
  <c r="J179" i="3" s="1"/>
  <c r="H180" i="3"/>
  <c r="J180" i="3" s="1"/>
  <c r="H181" i="3"/>
  <c r="J181" i="3" s="1"/>
  <c r="H182" i="3"/>
  <c r="J182" i="3" s="1"/>
  <c r="H183" i="3"/>
  <c r="J183" i="3" s="1"/>
  <c r="H184" i="3"/>
  <c r="J184" i="3" s="1"/>
  <c r="H185" i="3"/>
  <c r="J185" i="3" s="1"/>
  <c r="H186" i="3"/>
  <c r="J186" i="3" s="1"/>
  <c r="H187" i="3"/>
  <c r="J187" i="3" s="1"/>
  <c r="H188" i="3"/>
  <c r="J188" i="3" s="1"/>
  <c r="H189" i="3"/>
  <c r="J189" i="3" s="1"/>
  <c r="H190" i="3"/>
  <c r="J190" i="3" s="1"/>
  <c r="H191" i="3"/>
  <c r="J191" i="3" s="1"/>
  <c r="H192" i="3"/>
  <c r="J192" i="3" s="1"/>
  <c r="H193" i="3"/>
  <c r="J193" i="3" s="1"/>
  <c r="H194" i="3"/>
  <c r="J194" i="3" s="1"/>
  <c r="H195" i="3"/>
  <c r="J195" i="3" s="1"/>
  <c r="H196" i="3"/>
  <c r="J196" i="3" s="1"/>
  <c r="H197" i="3"/>
  <c r="J197" i="3" s="1"/>
  <c r="H198" i="3"/>
  <c r="J198" i="3" s="1"/>
  <c r="H199" i="3"/>
  <c r="J199" i="3" s="1"/>
  <c r="H200" i="3"/>
  <c r="J200" i="3" s="1"/>
  <c r="H201" i="3"/>
  <c r="J201" i="3" s="1"/>
  <c r="H202" i="3"/>
  <c r="J202" i="3" s="1"/>
  <c r="H203" i="3"/>
  <c r="J203" i="3" s="1"/>
  <c r="H204" i="3"/>
  <c r="J204" i="3" s="1"/>
  <c r="H205" i="3"/>
  <c r="J205" i="3" s="1"/>
  <c r="H206" i="3"/>
  <c r="J206" i="3" s="1"/>
  <c r="H207" i="3"/>
  <c r="J207" i="3" s="1"/>
  <c r="H208" i="3"/>
  <c r="J208" i="3" s="1"/>
  <c r="H209" i="3"/>
  <c r="J209" i="3" s="1"/>
  <c r="H210" i="3"/>
  <c r="J210" i="3" s="1"/>
  <c r="H211" i="3"/>
  <c r="J211" i="3" s="1"/>
  <c r="H212" i="3"/>
  <c r="J212" i="3" s="1"/>
  <c r="H213" i="3"/>
  <c r="J213" i="3" s="1"/>
  <c r="H214" i="3"/>
  <c r="J214" i="3" s="1"/>
  <c r="H215" i="3"/>
  <c r="J215" i="3" s="1"/>
  <c r="H216" i="3"/>
  <c r="J216" i="3" s="1"/>
  <c r="H217" i="3"/>
  <c r="J217" i="3" s="1"/>
  <c r="H218" i="3"/>
  <c r="J218" i="3" s="1"/>
  <c r="H219" i="3"/>
  <c r="J219" i="3" s="1"/>
  <c r="H220" i="3"/>
  <c r="J220" i="3" s="1"/>
  <c r="H221" i="3"/>
  <c r="J221" i="3" s="1"/>
  <c r="H222" i="3"/>
  <c r="J222" i="3" s="1"/>
  <c r="H223" i="3"/>
  <c r="J223" i="3" s="1"/>
  <c r="H224" i="3"/>
  <c r="J224" i="3" s="1"/>
  <c r="H225" i="3"/>
  <c r="J225" i="3" s="1"/>
  <c r="H226" i="3"/>
  <c r="J226" i="3" s="1"/>
  <c r="H227" i="3"/>
  <c r="J227" i="3" s="1"/>
  <c r="H228" i="3"/>
  <c r="H229" i="3"/>
  <c r="J229" i="3" s="1"/>
  <c r="H230" i="3"/>
  <c r="J230" i="3" s="1"/>
  <c r="H231" i="3"/>
  <c r="H232" i="3"/>
  <c r="J232" i="3" s="1"/>
  <c r="H233" i="3"/>
  <c r="J233" i="3" s="1"/>
  <c r="H234" i="3"/>
  <c r="J234" i="3" s="1"/>
  <c r="H235" i="3"/>
  <c r="J235" i="3" s="1"/>
  <c r="H236" i="3"/>
  <c r="J236" i="3" s="1"/>
  <c r="H237" i="3"/>
  <c r="J237" i="3" s="1"/>
  <c r="H238" i="3"/>
  <c r="H239" i="3"/>
  <c r="J239" i="3" s="1"/>
  <c r="H240" i="3"/>
  <c r="J240" i="3" s="1"/>
  <c r="H241" i="3"/>
  <c r="J241" i="3" s="1"/>
  <c r="H242" i="3"/>
  <c r="J242" i="3" s="1"/>
  <c r="H243" i="3"/>
  <c r="J243" i="3" s="1"/>
  <c r="H244" i="3"/>
  <c r="J244" i="3" s="1"/>
  <c r="H245" i="3"/>
  <c r="J245" i="3" s="1"/>
  <c r="H246" i="3"/>
  <c r="J246" i="3" s="1"/>
  <c r="H247" i="3"/>
  <c r="J247" i="3" s="1"/>
  <c r="H248" i="3"/>
  <c r="J248" i="3" s="1"/>
  <c r="H249" i="3"/>
  <c r="J249" i="3" s="1"/>
  <c r="H250" i="3"/>
  <c r="J250" i="3" s="1"/>
  <c r="H251" i="3"/>
  <c r="J251" i="3" s="1"/>
  <c r="H252" i="3"/>
  <c r="J252" i="3" s="1"/>
  <c r="H253" i="3"/>
  <c r="J253" i="3" s="1"/>
  <c r="H254" i="3"/>
  <c r="J254" i="3" s="1"/>
  <c r="H255" i="3"/>
  <c r="J255" i="3" s="1"/>
  <c r="H256" i="3"/>
  <c r="J256" i="3" s="1"/>
  <c r="H257" i="3"/>
  <c r="J257" i="3" s="1"/>
  <c r="H258" i="3"/>
  <c r="J258" i="3" s="1"/>
  <c r="H259" i="3"/>
  <c r="J259" i="3" s="1"/>
  <c r="H260" i="3"/>
  <c r="J260" i="3" s="1"/>
  <c r="H261" i="3"/>
  <c r="J261" i="3" s="1"/>
  <c r="H262" i="3"/>
  <c r="J262" i="3" s="1"/>
  <c r="H263" i="3"/>
  <c r="J263" i="3" s="1"/>
  <c r="H264" i="3"/>
  <c r="J264" i="3" s="1"/>
  <c r="H265" i="3"/>
  <c r="J265" i="3" s="1"/>
  <c r="H266" i="3"/>
  <c r="J266" i="3" s="1"/>
  <c r="H267" i="3"/>
  <c r="J267" i="3" s="1"/>
  <c r="H268" i="3"/>
  <c r="J268" i="3" s="1"/>
  <c r="H269" i="3"/>
  <c r="J269" i="3" s="1"/>
  <c r="H270" i="3"/>
  <c r="J270" i="3" s="1"/>
  <c r="H271" i="3"/>
  <c r="J271" i="3" s="1"/>
  <c r="H272" i="3"/>
  <c r="J272" i="3" s="1"/>
  <c r="H273" i="3"/>
  <c r="J273" i="3" s="1"/>
  <c r="H274" i="3"/>
  <c r="J274" i="3" s="1"/>
  <c r="H275" i="3"/>
  <c r="J275" i="3" s="1"/>
  <c r="H276" i="3"/>
  <c r="H277" i="3"/>
  <c r="J277" i="3" s="1"/>
  <c r="H278" i="3"/>
  <c r="J278" i="3" s="1"/>
  <c r="H279" i="3"/>
  <c r="J279" i="3" s="1"/>
  <c r="H280" i="3"/>
  <c r="J280" i="3" s="1"/>
  <c r="H281" i="3"/>
  <c r="J281" i="3" s="1"/>
  <c r="H282" i="3"/>
  <c r="J282" i="3" s="1"/>
  <c r="H283" i="3"/>
  <c r="J283" i="3" s="1"/>
  <c r="H284" i="3"/>
  <c r="J284" i="3" s="1"/>
  <c r="H285" i="3"/>
  <c r="J285" i="3" s="1"/>
  <c r="H286" i="3"/>
  <c r="J286" i="3" s="1"/>
  <c r="H287" i="3"/>
  <c r="J287" i="3" s="1"/>
  <c r="H288" i="3"/>
  <c r="J288" i="3" s="1"/>
  <c r="H289" i="3"/>
  <c r="J289" i="3" s="1"/>
  <c r="H290" i="3"/>
  <c r="J290" i="3" s="1"/>
  <c r="H291" i="3"/>
  <c r="J291" i="3" s="1"/>
  <c r="H292" i="3"/>
  <c r="J292" i="3" s="1"/>
  <c r="H293" i="3"/>
  <c r="J293" i="3" s="1"/>
  <c r="H294" i="3"/>
  <c r="J294" i="3" s="1"/>
  <c r="H295" i="3"/>
  <c r="J295" i="3" s="1"/>
  <c r="H296" i="3"/>
  <c r="J296" i="3" s="1"/>
  <c r="H297" i="3"/>
  <c r="J297" i="3" s="1"/>
  <c r="H298" i="3"/>
  <c r="J298" i="3" s="1"/>
  <c r="H299" i="3"/>
  <c r="J299" i="3" s="1"/>
  <c r="H300" i="3"/>
  <c r="H301" i="3"/>
  <c r="J301" i="3" s="1"/>
  <c r="H302" i="3"/>
  <c r="J302" i="3" s="1"/>
  <c r="H303" i="3"/>
  <c r="J303" i="3" s="1"/>
  <c r="H304" i="3"/>
  <c r="J304" i="3" s="1"/>
  <c r="H305" i="3"/>
  <c r="J305" i="3" s="1"/>
  <c r="H306" i="3"/>
  <c r="J306" i="3" s="1"/>
  <c r="H307" i="3"/>
  <c r="J307" i="3" s="1"/>
  <c r="H308" i="3"/>
  <c r="J308" i="3" s="1"/>
  <c r="H309" i="3"/>
  <c r="J309" i="3" s="1"/>
  <c r="H310" i="3"/>
  <c r="H311" i="3"/>
  <c r="J311" i="3" s="1"/>
  <c r="H312" i="3"/>
  <c r="J312" i="3" s="1"/>
  <c r="H313" i="3"/>
  <c r="J313" i="3" s="1"/>
  <c r="H314" i="3"/>
  <c r="J314" i="3" s="1"/>
  <c r="H315" i="3"/>
  <c r="J315" i="3" s="1"/>
  <c r="H316" i="3"/>
  <c r="J316" i="3" s="1"/>
  <c r="H317" i="3"/>
  <c r="J317" i="3" s="1"/>
  <c r="H318" i="3"/>
  <c r="J318" i="3" s="1"/>
  <c r="H319" i="3"/>
  <c r="J319" i="3" s="1"/>
  <c r="H320" i="3"/>
  <c r="J320" i="3" s="1"/>
  <c r="H321" i="3"/>
  <c r="J321" i="3" s="1"/>
  <c r="H322" i="3"/>
  <c r="J322" i="3" s="1"/>
  <c r="H323" i="3"/>
  <c r="J323" i="3" s="1"/>
  <c r="H324" i="3"/>
  <c r="J324" i="3" s="1"/>
  <c r="H325" i="3"/>
  <c r="J325" i="3" s="1"/>
  <c r="H326" i="3"/>
  <c r="J326" i="3" s="1"/>
  <c r="H327" i="3"/>
  <c r="J327" i="3" s="1"/>
  <c r="H328" i="3"/>
  <c r="J328" i="3" s="1"/>
  <c r="H329" i="3"/>
  <c r="J329" i="3" s="1"/>
  <c r="H330" i="3"/>
  <c r="J330" i="3" s="1"/>
  <c r="H331" i="3"/>
  <c r="J331" i="3" s="1"/>
  <c r="H332" i="3"/>
  <c r="J332" i="3" s="1"/>
  <c r="H333" i="3"/>
  <c r="J333" i="3" s="1"/>
  <c r="H334" i="3"/>
  <c r="J334" i="3" s="1"/>
  <c r="H335" i="3"/>
  <c r="J335" i="3" s="1"/>
  <c r="H336" i="3"/>
  <c r="J336" i="3" s="1"/>
  <c r="H337" i="3"/>
  <c r="J337" i="3" s="1"/>
  <c r="H338" i="3"/>
  <c r="J338" i="3" s="1"/>
  <c r="H339" i="3"/>
  <c r="J339" i="3" s="1"/>
  <c r="H340" i="3"/>
  <c r="J340" i="3" s="1"/>
  <c r="H341" i="3"/>
  <c r="J341" i="3" s="1"/>
  <c r="H342" i="3"/>
  <c r="J342" i="3" s="1"/>
  <c r="H343" i="3"/>
  <c r="J343" i="3" s="1"/>
  <c r="H344" i="3"/>
  <c r="J344" i="3" s="1"/>
  <c r="H345" i="3"/>
  <c r="J345" i="3" s="1"/>
  <c r="H346" i="3"/>
  <c r="J346" i="3" s="1"/>
  <c r="H347" i="3"/>
  <c r="J347" i="3" s="1"/>
  <c r="H348" i="3"/>
  <c r="J348" i="3" s="1"/>
  <c r="H349" i="3"/>
  <c r="J349" i="3" s="1"/>
  <c r="H350" i="3"/>
  <c r="J350" i="3" s="1"/>
  <c r="H351" i="3"/>
  <c r="J351" i="3" s="1"/>
  <c r="H352" i="3"/>
  <c r="J352" i="3" s="1"/>
  <c r="H353" i="3"/>
  <c r="J353" i="3" s="1"/>
  <c r="H354" i="3"/>
  <c r="J354" i="3" s="1"/>
  <c r="H355" i="3"/>
  <c r="J355" i="3" s="1"/>
  <c r="H356" i="3"/>
  <c r="J356" i="3" s="1"/>
  <c r="H357" i="3"/>
  <c r="J357" i="3" s="1"/>
  <c r="H358" i="3"/>
  <c r="J358" i="3" s="1"/>
  <c r="H359" i="3"/>
  <c r="J359" i="3" s="1"/>
  <c r="H360" i="3"/>
  <c r="J360" i="3" s="1"/>
  <c r="H361" i="3"/>
  <c r="J361" i="3" s="1"/>
  <c r="H362" i="3"/>
  <c r="J362" i="3" s="1"/>
  <c r="H363" i="3"/>
  <c r="J363" i="3" s="1"/>
  <c r="H364" i="3"/>
  <c r="J364" i="3" s="1"/>
  <c r="H365" i="3"/>
  <c r="J365" i="3" s="1"/>
  <c r="H366" i="3"/>
  <c r="J366" i="3" s="1"/>
  <c r="H367" i="3"/>
  <c r="J367" i="3" s="1"/>
  <c r="H368" i="3"/>
  <c r="J368" i="3" s="1"/>
  <c r="H369" i="3"/>
  <c r="J369" i="3" s="1"/>
  <c r="H370" i="3"/>
  <c r="J370" i="3" s="1"/>
  <c r="H371" i="3"/>
  <c r="J371" i="3" s="1"/>
  <c r="H372" i="3"/>
  <c r="J372" i="3" s="1"/>
  <c r="H373" i="3"/>
  <c r="J373" i="3" s="1"/>
  <c r="H374" i="3"/>
  <c r="J374" i="3" s="1"/>
  <c r="H375" i="3"/>
  <c r="H376" i="3"/>
  <c r="J376" i="3" s="1"/>
  <c r="H377" i="3"/>
  <c r="J377" i="3" s="1"/>
  <c r="H378" i="3"/>
  <c r="J378" i="3" s="1"/>
  <c r="H379" i="3"/>
  <c r="J379" i="3" s="1"/>
  <c r="H380" i="3"/>
  <c r="J380" i="3" s="1"/>
  <c r="H381" i="3"/>
  <c r="J381" i="3" s="1"/>
  <c r="H382" i="3"/>
  <c r="J382" i="3" s="1"/>
  <c r="H383" i="3"/>
  <c r="J383" i="3" s="1"/>
  <c r="H384" i="3"/>
  <c r="J384" i="3" s="1"/>
  <c r="H385" i="3"/>
  <c r="J385" i="3" s="1"/>
  <c r="H386" i="3"/>
  <c r="J386" i="3" s="1"/>
  <c r="H387" i="3"/>
  <c r="J387" i="3" s="1"/>
  <c r="H388" i="3"/>
  <c r="J388" i="3" s="1"/>
  <c r="H389" i="3"/>
  <c r="J389" i="3" s="1"/>
  <c r="H390" i="3"/>
  <c r="J390" i="3" s="1"/>
  <c r="H391" i="3"/>
  <c r="H392" i="3"/>
  <c r="J392" i="3" s="1"/>
  <c r="H393" i="3"/>
  <c r="J393" i="3" s="1"/>
  <c r="H394" i="3"/>
  <c r="J394" i="3" s="1"/>
  <c r="H395" i="3"/>
  <c r="J395" i="3" s="1"/>
  <c r="H396" i="3"/>
  <c r="J396" i="3" s="1"/>
  <c r="H397" i="3"/>
  <c r="J397" i="3" s="1"/>
  <c r="H398" i="3"/>
  <c r="J398" i="3" s="1"/>
  <c r="H399" i="3"/>
  <c r="J399" i="3" s="1"/>
  <c r="H400" i="3"/>
  <c r="J400" i="3" s="1"/>
  <c r="H401" i="3"/>
  <c r="J401" i="3" s="1"/>
  <c r="H402" i="3"/>
  <c r="J402" i="3" s="1"/>
  <c r="H403" i="3"/>
  <c r="J403" i="3" s="1"/>
  <c r="H404" i="3"/>
  <c r="J404" i="3" s="1"/>
  <c r="H405" i="3"/>
  <c r="J405" i="3" s="1"/>
  <c r="H406" i="3"/>
  <c r="J406" i="3" s="1"/>
  <c r="H407" i="3"/>
  <c r="J407" i="3" s="1"/>
  <c r="H408" i="3"/>
  <c r="J408" i="3" s="1"/>
  <c r="H409" i="3"/>
  <c r="J409" i="3" s="1"/>
  <c r="H410" i="3"/>
  <c r="J410" i="3" s="1"/>
  <c r="H411" i="3"/>
  <c r="J411" i="3" s="1"/>
  <c r="H412" i="3"/>
  <c r="J412" i="3" s="1"/>
  <c r="H413" i="3"/>
  <c r="J413" i="3" s="1"/>
  <c r="H414" i="3"/>
  <c r="J414" i="3" s="1"/>
  <c r="H415" i="3"/>
  <c r="J415" i="3" s="1"/>
  <c r="H416" i="3"/>
  <c r="J416" i="3" s="1"/>
  <c r="H417" i="3"/>
  <c r="J417" i="3" s="1"/>
  <c r="H418" i="3"/>
  <c r="J418" i="3" s="1"/>
  <c r="H419" i="3"/>
  <c r="J419" i="3" s="1"/>
  <c r="H420" i="3"/>
  <c r="H421" i="3"/>
  <c r="J421" i="3" s="1"/>
  <c r="H422" i="3"/>
  <c r="J422" i="3" s="1"/>
  <c r="H423" i="3"/>
  <c r="J423" i="3" s="1"/>
  <c r="H424" i="3"/>
  <c r="J424" i="3" s="1"/>
  <c r="H425" i="3"/>
  <c r="J425" i="3" s="1"/>
  <c r="H426" i="3"/>
  <c r="J426" i="3" s="1"/>
  <c r="H427" i="3"/>
  <c r="J427" i="3" s="1"/>
  <c r="H428" i="3"/>
  <c r="J428" i="3" s="1"/>
  <c r="H429" i="3"/>
  <c r="J429" i="3" s="1"/>
  <c r="H430" i="3"/>
  <c r="J430" i="3" s="1"/>
  <c r="H431" i="3"/>
  <c r="J431" i="3" s="1"/>
  <c r="H432" i="3"/>
  <c r="J432" i="3" s="1"/>
  <c r="H433" i="3"/>
  <c r="J433" i="3" s="1"/>
  <c r="H434" i="3"/>
  <c r="J434" i="3" s="1"/>
  <c r="H435" i="3"/>
  <c r="J435" i="3" s="1"/>
  <c r="H436" i="3"/>
  <c r="J436" i="3" s="1"/>
  <c r="H437" i="3"/>
  <c r="J437" i="3" s="1"/>
  <c r="H438" i="3"/>
  <c r="H439" i="3"/>
  <c r="J439" i="3" s="1"/>
  <c r="H440" i="3"/>
  <c r="J440" i="3" s="1"/>
  <c r="H441" i="3"/>
  <c r="J441" i="3" s="1"/>
  <c r="H442" i="3"/>
  <c r="J442" i="3" s="1"/>
  <c r="H443" i="3"/>
  <c r="J443" i="3" s="1"/>
  <c r="H444" i="3"/>
  <c r="J444" i="3" s="1"/>
  <c r="H445" i="3"/>
  <c r="J445" i="3" s="1"/>
  <c r="H446" i="3"/>
  <c r="J446" i="3" s="1"/>
  <c r="H447" i="3"/>
  <c r="J447" i="3" s="1"/>
  <c r="H448" i="3"/>
  <c r="J448" i="3" s="1"/>
  <c r="H449" i="3"/>
  <c r="J449" i="3" s="1"/>
  <c r="H450" i="3"/>
  <c r="J450" i="3" s="1"/>
  <c r="H451" i="3"/>
  <c r="J451" i="3" s="1"/>
  <c r="H452" i="3"/>
  <c r="J452" i="3" s="1"/>
  <c r="H453" i="3"/>
  <c r="J453" i="3" s="1"/>
  <c r="H454" i="3"/>
  <c r="J454" i="3" s="1"/>
  <c r="H455" i="3"/>
  <c r="J455" i="3" s="1"/>
  <c r="H456" i="3"/>
  <c r="J456" i="3" s="1"/>
  <c r="H457" i="3"/>
  <c r="J457" i="3" s="1"/>
  <c r="H458" i="3"/>
  <c r="J458" i="3" s="1"/>
  <c r="H459" i="3"/>
  <c r="J459" i="3" s="1"/>
  <c r="H460" i="3"/>
  <c r="J460" i="3" s="1"/>
  <c r="H461" i="3"/>
  <c r="J461" i="3" s="1"/>
  <c r="H462" i="3"/>
  <c r="J462" i="3" s="1"/>
  <c r="H463" i="3"/>
  <c r="H464" i="3"/>
  <c r="J464" i="3" s="1"/>
  <c r="H465" i="3"/>
  <c r="J465" i="3" s="1"/>
  <c r="H466" i="3"/>
  <c r="J466" i="3" s="1"/>
  <c r="H467" i="3"/>
  <c r="J467" i="3" s="1"/>
  <c r="H468" i="3"/>
  <c r="J468" i="3" s="1"/>
  <c r="H469" i="3"/>
  <c r="J469" i="3" s="1"/>
  <c r="H470" i="3"/>
  <c r="J470" i="3" s="1"/>
  <c r="H471" i="3"/>
  <c r="J471" i="3" s="1"/>
  <c r="H472" i="3"/>
  <c r="J472" i="3" s="1"/>
  <c r="H473" i="3"/>
  <c r="J473" i="3" s="1"/>
  <c r="H474" i="3"/>
  <c r="J474" i="3" s="1"/>
  <c r="H475" i="3"/>
  <c r="J475" i="3" s="1"/>
  <c r="H476" i="3"/>
  <c r="J476" i="3" s="1"/>
  <c r="H477" i="3"/>
  <c r="J477" i="3" s="1"/>
  <c r="H478" i="3"/>
  <c r="J478" i="3" s="1"/>
  <c r="H479" i="3"/>
  <c r="J479" i="3" s="1"/>
  <c r="H480" i="3"/>
  <c r="J480" i="3" s="1"/>
  <c r="H481" i="3"/>
  <c r="J481" i="3" s="1"/>
  <c r="H482" i="3"/>
  <c r="J482" i="3" s="1"/>
  <c r="H483" i="3"/>
  <c r="J483" i="3" s="1"/>
  <c r="H484" i="3"/>
  <c r="H485" i="3"/>
  <c r="J485" i="3" s="1"/>
  <c r="H486" i="3"/>
  <c r="J486" i="3" s="1"/>
  <c r="H487" i="3"/>
  <c r="J487" i="3" s="1"/>
  <c r="H488" i="3"/>
  <c r="J488" i="3" s="1"/>
  <c r="H489" i="3"/>
  <c r="J489" i="3" s="1"/>
  <c r="H490" i="3"/>
  <c r="J490" i="3" s="1"/>
  <c r="H491" i="3"/>
  <c r="J491" i="3" s="1"/>
  <c r="H492" i="3"/>
  <c r="J492" i="3" s="1"/>
  <c r="H493" i="3"/>
  <c r="J493" i="3" s="1"/>
  <c r="H494" i="3"/>
  <c r="J494" i="3" s="1"/>
  <c r="H495" i="3"/>
  <c r="J495" i="3" s="1"/>
  <c r="H496" i="3"/>
  <c r="J496" i="3" s="1"/>
  <c r="H497" i="3"/>
  <c r="J497" i="3" s="1"/>
  <c r="H498" i="3"/>
  <c r="J498" i="3" s="1"/>
  <c r="H499" i="3"/>
  <c r="J499" i="3" s="1"/>
  <c r="H500" i="3"/>
  <c r="J500" i="3" s="1"/>
  <c r="H501" i="3"/>
  <c r="J501" i="3" s="1"/>
  <c r="H502" i="3"/>
  <c r="J502" i="3" s="1"/>
  <c r="H503" i="3"/>
  <c r="J503" i="3" s="1"/>
  <c r="H504" i="3"/>
  <c r="J504" i="3" s="1"/>
  <c r="H505" i="3"/>
  <c r="J505" i="3" s="1"/>
  <c r="H506" i="3"/>
  <c r="J506" i="3" s="1"/>
  <c r="H507" i="3"/>
  <c r="J507" i="3" s="1"/>
  <c r="H508" i="3"/>
  <c r="J508" i="3" s="1"/>
  <c r="H509" i="3"/>
  <c r="J509" i="3" s="1"/>
  <c r="H510" i="3"/>
  <c r="J510" i="3" s="1"/>
  <c r="H511" i="3"/>
  <c r="J511" i="3" s="1"/>
  <c r="H512" i="3"/>
  <c r="J512" i="3" s="1"/>
  <c r="H513" i="3"/>
  <c r="J513" i="3" s="1"/>
  <c r="H514" i="3"/>
  <c r="J514" i="3" s="1"/>
  <c r="H515" i="3"/>
  <c r="J515" i="3" s="1"/>
  <c r="H516" i="3"/>
  <c r="J516" i="3" s="1"/>
  <c r="H517" i="3"/>
  <c r="J517" i="3" s="1"/>
  <c r="H518" i="3"/>
  <c r="J518" i="3" s="1"/>
  <c r="H519" i="3"/>
  <c r="H520" i="3"/>
  <c r="J520" i="3" s="1"/>
  <c r="H521" i="3"/>
  <c r="J521" i="3" s="1"/>
  <c r="H522" i="3"/>
  <c r="J522" i="3" s="1"/>
  <c r="H523" i="3"/>
  <c r="J523" i="3" s="1"/>
  <c r="H524" i="3"/>
  <c r="J524" i="3" s="1"/>
  <c r="H525" i="3"/>
  <c r="J525" i="3" s="1"/>
  <c r="H526" i="3"/>
  <c r="J526" i="3" s="1"/>
  <c r="H527" i="3"/>
  <c r="J527" i="3" s="1"/>
  <c r="H528" i="3"/>
  <c r="J528" i="3" s="1"/>
  <c r="H529" i="3"/>
  <c r="J529" i="3" s="1"/>
  <c r="H530" i="3"/>
  <c r="J530" i="3" s="1"/>
  <c r="H531" i="3"/>
  <c r="J531" i="3" s="1"/>
  <c r="H532" i="3"/>
  <c r="J532" i="3" s="1"/>
  <c r="H533" i="3"/>
  <c r="J533" i="3" s="1"/>
  <c r="H534" i="3"/>
  <c r="H535" i="3"/>
  <c r="J535" i="3" s="1"/>
  <c r="H536" i="3"/>
  <c r="J536" i="3" s="1"/>
  <c r="H537" i="3"/>
  <c r="J537" i="3" s="1"/>
  <c r="H538" i="3"/>
  <c r="J538" i="3" s="1"/>
  <c r="H539" i="3"/>
  <c r="J539" i="3" s="1"/>
  <c r="H540" i="3"/>
  <c r="J540" i="3" s="1"/>
  <c r="H541" i="3"/>
  <c r="J541" i="3" s="1"/>
  <c r="H542" i="3"/>
  <c r="J542" i="3" s="1"/>
  <c r="H543" i="3"/>
  <c r="J543" i="3" s="1"/>
  <c r="H544" i="3"/>
  <c r="J544" i="3" s="1"/>
  <c r="H545" i="3"/>
  <c r="J545" i="3" s="1"/>
  <c r="H546" i="3"/>
  <c r="J546" i="3" s="1"/>
  <c r="H547" i="3"/>
  <c r="J547" i="3" s="1"/>
  <c r="H548" i="3"/>
  <c r="J548" i="3" s="1"/>
  <c r="H549" i="3"/>
  <c r="J549" i="3" s="1"/>
  <c r="H550" i="3"/>
  <c r="J550" i="3" s="1"/>
  <c r="H551" i="3"/>
  <c r="J551" i="3" s="1"/>
  <c r="H552" i="3"/>
  <c r="J552" i="3" s="1"/>
  <c r="H553" i="3"/>
  <c r="J553" i="3" s="1"/>
  <c r="H554" i="3"/>
  <c r="J554" i="3" s="1"/>
  <c r="H555" i="3"/>
  <c r="J555" i="3" s="1"/>
  <c r="H556" i="3"/>
  <c r="J556" i="3" s="1"/>
  <c r="H557" i="3"/>
  <c r="J557" i="3" s="1"/>
  <c r="H558" i="3"/>
  <c r="J558" i="3" s="1"/>
  <c r="H559" i="3"/>
  <c r="J559" i="3" s="1"/>
  <c r="H560" i="3"/>
  <c r="J560" i="3" s="1"/>
  <c r="H561" i="3"/>
  <c r="J561" i="3" s="1"/>
  <c r="H562" i="3"/>
  <c r="J562" i="3" s="1"/>
  <c r="H563" i="3"/>
  <c r="J563" i="3" s="1"/>
  <c r="H564" i="3"/>
  <c r="J564" i="3" s="1"/>
  <c r="H565" i="3"/>
  <c r="J565" i="3" s="1"/>
  <c r="H566" i="3"/>
  <c r="J566" i="3" s="1"/>
  <c r="H567" i="3"/>
  <c r="J567" i="3" s="1"/>
  <c r="H568" i="3"/>
  <c r="J568" i="3" s="1"/>
  <c r="H569" i="3"/>
  <c r="J569" i="3" s="1"/>
  <c r="H570" i="3"/>
  <c r="J570" i="3" s="1"/>
  <c r="H571" i="3"/>
  <c r="J571" i="3" s="1"/>
  <c r="H572" i="3"/>
  <c r="J572" i="3" s="1"/>
  <c r="H573" i="3"/>
  <c r="J573" i="3" s="1"/>
  <c r="H574" i="3"/>
  <c r="J574" i="3" s="1"/>
  <c r="H575" i="3"/>
  <c r="J575" i="3" s="1"/>
  <c r="H576" i="3"/>
  <c r="J576" i="3" s="1"/>
  <c r="H577" i="3"/>
  <c r="J577" i="3" s="1"/>
  <c r="H578" i="3"/>
  <c r="J578" i="3" s="1"/>
  <c r="H579" i="3"/>
  <c r="J579" i="3" s="1"/>
  <c r="H580" i="3"/>
  <c r="J580" i="3" s="1"/>
  <c r="H581" i="3"/>
  <c r="J581" i="3" s="1"/>
  <c r="H582" i="3"/>
  <c r="J582" i="3" s="1"/>
  <c r="H583" i="3"/>
  <c r="J583" i="3" s="1"/>
  <c r="H584" i="3"/>
  <c r="J584" i="3" s="1"/>
  <c r="H585" i="3"/>
  <c r="J585" i="3" s="1"/>
  <c r="H586" i="3"/>
  <c r="J586" i="3" s="1"/>
  <c r="H587" i="3"/>
  <c r="J587" i="3" s="1"/>
  <c r="H588" i="3"/>
  <c r="J588" i="3" s="1"/>
  <c r="H589" i="3"/>
  <c r="J589" i="3" s="1"/>
  <c r="H590" i="3"/>
  <c r="H591" i="3"/>
  <c r="J591" i="3" s="1"/>
  <c r="H592" i="3"/>
  <c r="J592" i="3" s="1"/>
  <c r="H593" i="3"/>
  <c r="J593" i="3" s="1"/>
  <c r="H594" i="3"/>
  <c r="J594" i="3" s="1"/>
  <c r="H595" i="3"/>
  <c r="J595" i="3" s="1"/>
  <c r="H596" i="3"/>
  <c r="J596" i="3" s="1"/>
  <c r="H597" i="3"/>
  <c r="J597" i="3" s="1"/>
  <c r="H598" i="3"/>
  <c r="J598" i="3" s="1"/>
  <c r="H599" i="3"/>
  <c r="J599" i="3" s="1"/>
  <c r="H600" i="3"/>
  <c r="J600" i="3" s="1"/>
  <c r="H601" i="3"/>
  <c r="J601" i="3" s="1"/>
  <c r="H602" i="3"/>
  <c r="J602" i="3" s="1"/>
  <c r="H603" i="3"/>
  <c r="J603" i="3" s="1"/>
  <c r="H604" i="3"/>
  <c r="J604" i="3" s="1"/>
  <c r="H605" i="3"/>
  <c r="J605" i="3" s="1"/>
  <c r="H606" i="3"/>
  <c r="J606" i="3" s="1"/>
  <c r="H607" i="3"/>
  <c r="J607" i="3" s="1"/>
  <c r="H608" i="3"/>
  <c r="J608" i="3" s="1"/>
  <c r="H609" i="3"/>
  <c r="J609" i="3" s="1"/>
  <c r="H610" i="3"/>
  <c r="J610" i="3" s="1"/>
  <c r="H611" i="3"/>
  <c r="J611" i="3" s="1"/>
  <c r="H612" i="3"/>
  <c r="J612" i="3" s="1"/>
  <c r="H613" i="3"/>
  <c r="J613" i="3" s="1"/>
  <c r="H614" i="3"/>
  <c r="J614" i="3" s="1"/>
  <c r="H615" i="3"/>
  <c r="H616" i="3"/>
  <c r="J616" i="3" s="1"/>
  <c r="H617" i="3"/>
  <c r="J617" i="3" s="1"/>
  <c r="H618" i="3"/>
  <c r="J618" i="3" s="1"/>
  <c r="H619" i="3"/>
  <c r="J619" i="3" s="1"/>
  <c r="H620" i="3"/>
  <c r="J620" i="3" s="1"/>
  <c r="H621" i="3"/>
  <c r="J621" i="3" s="1"/>
  <c r="H622" i="3"/>
  <c r="H623" i="3"/>
  <c r="J623" i="3" s="1"/>
  <c r="H624" i="3"/>
  <c r="J624" i="3" s="1"/>
  <c r="H625" i="3"/>
  <c r="J625" i="3" s="1"/>
  <c r="H626" i="3"/>
  <c r="J626" i="3" s="1"/>
  <c r="H627" i="3"/>
  <c r="J627" i="3" s="1"/>
  <c r="H628" i="3"/>
  <c r="J628" i="3" s="1"/>
  <c r="H629" i="3"/>
  <c r="J629" i="3" s="1"/>
  <c r="H630" i="3"/>
  <c r="J630" i="3" s="1"/>
  <c r="H631" i="3"/>
  <c r="J631" i="3" s="1"/>
  <c r="H632" i="3"/>
  <c r="J632" i="3" s="1"/>
  <c r="H633" i="3"/>
  <c r="J633" i="3" s="1"/>
  <c r="H634" i="3"/>
  <c r="J634" i="3" s="1"/>
  <c r="H635" i="3"/>
  <c r="J635" i="3" s="1"/>
  <c r="H636" i="3"/>
  <c r="J636" i="3" s="1"/>
  <c r="H637" i="3"/>
  <c r="J637" i="3" s="1"/>
  <c r="H638" i="3"/>
  <c r="J638" i="3" s="1"/>
  <c r="H639" i="3"/>
  <c r="J639" i="3" s="1"/>
  <c r="H640" i="3"/>
  <c r="J640" i="3" s="1"/>
  <c r="H641" i="3"/>
  <c r="J641" i="3" s="1"/>
  <c r="H642" i="3"/>
  <c r="J642" i="3" s="1"/>
  <c r="H643" i="3"/>
  <c r="J643" i="3" s="1"/>
  <c r="H644" i="3"/>
  <c r="J644" i="3" s="1"/>
  <c r="H645" i="3"/>
  <c r="J645" i="3" s="1"/>
  <c r="H646" i="3"/>
  <c r="J646" i="3" s="1"/>
  <c r="H647" i="3"/>
  <c r="J647" i="3" s="1"/>
  <c r="H648" i="3"/>
  <c r="J648" i="3" s="1"/>
  <c r="H649" i="3"/>
  <c r="J649" i="3" s="1"/>
  <c r="H650" i="3"/>
  <c r="J650" i="3" s="1"/>
  <c r="H651" i="3"/>
  <c r="J651" i="3" s="1"/>
  <c r="H652" i="3"/>
  <c r="J652" i="3" s="1"/>
  <c r="H653" i="3"/>
  <c r="J653" i="3" s="1"/>
  <c r="H654" i="3"/>
  <c r="J654" i="3" s="1"/>
  <c r="H655" i="3"/>
  <c r="J655" i="3" s="1"/>
  <c r="H656" i="3"/>
  <c r="J656" i="3" s="1"/>
  <c r="H657" i="3"/>
  <c r="J657" i="3" s="1"/>
  <c r="H658" i="3"/>
  <c r="J658" i="3" s="1"/>
  <c r="H659" i="3"/>
  <c r="J659" i="3" s="1"/>
  <c r="H660" i="3"/>
  <c r="J660" i="3" s="1"/>
  <c r="H661" i="3"/>
  <c r="J661" i="3" s="1"/>
  <c r="H662" i="3"/>
  <c r="J662" i="3" s="1"/>
  <c r="H663" i="3"/>
  <c r="J663" i="3" s="1"/>
  <c r="H664" i="3"/>
  <c r="J664" i="3" s="1"/>
  <c r="H665" i="3"/>
  <c r="J665" i="3" s="1"/>
  <c r="H666" i="3"/>
  <c r="J666" i="3" s="1"/>
  <c r="H667" i="3"/>
  <c r="J667" i="3" s="1"/>
  <c r="H668" i="3"/>
  <c r="J668" i="3" s="1"/>
  <c r="H669" i="3"/>
  <c r="J669" i="3" s="1"/>
  <c r="H670" i="3"/>
  <c r="J670" i="3" s="1"/>
  <c r="H671" i="3"/>
  <c r="J671" i="3" s="1"/>
  <c r="H672" i="3"/>
  <c r="J672" i="3" s="1"/>
  <c r="H673" i="3"/>
  <c r="J673" i="3" s="1"/>
  <c r="H674" i="3"/>
  <c r="J674" i="3" s="1"/>
  <c r="H675" i="3"/>
  <c r="J675" i="3" s="1"/>
  <c r="H676" i="3"/>
  <c r="J676" i="3" s="1"/>
  <c r="H677" i="3"/>
  <c r="J677" i="3" s="1"/>
  <c r="H678" i="3"/>
  <c r="J678" i="3" s="1"/>
  <c r="H679" i="3"/>
  <c r="J679" i="3" s="1"/>
  <c r="H680" i="3"/>
  <c r="J680" i="3" s="1"/>
  <c r="H681" i="3"/>
  <c r="J681" i="3" s="1"/>
  <c r="H682" i="3"/>
  <c r="J682" i="3" s="1"/>
  <c r="H683" i="3"/>
  <c r="J683" i="3" s="1"/>
  <c r="H684" i="3"/>
  <c r="J684" i="3" s="1"/>
  <c r="H685" i="3"/>
  <c r="J685" i="3" s="1"/>
  <c r="H686" i="3"/>
  <c r="J686" i="3" s="1"/>
  <c r="H687" i="3"/>
  <c r="J687" i="3" s="1"/>
  <c r="H688" i="3"/>
  <c r="J688" i="3" s="1"/>
  <c r="H689" i="3"/>
  <c r="J689" i="3" s="1"/>
  <c r="H690" i="3"/>
  <c r="J690" i="3" s="1"/>
  <c r="H691" i="3"/>
  <c r="J691" i="3" s="1"/>
  <c r="H692" i="3"/>
  <c r="J692" i="3" s="1"/>
  <c r="H693" i="3"/>
  <c r="J693" i="3" s="1"/>
  <c r="H694" i="3"/>
  <c r="J694" i="3" s="1"/>
  <c r="H695" i="3"/>
  <c r="J695" i="3" s="1"/>
  <c r="H696" i="3"/>
  <c r="J696" i="3" s="1"/>
  <c r="H697" i="3"/>
  <c r="J697" i="3" s="1"/>
  <c r="H698" i="3"/>
  <c r="J698" i="3" s="1"/>
  <c r="H699" i="3"/>
  <c r="J699" i="3" s="1"/>
  <c r="H700" i="3"/>
  <c r="J700" i="3" s="1"/>
  <c r="H701" i="3"/>
  <c r="J701" i="3" s="1"/>
  <c r="H702" i="3"/>
  <c r="J702" i="3" s="1"/>
  <c r="H703" i="3"/>
  <c r="J703" i="3" s="1"/>
  <c r="H704" i="3"/>
  <c r="J704" i="3" s="1"/>
  <c r="H705" i="3"/>
  <c r="J705" i="3" s="1"/>
  <c r="H706" i="3"/>
  <c r="J706" i="3" s="1"/>
  <c r="H707" i="3"/>
  <c r="J707" i="3" s="1"/>
  <c r="H708" i="3"/>
  <c r="J708" i="3" s="1"/>
  <c r="H709" i="3"/>
  <c r="J709" i="3" s="1"/>
  <c r="H710" i="3"/>
  <c r="J710" i="3" s="1"/>
  <c r="H711" i="3"/>
  <c r="J711" i="3" s="1"/>
  <c r="H712" i="3"/>
  <c r="J712" i="3" s="1"/>
  <c r="H713" i="3"/>
  <c r="J713" i="3" s="1"/>
  <c r="H714" i="3"/>
  <c r="J714" i="3" s="1"/>
  <c r="H715" i="3"/>
  <c r="J715" i="3" s="1"/>
  <c r="H716" i="3"/>
  <c r="J716" i="3" s="1"/>
  <c r="H717" i="3"/>
  <c r="J717" i="3" s="1"/>
  <c r="H718" i="3"/>
  <c r="J718" i="3" s="1"/>
  <c r="H719" i="3"/>
  <c r="J719" i="3" s="1"/>
  <c r="H720" i="3"/>
  <c r="J720" i="3" s="1"/>
  <c r="H721" i="3"/>
  <c r="J721" i="3" s="1"/>
  <c r="H722" i="3"/>
  <c r="J722" i="3" s="1"/>
  <c r="H723" i="3"/>
  <c r="J723" i="3" s="1"/>
  <c r="H724" i="3"/>
  <c r="J724" i="3" s="1"/>
  <c r="H725" i="3"/>
  <c r="J725" i="3" s="1"/>
  <c r="H726" i="3"/>
  <c r="J726" i="3" s="1"/>
  <c r="H727" i="3"/>
  <c r="J727" i="3" s="1"/>
  <c r="H728" i="3"/>
  <c r="J728" i="3" s="1"/>
  <c r="H729" i="3"/>
  <c r="J729" i="3" s="1"/>
  <c r="H730" i="3"/>
  <c r="J730" i="3" s="1"/>
  <c r="H731" i="3"/>
  <c r="J731" i="3" s="1"/>
  <c r="H732" i="3"/>
  <c r="J732" i="3" s="1"/>
  <c r="H733" i="3"/>
  <c r="J733" i="3" s="1"/>
  <c r="H734" i="3"/>
  <c r="J734" i="3" s="1"/>
  <c r="H735" i="3"/>
  <c r="J735" i="3" s="1"/>
  <c r="H736" i="3"/>
  <c r="J736" i="3" s="1"/>
  <c r="H737" i="3"/>
  <c r="J737" i="3" s="1"/>
  <c r="H738" i="3"/>
  <c r="J738" i="3" s="1"/>
  <c r="H739" i="3"/>
  <c r="J739" i="3" s="1"/>
  <c r="H740" i="3"/>
  <c r="J740" i="3" s="1"/>
  <c r="H741" i="3"/>
  <c r="J741" i="3" s="1"/>
  <c r="H742" i="3"/>
  <c r="J742" i="3" s="1"/>
  <c r="H743" i="3"/>
  <c r="J743" i="3" s="1"/>
  <c r="H744" i="3"/>
  <c r="J744" i="3" s="1"/>
  <c r="H745" i="3"/>
  <c r="J745" i="3" s="1"/>
  <c r="H746" i="3"/>
  <c r="J746" i="3" s="1"/>
  <c r="H747" i="3"/>
  <c r="J747" i="3" s="1"/>
  <c r="H748" i="3"/>
  <c r="J748" i="3" s="1"/>
  <c r="H749" i="3"/>
  <c r="J749" i="3" s="1"/>
  <c r="H750" i="3"/>
  <c r="J750" i="3" s="1"/>
  <c r="H751" i="3"/>
  <c r="J751" i="3" s="1"/>
  <c r="H752" i="3"/>
  <c r="J752" i="3" s="1"/>
  <c r="H753" i="3"/>
  <c r="J753" i="3" s="1"/>
  <c r="H754" i="3"/>
  <c r="J754" i="3" s="1"/>
  <c r="H755" i="3"/>
  <c r="J755" i="3" s="1"/>
  <c r="H756" i="3"/>
  <c r="J756" i="3" s="1"/>
  <c r="H757" i="3"/>
  <c r="J757" i="3" s="1"/>
  <c r="H758" i="3"/>
  <c r="J758" i="3" s="1"/>
  <c r="H759" i="3"/>
  <c r="J759" i="3" s="1"/>
  <c r="H760" i="3"/>
  <c r="J760" i="3" s="1"/>
  <c r="H761" i="3"/>
  <c r="J761" i="3" s="1"/>
  <c r="H762" i="3"/>
  <c r="J762" i="3" s="1"/>
  <c r="H763" i="3"/>
  <c r="J763" i="3" s="1"/>
  <c r="H764" i="3"/>
  <c r="J764" i="3" s="1"/>
  <c r="H765" i="3"/>
  <c r="J765" i="3" s="1"/>
  <c r="H766" i="3"/>
  <c r="J766" i="3" s="1"/>
  <c r="H767" i="3"/>
  <c r="J767" i="3" s="1"/>
  <c r="H768" i="3"/>
  <c r="J768" i="3" s="1"/>
  <c r="H769" i="3"/>
  <c r="J769" i="3" s="1"/>
  <c r="H770" i="3"/>
  <c r="J770" i="3" s="1"/>
  <c r="H771" i="3"/>
  <c r="J771" i="3" s="1"/>
  <c r="H772" i="3"/>
  <c r="J772" i="3" s="1"/>
  <c r="H773" i="3"/>
  <c r="J773" i="3" s="1"/>
  <c r="H774" i="3"/>
  <c r="J774" i="3" s="1"/>
  <c r="H775" i="3"/>
  <c r="J775" i="3" s="1"/>
  <c r="H776" i="3"/>
  <c r="J776" i="3" s="1"/>
  <c r="H777" i="3"/>
  <c r="J777" i="3" s="1"/>
  <c r="H778" i="3"/>
  <c r="J778" i="3" s="1"/>
  <c r="H779" i="3"/>
  <c r="J779" i="3" s="1"/>
  <c r="H780" i="3"/>
  <c r="J780" i="3" s="1"/>
  <c r="H781" i="3"/>
  <c r="J781" i="3" s="1"/>
  <c r="H782" i="3"/>
  <c r="J782" i="3" s="1"/>
  <c r="H783" i="3"/>
  <c r="J783" i="3" s="1"/>
  <c r="H784" i="3"/>
  <c r="J784" i="3" s="1"/>
  <c r="H785" i="3"/>
  <c r="J785" i="3" s="1"/>
  <c r="H786" i="3"/>
  <c r="J786" i="3" s="1"/>
  <c r="H787" i="3"/>
  <c r="J787" i="3" s="1"/>
  <c r="H788" i="3"/>
  <c r="H789" i="3"/>
  <c r="J789" i="3" s="1"/>
  <c r="H790" i="3"/>
  <c r="J790" i="3" s="1"/>
  <c r="H791" i="3"/>
  <c r="J791" i="3" s="1"/>
  <c r="H792" i="3"/>
  <c r="J792" i="3" s="1"/>
  <c r="H793" i="3"/>
  <c r="J793" i="3" s="1"/>
  <c r="H794" i="3"/>
  <c r="J794" i="3" s="1"/>
  <c r="H795" i="3"/>
  <c r="J795" i="3" s="1"/>
  <c r="H796" i="3"/>
  <c r="J796" i="3" s="1"/>
  <c r="H797" i="3"/>
  <c r="J797" i="3" s="1"/>
  <c r="H798" i="3"/>
  <c r="J798" i="3" s="1"/>
  <c r="H799" i="3"/>
  <c r="J799" i="3" s="1"/>
  <c r="H800" i="3"/>
  <c r="J800" i="3" s="1"/>
  <c r="H801" i="3"/>
  <c r="J801" i="3" s="1"/>
  <c r="H802" i="3"/>
  <c r="J802" i="3" s="1"/>
  <c r="H803" i="3"/>
  <c r="J803" i="3" s="1"/>
  <c r="H804" i="3"/>
  <c r="J804" i="3" s="1"/>
  <c r="H805" i="3"/>
  <c r="J805" i="3" s="1"/>
  <c r="H806" i="3"/>
  <c r="J806" i="3" s="1"/>
  <c r="H807" i="3"/>
  <c r="J807" i="3" s="1"/>
  <c r="H808" i="3"/>
  <c r="J808" i="3" s="1"/>
  <c r="H809" i="3"/>
  <c r="J809" i="3" s="1"/>
  <c r="H810" i="3"/>
  <c r="J810" i="3" s="1"/>
  <c r="H811" i="3"/>
  <c r="J811" i="3" s="1"/>
  <c r="H812" i="3"/>
  <c r="J812" i="3" s="1"/>
  <c r="H813" i="3"/>
  <c r="J813" i="3" s="1"/>
  <c r="H814" i="3"/>
  <c r="J814" i="3" s="1"/>
  <c r="H815" i="3"/>
  <c r="J815" i="3" s="1"/>
  <c r="H816" i="3"/>
  <c r="J816" i="3" s="1"/>
  <c r="H817" i="3"/>
  <c r="J817" i="3" s="1"/>
  <c r="H818" i="3"/>
  <c r="J818" i="3" s="1"/>
  <c r="H819" i="3"/>
  <c r="J819" i="3" s="1"/>
  <c r="H820" i="3"/>
  <c r="J820" i="3" s="1"/>
  <c r="H821" i="3"/>
  <c r="J821" i="3" s="1"/>
  <c r="H822" i="3"/>
  <c r="J822" i="3" s="1"/>
  <c r="H823" i="3"/>
  <c r="J823" i="3" s="1"/>
  <c r="H824" i="3"/>
  <c r="J824" i="3" s="1"/>
  <c r="H825" i="3"/>
  <c r="J825" i="3" s="1"/>
  <c r="H826" i="3"/>
  <c r="J826" i="3" s="1"/>
  <c r="H827" i="3"/>
  <c r="J827" i="3" s="1"/>
  <c r="H828" i="3"/>
  <c r="J828" i="3" s="1"/>
  <c r="H829" i="3"/>
  <c r="J829" i="3" s="1"/>
  <c r="H830" i="3"/>
  <c r="J830" i="3" s="1"/>
  <c r="H831" i="3"/>
  <c r="J831" i="3" s="1"/>
  <c r="H832" i="3"/>
  <c r="J832" i="3" s="1"/>
  <c r="H833" i="3"/>
  <c r="J833" i="3" s="1"/>
  <c r="H834" i="3"/>
  <c r="J834" i="3" s="1"/>
  <c r="H835" i="3"/>
  <c r="J835" i="3" s="1"/>
  <c r="H836" i="3"/>
  <c r="J836" i="3" s="1"/>
  <c r="H837" i="3"/>
  <c r="J837" i="3" s="1"/>
  <c r="H838" i="3"/>
  <c r="J838" i="3" s="1"/>
  <c r="H839" i="3"/>
  <c r="J839" i="3" s="1"/>
  <c r="H840" i="3"/>
  <c r="J840" i="3" s="1"/>
  <c r="H841" i="3"/>
  <c r="J841" i="3" s="1"/>
  <c r="H842" i="3"/>
  <c r="J842" i="3" s="1"/>
  <c r="H843" i="3"/>
  <c r="J843" i="3" s="1"/>
  <c r="H844" i="3"/>
  <c r="J844" i="3" s="1"/>
  <c r="H845" i="3"/>
  <c r="J845" i="3" s="1"/>
  <c r="H846" i="3"/>
  <c r="J846" i="3" s="1"/>
  <c r="H847" i="3"/>
  <c r="J847" i="3" s="1"/>
  <c r="H848" i="3"/>
  <c r="J848" i="3" s="1"/>
  <c r="H849" i="3"/>
  <c r="J849" i="3" s="1"/>
  <c r="H850" i="3"/>
  <c r="J850" i="3" s="1"/>
  <c r="H851" i="3"/>
  <c r="J851" i="3" s="1"/>
  <c r="H852" i="3"/>
  <c r="J852" i="3" s="1"/>
  <c r="H853" i="3"/>
  <c r="J853" i="3" s="1"/>
  <c r="H854" i="3"/>
  <c r="J854" i="3" s="1"/>
  <c r="H855" i="3"/>
  <c r="J855" i="3" s="1"/>
  <c r="H856" i="3"/>
  <c r="J856" i="3" s="1"/>
  <c r="H857" i="3"/>
  <c r="J857" i="3" s="1"/>
  <c r="H858" i="3"/>
  <c r="J858" i="3" s="1"/>
  <c r="H859" i="3"/>
  <c r="J859" i="3" s="1"/>
  <c r="H860" i="3"/>
  <c r="J860" i="3" s="1"/>
  <c r="H861" i="3"/>
  <c r="J861" i="3" s="1"/>
  <c r="H862" i="3"/>
  <c r="J862" i="3" s="1"/>
  <c r="H863" i="3"/>
  <c r="J863" i="3" s="1"/>
  <c r="H864" i="3"/>
  <c r="J864" i="3" s="1"/>
  <c r="H865" i="3"/>
  <c r="J865" i="3" s="1"/>
  <c r="H866" i="3"/>
  <c r="J866" i="3" s="1"/>
  <c r="H867" i="3"/>
  <c r="J867" i="3" s="1"/>
  <c r="H868" i="3"/>
  <c r="J868" i="3" s="1"/>
  <c r="H869" i="3"/>
  <c r="J869" i="3" s="1"/>
  <c r="H870" i="3"/>
  <c r="J870" i="3" s="1"/>
  <c r="H871" i="3"/>
  <c r="J871" i="3" s="1"/>
  <c r="H872" i="3"/>
  <c r="J872" i="3" s="1"/>
  <c r="H873" i="3"/>
  <c r="J873" i="3" s="1"/>
  <c r="H874" i="3"/>
  <c r="J874" i="3" s="1"/>
  <c r="H875" i="3"/>
  <c r="J875" i="3" s="1"/>
  <c r="H876" i="3"/>
  <c r="J876" i="3" s="1"/>
  <c r="H877" i="3"/>
  <c r="J877" i="3" s="1"/>
  <c r="H878" i="3"/>
  <c r="J878" i="3" s="1"/>
  <c r="H879" i="3"/>
  <c r="J879" i="3" s="1"/>
  <c r="H880" i="3"/>
  <c r="J880" i="3" s="1"/>
  <c r="H881" i="3"/>
  <c r="J881" i="3" s="1"/>
  <c r="H882" i="3"/>
  <c r="J882" i="3" s="1"/>
  <c r="H883" i="3"/>
  <c r="J883" i="3" s="1"/>
  <c r="H884" i="3"/>
  <c r="J884" i="3" s="1"/>
  <c r="H885" i="3"/>
  <c r="J885" i="3" s="1"/>
  <c r="H886" i="3"/>
  <c r="J886" i="3" s="1"/>
  <c r="H887" i="3"/>
  <c r="J887" i="3" s="1"/>
  <c r="H888" i="3"/>
  <c r="J888" i="3" s="1"/>
  <c r="H889" i="3"/>
  <c r="J889" i="3" s="1"/>
  <c r="H890" i="3"/>
  <c r="J890" i="3" s="1"/>
  <c r="H891" i="3"/>
  <c r="J891" i="3" s="1"/>
  <c r="H892" i="3"/>
  <c r="J892" i="3" s="1"/>
  <c r="H893" i="3"/>
  <c r="J893" i="3" s="1"/>
  <c r="H894" i="3"/>
  <c r="J894" i="3" s="1"/>
  <c r="H895" i="3"/>
  <c r="J895" i="3" s="1"/>
  <c r="H896" i="3"/>
  <c r="J896" i="3" s="1"/>
  <c r="H897" i="3"/>
  <c r="J897" i="3" s="1"/>
  <c r="H898" i="3"/>
  <c r="J898" i="3" s="1"/>
  <c r="H899" i="3"/>
  <c r="J899" i="3" s="1"/>
  <c r="H900" i="3"/>
  <c r="J900" i="3" s="1"/>
  <c r="H901" i="3"/>
  <c r="J901" i="3" s="1"/>
  <c r="H902" i="3"/>
  <c r="J902" i="3" s="1"/>
  <c r="H903" i="3"/>
  <c r="J903" i="3" s="1"/>
  <c r="H904" i="3"/>
  <c r="J904" i="3" s="1"/>
  <c r="H905" i="3"/>
  <c r="J905" i="3" s="1"/>
  <c r="H906" i="3"/>
  <c r="J906" i="3" s="1"/>
  <c r="H907" i="3"/>
  <c r="J907" i="3" s="1"/>
  <c r="H908" i="3"/>
  <c r="J908" i="3" s="1"/>
  <c r="H909" i="3"/>
  <c r="J909" i="3" s="1"/>
  <c r="H910" i="3"/>
  <c r="J910" i="3" s="1"/>
  <c r="H911" i="3"/>
  <c r="J911" i="3" s="1"/>
  <c r="H912" i="3"/>
  <c r="J912" i="3" s="1"/>
  <c r="H913" i="3"/>
  <c r="J913" i="3" s="1"/>
  <c r="H914" i="3"/>
  <c r="J914" i="3" s="1"/>
  <c r="H915" i="3"/>
  <c r="J915" i="3" s="1"/>
  <c r="H916" i="3"/>
  <c r="J916" i="3" s="1"/>
  <c r="H917" i="3"/>
  <c r="J917" i="3" s="1"/>
  <c r="H918" i="3"/>
  <c r="J918" i="3" s="1"/>
  <c r="H919" i="3"/>
  <c r="J919" i="3" s="1"/>
  <c r="H920" i="3"/>
  <c r="J920" i="3" s="1"/>
  <c r="H921" i="3"/>
  <c r="J921" i="3" s="1"/>
  <c r="H922" i="3"/>
  <c r="J922" i="3" s="1"/>
  <c r="H923" i="3"/>
  <c r="J923" i="3" s="1"/>
  <c r="H924" i="3"/>
  <c r="J924" i="3" s="1"/>
  <c r="H925" i="3"/>
  <c r="J925" i="3" s="1"/>
  <c r="H926" i="3"/>
  <c r="J926" i="3" s="1"/>
  <c r="H927" i="3"/>
  <c r="J927" i="3" s="1"/>
  <c r="H928" i="3"/>
  <c r="J928" i="3" s="1"/>
  <c r="H929" i="3"/>
  <c r="J929" i="3" s="1"/>
  <c r="H930" i="3"/>
  <c r="J930" i="3" s="1"/>
  <c r="H931" i="3"/>
  <c r="J931" i="3" s="1"/>
  <c r="H932" i="3"/>
  <c r="J932" i="3" s="1"/>
  <c r="H933" i="3"/>
  <c r="J933" i="3" s="1"/>
  <c r="H934" i="3"/>
  <c r="J934" i="3" s="1"/>
  <c r="H935" i="3"/>
  <c r="J935" i="3" s="1"/>
  <c r="H936" i="3"/>
  <c r="J936" i="3" s="1"/>
  <c r="H937" i="3"/>
  <c r="J937" i="3" s="1"/>
  <c r="H938" i="3"/>
  <c r="J938" i="3" s="1"/>
  <c r="H939" i="3"/>
  <c r="J939" i="3" s="1"/>
  <c r="H940" i="3"/>
  <c r="H941" i="3"/>
  <c r="J941" i="3" s="1"/>
  <c r="H942" i="3"/>
  <c r="J942" i="3" s="1"/>
  <c r="H943" i="3"/>
  <c r="J943" i="3" s="1"/>
  <c r="H944" i="3"/>
  <c r="J944" i="3" s="1"/>
  <c r="H945" i="3"/>
  <c r="J945" i="3" s="1"/>
  <c r="H946" i="3"/>
  <c r="J946" i="3" s="1"/>
  <c r="H947" i="3"/>
  <c r="J947" i="3" s="1"/>
  <c r="H948" i="3"/>
  <c r="J948" i="3" s="1"/>
  <c r="H949" i="3"/>
  <c r="J949" i="3" s="1"/>
  <c r="H950" i="3"/>
  <c r="H951" i="3"/>
  <c r="J951" i="3" s="1"/>
  <c r="H952" i="3"/>
  <c r="J952" i="3" s="1"/>
  <c r="H953" i="3"/>
  <c r="J953" i="3" s="1"/>
  <c r="H954" i="3"/>
  <c r="J954" i="3" s="1"/>
  <c r="H955" i="3"/>
  <c r="J955" i="3" s="1"/>
  <c r="H956" i="3"/>
  <c r="J956" i="3" s="1"/>
  <c r="H957" i="3"/>
  <c r="J957" i="3" s="1"/>
  <c r="H958" i="3"/>
  <c r="J958" i="3" s="1"/>
  <c r="H959" i="3"/>
  <c r="H960" i="3"/>
  <c r="J960" i="3" s="1"/>
  <c r="H961" i="3"/>
  <c r="J961" i="3" s="1"/>
  <c r="H962" i="3"/>
  <c r="J962" i="3" s="1"/>
  <c r="H963" i="3"/>
  <c r="J963" i="3" s="1"/>
  <c r="H964" i="3"/>
  <c r="J964" i="3" s="1"/>
  <c r="H965" i="3"/>
  <c r="J965" i="3" s="1"/>
  <c r="H966" i="3"/>
  <c r="H967" i="3"/>
  <c r="J967" i="3" s="1"/>
  <c r="H968" i="3"/>
  <c r="J968" i="3" s="1"/>
  <c r="H969" i="3"/>
  <c r="J969" i="3" s="1"/>
  <c r="H970" i="3"/>
  <c r="J970" i="3" s="1"/>
  <c r="H971" i="3"/>
  <c r="J971" i="3" s="1"/>
  <c r="H972" i="3"/>
  <c r="J972" i="3" s="1"/>
  <c r="H973" i="3"/>
  <c r="J973" i="3" s="1"/>
  <c r="H974" i="3"/>
  <c r="J974" i="3" s="1"/>
  <c r="H975" i="3"/>
  <c r="J975" i="3" s="1"/>
  <c r="H976" i="3"/>
  <c r="J976" i="3" s="1"/>
  <c r="H977" i="3"/>
  <c r="J977" i="3" s="1"/>
  <c r="H978" i="3"/>
  <c r="J978" i="3" s="1"/>
  <c r="H979" i="3"/>
  <c r="J979" i="3" s="1"/>
  <c r="H980" i="3"/>
  <c r="J980" i="3" s="1"/>
  <c r="H981" i="3"/>
  <c r="J981" i="3" s="1"/>
  <c r="H982" i="3"/>
  <c r="J982" i="3" s="1"/>
  <c r="H983" i="3"/>
  <c r="J983" i="3" s="1"/>
  <c r="H984" i="3"/>
  <c r="J984" i="3" s="1"/>
  <c r="H985" i="3"/>
  <c r="J985" i="3" s="1"/>
  <c r="H986" i="3"/>
  <c r="J986" i="3" s="1"/>
  <c r="H987" i="3"/>
  <c r="J987" i="3" s="1"/>
  <c r="H988" i="3"/>
  <c r="J988" i="3" s="1"/>
  <c r="H989" i="3"/>
  <c r="J989" i="3" s="1"/>
  <c r="H990" i="3"/>
  <c r="J990" i="3" s="1"/>
  <c r="H991" i="3"/>
  <c r="J991" i="3" s="1"/>
  <c r="H992" i="3"/>
  <c r="J992" i="3" s="1"/>
  <c r="H993" i="3"/>
  <c r="J993" i="3" s="1"/>
  <c r="H994" i="3"/>
  <c r="J994" i="3" s="1"/>
  <c r="H995" i="3"/>
  <c r="J995" i="3" s="1"/>
  <c r="H996" i="3"/>
  <c r="J996" i="3" s="1"/>
  <c r="H997" i="3"/>
  <c r="J997" i="3" s="1"/>
  <c r="H998" i="3"/>
  <c r="H999" i="3"/>
  <c r="J999" i="3" s="1"/>
  <c r="H1000" i="3"/>
  <c r="J1000" i="3" s="1"/>
  <c r="H1001" i="3"/>
  <c r="J1001" i="3" s="1"/>
  <c r="H1002" i="3"/>
  <c r="J1002" i="3" s="1"/>
  <c r="H1003" i="3"/>
  <c r="J1003" i="3" s="1"/>
  <c r="H1004" i="3"/>
  <c r="J1004" i="3" s="1"/>
  <c r="H1005" i="3"/>
  <c r="J1005" i="3" s="1"/>
  <c r="H1006" i="3"/>
  <c r="J1006" i="3" s="1"/>
  <c r="H1007" i="3"/>
  <c r="J1007" i="3" s="1"/>
  <c r="H1008" i="3"/>
  <c r="J1008" i="3" s="1"/>
  <c r="H1009" i="3"/>
  <c r="J1009" i="3" s="1"/>
  <c r="H1010" i="3"/>
  <c r="J1010" i="3" s="1"/>
  <c r="H1011" i="3"/>
  <c r="J1011" i="3" s="1"/>
  <c r="H1012" i="3"/>
  <c r="J1012" i="3" s="1"/>
  <c r="H1013" i="3"/>
  <c r="J1013" i="3" s="1"/>
  <c r="H1014" i="3"/>
  <c r="H1015" i="3"/>
  <c r="H1016" i="3"/>
  <c r="J1016" i="3" s="1"/>
  <c r="H1017" i="3"/>
  <c r="J1017" i="3" s="1"/>
  <c r="H1018" i="3"/>
  <c r="J1018" i="3" s="1"/>
  <c r="H1019" i="3"/>
  <c r="J1019" i="3" s="1"/>
  <c r="H1020" i="3"/>
  <c r="J1020" i="3" s="1"/>
  <c r="H1021" i="3"/>
  <c r="J1021" i="3" s="1"/>
  <c r="H1022" i="3"/>
  <c r="J1022" i="3" s="1"/>
  <c r="H1023" i="3"/>
  <c r="J1023" i="3" s="1"/>
  <c r="H1024" i="3"/>
  <c r="J1024" i="3" s="1"/>
  <c r="H1025" i="3"/>
  <c r="J1025" i="3" s="1"/>
  <c r="H1026" i="3"/>
  <c r="J1026" i="3" s="1"/>
  <c r="H1027" i="3"/>
  <c r="J1027" i="3" s="1"/>
  <c r="H1028" i="3"/>
  <c r="J1028" i="3" s="1"/>
  <c r="H1029" i="3"/>
  <c r="J1029" i="3" s="1"/>
  <c r="H1030" i="3"/>
  <c r="J1030" i="3" s="1"/>
  <c r="H1031" i="3"/>
  <c r="J1031" i="3" s="1"/>
  <c r="H1032" i="3"/>
  <c r="J1032" i="3" s="1"/>
  <c r="H1033" i="3"/>
  <c r="J1033" i="3" s="1"/>
  <c r="H1034" i="3"/>
  <c r="J1034" i="3" s="1"/>
  <c r="H1035" i="3"/>
  <c r="J1035" i="3" s="1"/>
  <c r="H1036" i="3"/>
  <c r="J1036" i="3" s="1"/>
  <c r="H1037" i="3"/>
  <c r="J1037" i="3" s="1"/>
  <c r="H1038" i="3"/>
  <c r="J1038" i="3" s="1"/>
  <c r="H1039" i="3"/>
  <c r="J1039" i="3" s="1"/>
  <c r="H1040" i="3"/>
  <c r="J1040" i="3" s="1"/>
  <c r="H1041" i="3"/>
  <c r="J1041" i="3" s="1"/>
  <c r="H1042" i="3"/>
  <c r="J1042" i="3" s="1"/>
  <c r="H1043" i="3"/>
  <c r="J1043" i="3" s="1"/>
  <c r="H1044" i="3"/>
  <c r="J1044" i="3" s="1"/>
  <c r="H1045" i="3"/>
  <c r="J1045" i="3" s="1"/>
  <c r="H1046" i="3"/>
  <c r="H1047" i="3"/>
  <c r="H1048" i="3"/>
  <c r="J1048" i="3" s="1"/>
  <c r="H1049" i="3"/>
  <c r="J1049" i="3" s="1"/>
  <c r="H1050" i="3"/>
  <c r="J1050" i="3" s="1"/>
  <c r="H1051" i="3"/>
  <c r="J1051" i="3" s="1"/>
  <c r="H1052" i="3"/>
  <c r="J1052" i="3" s="1"/>
  <c r="H1053" i="3"/>
  <c r="J1053" i="3" s="1"/>
  <c r="H1054" i="3"/>
  <c r="J1054" i="3" s="1"/>
  <c r="H1055" i="3"/>
  <c r="H1056" i="3"/>
  <c r="J1056" i="3" s="1"/>
  <c r="H1057" i="3"/>
  <c r="J1057" i="3" s="1"/>
  <c r="H1058" i="3"/>
  <c r="J1058" i="3" s="1"/>
  <c r="H1059" i="3"/>
  <c r="J1059" i="3" s="1"/>
  <c r="H1060" i="3"/>
  <c r="J1060" i="3" s="1"/>
  <c r="H1061" i="3"/>
  <c r="J1061" i="3" s="1"/>
  <c r="H1062" i="3"/>
  <c r="J1062" i="3" s="1"/>
  <c r="H1063" i="3"/>
  <c r="J1063" i="3" s="1"/>
  <c r="H1064" i="3"/>
  <c r="J1064" i="3" s="1"/>
  <c r="H1065" i="3"/>
  <c r="J1065" i="3" s="1"/>
  <c r="H1066" i="3"/>
  <c r="J1066" i="3" s="1"/>
  <c r="H1067" i="3"/>
  <c r="J1067" i="3" s="1"/>
  <c r="H1068" i="3"/>
  <c r="J1068" i="3" s="1"/>
  <c r="H1069" i="3"/>
  <c r="J1069" i="3" s="1"/>
  <c r="H1070" i="3"/>
  <c r="J1070" i="3" s="1"/>
  <c r="H1071" i="3"/>
  <c r="J1071" i="3" s="1"/>
  <c r="H1072" i="3"/>
  <c r="J1072" i="3" s="1"/>
  <c r="H1073" i="3"/>
  <c r="J1073" i="3" s="1"/>
  <c r="H1074" i="3"/>
  <c r="J1074" i="3" s="1"/>
  <c r="H1075" i="3"/>
  <c r="J1075" i="3" s="1"/>
  <c r="H1076" i="3"/>
  <c r="J1076" i="3" s="1"/>
  <c r="H1077" i="3"/>
  <c r="J1077" i="3" s="1"/>
  <c r="H1078" i="3"/>
  <c r="J1078" i="3" s="1"/>
  <c r="H1079" i="3"/>
  <c r="J1079" i="3" s="1"/>
  <c r="H1080" i="3"/>
  <c r="J1080" i="3" s="1"/>
  <c r="H1081" i="3"/>
  <c r="J1081" i="3" s="1"/>
  <c r="H1082" i="3"/>
  <c r="J1082" i="3" s="1"/>
  <c r="H1083" i="3"/>
  <c r="J1083" i="3" s="1"/>
  <c r="H1084" i="3"/>
  <c r="J1084" i="3" s="1"/>
  <c r="H1085" i="3"/>
  <c r="J1085" i="3" s="1"/>
  <c r="H1086" i="3"/>
  <c r="J1086" i="3" s="1"/>
  <c r="H1087" i="3"/>
  <c r="H1088" i="3"/>
  <c r="J1088" i="3" s="1"/>
  <c r="H1089" i="3"/>
  <c r="J1089" i="3" s="1"/>
  <c r="H1090" i="3"/>
  <c r="J1090" i="3" s="1"/>
  <c r="H1091" i="3"/>
  <c r="J1091" i="3" s="1"/>
  <c r="H1092" i="3"/>
  <c r="J1092" i="3" s="1"/>
  <c r="H1093" i="3"/>
  <c r="J1093" i="3" s="1"/>
  <c r="H1094" i="3"/>
  <c r="J1094" i="3" s="1"/>
  <c r="H1095" i="3"/>
  <c r="J1095" i="3" s="1"/>
  <c r="H1096" i="3"/>
  <c r="J1096" i="3" s="1"/>
  <c r="H1097" i="3"/>
  <c r="J1097" i="3" s="1"/>
  <c r="H1098" i="3"/>
  <c r="J1098" i="3" s="1"/>
  <c r="H1099" i="3"/>
  <c r="J1099" i="3" s="1"/>
  <c r="H1100" i="3"/>
  <c r="J1100" i="3" s="1"/>
  <c r="H1101" i="3"/>
  <c r="J1101" i="3" s="1"/>
  <c r="H1102" i="3"/>
  <c r="H1103" i="3"/>
  <c r="J1103" i="3" s="1"/>
  <c r="H1104" i="3"/>
  <c r="J1104" i="3" s="1"/>
  <c r="H1105" i="3"/>
  <c r="J1105" i="3" s="1"/>
  <c r="H1106" i="3"/>
  <c r="J1106" i="3" s="1"/>
  <c r="H1107" i="3"/>
  <c r="J1107" i="3" s="1"/>
  <c r="H1108" i="3"/>
  <c r="J1108" i="3" s="1"/>
  <c r="H1109" i="3"/>
  <c r="J1109" i="3" s="1"/>
  <c r="H1110" i="3"/>
  <c r="J1110" i="3" s="1"/>
  <c r="H1111" i="3"/>
  <c r="J1111" i="3" s="1"/>
  <c r="H1112" i="3"/>
  <c r="J1112" i="3" s="1"/>
  <c r="H1113" i="3"/>
  <c r="J1113" i="3" s="1"/>
  <c r="H1114" i="3"/>
  <c r="J1114" i="3" s="1"/>
  <c r="H1115" i="3"/>
  <c r="J1115" i="3" s="1"/>
  <c r="H1116" i="3"/>
  <c r="J1116" i="3" s="1"/>
  <c r="H1117" i="3"/>
  <c r="J1117" i="3" s="1"/>
  <c r="H1118" i="3"/>
  <c r="J1118" i="3" s="1"/>
  <c r="H1119" i="3"/>
  <c r="J1119" i="3" s="1"/>
  <c r="H1120" i="3"/>
  <c r="J1120" i="3" s="1"/>
  <c r="H1121" i="3"/>
  <c r="J1121" i="3" s="1"/>
  <c r="H1122" i="3"/>
  <c r="J1122" i="3" s="1"/>
  <c r="H1123" i="3"/>
  <c r="J1123" i="3" s="1"/>
  <c r="H1124" i="3"/>
  <c r="J1124" i="3" s="1"/>
  <c r="H1125" i="3"/>
  <c r="J1125" i="3" s="1"/>
  <c r="H1126" i="3"/>
  <c r="J1126" i="3" s="1"/>
  <c r="H1127" i="3"/>
  <c r="J1127" i="3" s="1"/>
  <c r="H1128" i="3"/>
  <c r="J1128" i="3" s="1"/>
  <c r="H1129" i="3"/>
  <c r="J1129" i="3" s="1"/>
  <c r="H1130" i="3"/>
  <c r="J1130" i="3" s="1"/>
  <c r="H1131" i="3"/>
  <c r="J1131" i="3" s="1"/>
  <c r="H1132" i="3"/>
  <c r="J1132" i="3" s="1"/>
  <c r="H1133" i="3"/>
  <c r="J1133" i="3" s="1"/>
  <c r="H1134" i="3"/>
  <c r="H1135" i="3"/>
  <c r="H1136" i="3"/>
  <c r="H1137" i="3"/>
  <c r="J1137" i="3" s="1"/>
  <c r="H1138" i="3"/>
  <c r="J1138" i="3" s="1"/>
  <c r="H1139" i="3"/>
  <c r="J1139" i="3" s="1"/>
  <c r="H1140" i="3"/>
  <c r="J1140" i="3" s="1"/>
  <c r="H1141" i="3"/>
  <c r="J1141" i="3" s="1"/>
  <c r="H1142" i="3"/>
  <c r="J1142" i="3" s="1"/>
  <c r="H1143" i="3"/>
  <c r="J1143" i="3" s="1"/>
  <c r="H1144" i="3"/>
  <c r="J1144" i="3" s="1"/>
  <c r="H1145" i="3"/>
  <c r="J1145" i="3" s="1"/>
  <c r="H1146" i="3"/>
  <c r="J1146" i="3" s="1"/>
  <c r="H1147" i="3"/>
  <c r="J1147" i="3" s="1"/>
  <c r="H1148" i="3"/>
  <c r="J1148" i="3" s="1"/>
  <c r="H1149" i="3"/>
  <c r="J1149" i="3" s="1"/>
  <c r="H1150" i="3"/>
  <c r="J1150" i="3" s="1"/>
  <c r="H1151" i="3"/>
  <c r="J1151" i="3" s="1"/>
  <c r="H1152" i="3"/>
  <c r="J1152" i="3" s="1"/>
  <c r="H1153" i="3"/>
  <c r="J1153" i="3" s="1"/>
  <c r="H1154" i="3"/>
  <c r="J1154" i="3" s="1"/>
  <c r="H1155" i="3"/>
  <c r="J1155" i="3" s="1"/>
  <c r="H1156" i="3"/>
  <c r="J1156" i="3" s="1"/>
  <c r="H1157" i="3"/>
  <c r="J1157" i="3" s="1"/>
  <c r="H1158" i="3"/>
  <c r="J1158" i="3" s="1"/>
  <c r="H1159" i="3"/>
  <c r="J1159" i="3" s="1"/>
  <c r="H1160" i="3"/>
  <c r="J1160" i="3" s="1"/>
  <c r="H1161" i="3"/>
  <c r="J1161" i="3" s="1"/>
  <c r="H1162" i="3"/>
  <c r="J1162" i="3" s="1"/>
  <c r="H1163" i="3"/>
  <c r="J1163" i="3" s="1"/>
  <c r="H1164" i="3"/>
  <c r="J1164" i="3" s="1"/>
  <c r="H1165" i="3"/>
  <c r="J1165" i="3" s="1"/>
  <c r="H1166" i="3"/>
  <c r="J1166" i="3" s="1"/>
  <c r="H1167" i="3"/>
  <c r="J1167" i="3" s="1"/>
  <c r="H1168" i="3"/>
  <c r="J1168" i="3" s="1"/>
  <c r="H1169" i="3"/>
  <c r="J1169" i="3" s="1"/>
  <c r="H1170" i="3"/>
  <c r="J1170" i="3" s="1"/>
  <c r="H1171" i="3"/>
  <c r="J1171" i="3" s="1"/>
  <c r="H1172" i="3"/>
  <c r="J1172" i="3" s="1"/>
  <c r="H1173" i="3"/>
  <c r="J1173" i="3" s="1"/>
  <c r="H1174" i="3"/>
  <c r="H1175" i="3"/>
  <c r="H1176" i="3"/>
  <c r="J1176" i="3" s="1"/>
  <c r="H1177" i="3"/>
  <c r="J1177" i="3" s="1"/>
  <c r="H1178" i="3"/>
  <c r="J1178" i="3" s="1"/>
  <c r="H1179" i="3"/>
  <c r="J1179" i="3" s="1"/>
  <c r="H1180" i="3"/>
  <c r="J1180" i="3" s="1"/>
  <c r="H1181" i="3"/>
  <c r="J1181" i="3" s="1"/>
  <c r="H1182" i="3"/>
  <c r="J1182" i="3" s="1"/>
  <c r="H1183" i="3"/>
  <c r="J1183" i="3" s="1"/>
  <c r="H1184" i="3"/>
  <c r="J1184" i="3" s="1"/>
  <c r="H1185" i="3"/>
  <c r="J1185" i="3" s="1"/>
  <c r="H1186" i="3"/>
  <c r="J1186" i="3" s="1"/>
  <c r="H1187" i="3"/>
  <c r="J1187" i="3" s="1"/>
  <c r="H1188" i="3"/>
  <c r="J1188" i="3" s="1"/>
  <c r="H1189" i="3"/>
  <c r="J1189" i="3" s="1"/>
  <c r="H1190" i="3"/>
  <c r="J1190" i="3" s="1"/>
  <c r="H1191" i="3"/>
  <c r="J1191" i="3" s="1"/>
  <c r="H1192" i="3"/>
  <c r="J1192" i="3" s="1"/>
  <c r="H1193" i="3"/>
  <c r="J1193" i="3" s="1"/>
  <c r="H1194" i="3"/>
  <c r="J1194" i="3" s="1"/>
  <c r="H1195" i="3"/>
  <c r="J1195" i="3" s="1"/>
  <c r="H1196" i="3"/>
  <c r="J1196" i="3" s="1"/>
  <c r="H1197" i="3"/>
  <c r="J1197" i="3" s="1"/>
  <c r="H1198" i="3"/>
  <c r="J1198" i="3" s="1"/>
  <c r="H1199" i="3"/>
  <c r="J1199" i="3" s="1"/>
  <c r="H1200" i="3"/>
  <c r="J1200" i="3" s="1"/>
  <c r="H1201" i="3"/>
  <c r="J1201" i="3" s="1"/>
  <c r="H1202" i="3"/>
  <c r="J1202" i="3" s="1"/>
  <c r="H1203" i="3"/>
  <c r="J1203" i="3" s="1"/>
  <c r="H1204" i="3"/>
  <c r="J1204" i="3" s="1"/>
  <c r="H1205" i="3"/>
  <c r="J1205" i="3" s="1"/>
  <c r="H1206" i="3"/>
  <c r="J1206" i="3" s="1"/>
  <c r="H1207" i="3"/>
  <c r="J1207" i="3" s="1"/>
  <c r="H1208" i="3"/>
  <c r="J1208" i="3" s="1"/>
  <c r="H1209" i="3"/>
  <c r="J1209" i="3" s="1"/>
  <c r="H1210" i="3"/>
  <c r="J1210" i="3" s="1"/>
  <c r="H1211" i="3"/>
  <c r="J1211" i="3" s="1"/>
  <c r="H1212" i="3"/>
  <c r="J1212" i="3" s="1"/>
  <c r="H1213" i="3"/>
  <c r="J1213" i="3" s="1"/>
  <c r="H1214" i="3"/>
  <c r="J1214" i="3" s="1"/>
  <c r="H1215" i="3"/>
  <c r="J1215" i="3" s="1"/>
  <c r="H1216" i="3"/>
  <c r="J1216" i="3" s="1"/>
  <c r="H1217" i="3"/>
  <c r="J1217" i="3" s="1"/>
  <c r="H1218" i="3"/>
  <c r="J1218" i="3" s="1"/>
  <c r="H1219" i="3"/>
  <c r="J1219" i="3" s="1"/>
  <c r="H1220" i="3"/>
  <c r="J1220" i="3" s="1"/>
  <c r="H1221" i="3"/>
  <c r="J1221" i="3" s="1"/>
  <c r="H1222" i="3"/>
  <c r="J1222" i="3" s="1"/>
  <c r="H1223" i="3"/>
  <c r="J1223" i="3" s="1"/>
  <c r="H1224" i="3"/>
  <c r="J1224" i="3" s="1"/>
  <c r="H1225" i="3"/>
  <c r="J1225" i="3" s="1"/>
  <c r="H1226" i="3"/>
  <c r="J1226" i="3" s="1"/>
  <c r="H1227" i="3"/>
  <c r="J1227" i="3" s="1"/>
  <c r="H1228" i="3"/>
  <c r="J1228" i="3" s="1"/>
  <c r="H1229" i="3"/>
  <c r="J1229" i="3" s="1"/>
  <c r="H1230" i="3"/>
  <c r="H1231" i="3"/>
  <c r="H1232" i="3"/>
  <c r="J1232" i="3" s="1"/>
  <c r="H1233" i="3"/>
  <c r="J1233" i="3" s="1"/>
  <c r="H1234" i="3"/>
  <c r="J1234" i="3" s="1"/>
  <c r="H1235" i="3"/>
  <c r="J1235" i="3" s="1"/>
  <c r="H1236" i="3"/>
  <c r="J1236" i="3" s="1"/>
  <c r="H1237" i="3"/>
  <c r="J1237" i="3" s="1"/>
  <c r="H1238" i="3"/>
  <c r="J1238" i="3" s="1"/>
  <c r="H1239" i="3"/>
  <c r="J1239" i="3" s="1"/>
  <c r="H1240" i="3"/>
  <c r="J1240" i="3" s="1"/>
  <c r="H1241" i="3"/>
  <c r="J1241" i="3" s="1"/>
  <c r="H1242" i="3"/>
  <c r="J1242" i="3" s="1"/>
  <c r="H1243" i="3"/>
  <c r="J1243" i="3" s="1"/>
  <c r="H1244" i="3"/>
  <c r="J1244" i="3" s="1"/>
  <c r="H1245" i="3"/>
  <c r="J1245" i="3" s="1"/>
  <c r="H1246" i="3"/>
  <c r="J1246" i="3" s="1"/>
  <c r="H1247" i="3"/>
  <c r="J1247" i="3" s="1"/>
  <c r="H1248" i="3"/>
  <c r="J1248" i="3" s="1"/>
  <c r="H1249" i="3"/>
  <c r="J1249" i="3" s="1"/>
  <c r="H1250" i="3"/>
  <c r="J1250" i="3" s="1"/>
  <c r="H1251" i="3"/>
  <c r="J1251" i="3" s="1"/>
  <c r="H1252" i="3"/>
  <c r="J1252" i="3" s="1"/>
  <c r="H1253" i="3"/>
  <c r="J1253" i="3" s="1"/>
  <c r="H1254" i="3"/>
  <c r="J1254" i="3" s="1"/>
  <c r="H1255" i="3"/>
  <c r="J1255" i="3" s="1"/>
  <c r="H1256" i="3"/>
  <c r="J1256" i="3" s="1"/>
  <c r="H1257" i="3"/>
  <c r="J1257" i="3" s="1"/>
  <c r="H1258" i="3"/>
  <c r="J1258" i="3" s="1"/>
  <c r="H1259" i="3"/>
  <c r="J1259" i="3" s="1"/>
  <c r="H1260" i="3"/>
  <c r="J1260" i="3" s="1"/>
  <c r="H1261" i="3"/>
  <c r="J1261" i="3" s="1"/>
  <c r="H1262" i="3"/>
  <c r="H1263" i="3"/>
  <c r="H1264" i="3"/>
  <c r="H1265" i="3"/>
  <c r="J1265" i="3" s="1"/>
  <c r="H1266" i="3"/>
  <c r="J1266" i="3" s="1"/>
  <c r="H1267" i="3"/>
  <c r="J1267" i="3" s="1"/>
  <c r="H1268" i="3"/>
  <c r="J1268" i="3" s="1"/>
  <c r="H1269" i="3"/>
  <c r="J1269" i="3" s="1"/>
  <c r="H1270" i="3"/>
  <c r="J1270" i="3" s="1"/>
  <c r="H1271" i="3"/>
  <c r="J1271" i="3" s="1"/>
  <c r="H1272" i="3"/>
  <c r="J1272" i="3" s="1"/>
  <c r="H1273" i="3"/>
  <c r="J1273" i="3" s="1"/>
  <c r="H1274" i="3"/>
  <c r="J1274" i="3" s="1"/>
  <c r="H1275" i="3"/>
  <c r="J1275" i="3" s="1"/>
  <c r="H1276" i="3"/>
  <c r="J1276" i="3" s="1"/>
  <c r="H1277" i="3"/>
  <c r="J1277" i="3" s="1"/>
  <c r="H1278" i="3"/>
  <c r="J1278" i="3" s="1"/>
  <c r="H1279" i="3"/>
  <c r="J1279" i="3" s="1"/>
  <c r="H1280" i="3"/>
  <c r="J1280" i="3" s="1"/>
  <c r="H1281" i="3"/>
  <c r="J1281" i="3" s="1"/>
  <c r="H1282" i="3"/>
  <c r="J1282" i="3" s="1"/>
  <c r="H1283" i="3"/>
  <c r="J1283" i="3" s="1"/>
  <c r="H1284" i="3"/>
  <c r="J1284" i="3" s="1"/>
  <c r="H1285" i="3"/>
  <c r="J1285" i="3" s="1"/>
  <c r="H1286" i="3"/>
  <c r="J1286" i="3" s="1"/>
  <c r="H1287" i="3"/>
  <c r="J1287" i="3" s="1"/>
  <c r="H1288" i="3"/>
  <c r="J1288" i="3" s="1"/>
  <c r="H1289" i="3"/>
  <c r="J1289" i="3" s="1"/>
  <c r="H1290" i="3"/>
  <c r="J1290" i="3" s="1"/>
  <c r="H1291" i="3"/>
  <c r="J1291" i="3" s="1"/>
  <c r="H1292" i="3"/>
  <c r="J1292" i="3" s="1"/>
  <c r="H1293" i="3"/>
  <c r="J1293" i="3" s="1"/>
  <c r="H1294" i="3"/>
  <c r="J1294" i="3" s="1"/>
  <c r="H1295" i="3"/>
  <c r="J1295" i="3" s="1"/>
  <c r="H1296" i="3"/>
  <c r="J1296" i="3" s="1"/>
  <c r="H1297" i="3"/>
  <c r="J1297" i="3" s="1"/>
  <c r="H1298" i="3"/>
  <c r="J1298" i="3" s="1"/>
  <c r="H1299" i="3"/>
  <c r="J1299" i="3" s="1"/>
  <c r="H1300" i="3"/>
  <c r="J1300" i="3" s="1"/>
  <c r="H1301" i="3"/>
  <c r="J1301" i="3" s="1"/>
  <c r="H1302" i="3"/>
  <c r="J1302" i="3" s="1"/>
  <c r="H1303" i="3"/>
  <c r="J1303" i="3" s="1"/>
  <c r="H1304" i="3"/>
  <c r="J1304" i="3" s="1"/>
  <c r="H1305" i="3"/>
  <c r="J1305" i="3" s="1"/>
  <c r="H1306" i="3"/>
  <c r="J1306" i="3" s="1"/>
  <c r="H1307" i="3"/>
  <c r="J1307" i="3" s="1"/>
  <c r="H1308" i="3"/>
  <c r="J1308" i="3" s="1"/>
  <c r="H1309" i="3"/>
  <c r="J1309" i="3" s="1"/>
  <c r="H1310" i="3"/>
  <c r="J1310" i="3" s="1"/>
  <c r="H1311" i="3"/>
  <c r="J1311" i="3" s="1"/>
  <c r="H1312" i="3"/>
  <c r="J1312" i="3" s="1"/>
  <c r="H1313" i="3"/>
  <c r="J1313" i="3" s="1"/>
  <c r="H1314" i="3"/>
  <c r="J1314" i="3" s="1"/>
  <c r="H1315" i="3"/>
  <c r="J1315" i="3" s="1"/>
  <c r="H1316" i="3"/>
  <c r="J1316" i="3" s="1"/>
  <c r="H1317" i="3"/>
  <c r="J1317" i="3" s="1"/>
  <c r="H1318" i="3"/>
  <c r="H1319" i="3"/>
  <c r="J1319" i="3" s="1"/>
  <c r="H1320" i="3"/>
  <c r="J1320" i="3" s="1"/>
  <c r="H1321" i="3"/>
  <c r="J1321" i="3" s="1"/>
  <c r="H1322" i="3"/>
  <c r="J1322" i="3" s="1"/>
  <c r="H1323" i="3"/>
  <c r="J1323" i="3" s="1"/>
  <c r="H1324" i="3"/>
  <c r="J1324" i="3" s="1"/>
  <c r="H1325" i="3"/>
  <c r="J1325" i="3" s="1"/>
  <c r="H1326" i="3"/>
  <c r="J1326" i="3" s="1"/>
  <c r="H1327" i="3"/>
  <c r="J1327" i="3" s="1"/>
  <c r="H1328" i="3"/>
  <c r="J1328" i="3" s="1"/>
  <c r="H1329" i="3"/>
  <c r="J1329" i="3" s="1"/>
  <c r="H1330" i="3"/>
  <c r="J1330" i="3" s="1"/>
  <c r="H1331" i="3"/>
  <c r="J1331" i="3" s="1"/>
  <c r="H1332" i="3"/>
  <c r="J1332" i="3" s="1"/>
  <c r="H1333" i="3"/>
  <c r="J1333" i="3" s="1"/>
  <c r="H1334" i="3"/>
  <c r="J1334" i="3" s="1"/>
  <c r="H1335" i="3"/>
  <c r="J1335" i="3" s="1"/>
  <c r="H1336" i="3"/>
  <c r="J1336" i="3" s="1"/>
  <c r="H1337" i="3"/>
  <c r="J1337" i="3" s="1"/>
  <c r="H1338" i="3"/>
  <c r="J1338" i="3" s="1"/>
  <c r="H1339" i="3"/>
  <c r="J1339" i="3" s="1"/>
  <c r="H1340" i="3"/>
  <c r="J1340" i="3" s="1"/>
  <c r="H1341" i="3"/>
  <c r="J1341" i="3" s="1"/>
  <c r="H1342" i="3"/>
  <c r="J1342" i="3" s="1"/>
  <c r="H1343" i="3"/>
  <c r="J1343" i="3" s="1"/>
  <c r="H1344" i="3"/>
  <c r="J1344" i="3" s="1"/>
  <c r="H1345" i="3"/>
  <c r="J1345" i="3" s="1"/>
  <c r="H1346" i="3"/>
  <c r="J1346" i="3" s="1"/>
  <c r="H1347" i="3"/>
  <c r="J1347" i="3" s="1"/>
  <c r="H1348" i="3"/>
  <c r="J1348" i="3" s="1"/>
  <c r="H1349" i="3"/>
  <c r="J1349" i="3" s="1"/>
  <c r="H1350" i="3"/>
  <c r="J1350" i="3" s="1"/>
  <c r="H1351" i="3"/>
  <c r="J1351" i="3" s="1"/>
  <c r="H1352" i="3"/>
  <c r="J1352" i="3" s="1"/>
  <c r="H1353" i="3"/>
  <c r="J1353" i="3" s="1"/>
  <c r="H1354" i="3"/>
  <c r="J1354" i="3" s="1"/>
  <c r="H1355" i="3"/>
  <c r="J1355" i="3" s="1"/>
  <c r="H1356" i="3"/>
  <c r="J1356" i="3" s="1"/>
  <c r="H1357" i="3"/>
  <c r="J1357" i="3" s="1"/>
  <c r="H1358" i="3"/>
  <c r="J1358" i="3" s="1"/>
  <c r="H1359" i="3"/>
  <c r="J1359" i="3" s="1"/>
  <c r="H1360" i="3"/>
  <c r="J1360" i="3" s="1"/>
  <c r="H1361" i="3"/>
  <c r="J1361" i="3" s="1"/>
  <c r="H1362" i="3"/>
  <c r="J1362" i="3" s="1"/>
  <c r="H1363" i="3"/>
  <c r="J1363" i="3" s="1"/>
  <c r="H1364" i="3"/>
  <c r="J1364" i="3" s="1"/>
  <c r="H1365" i="3"/>
  <c r="J1365" i="3" s="1"/>
  <c r="H1366" i="3"/>
  <c r="H1367" i="3"/>
  <c r="J1367" i="3" s="1"/>
  <c r="H1368" i="3"/>
  <c r="J1368" i="3" s="1"/>
  <c r="H1369" i="3"/>
  <c r="J1369" i="3" s="1"/>
  <c r="H1370" i="3"/>
  <c r="J1370" i="3" s="1"/>
  <c r="H1371" i="3"/>
  <c r="J1371" i="3" s="1"/>
  <c r="H1372" i="3"/>
  <c r="J1372" i="3" s="1"/>
  <c r="H1373" i="3"/>
  <c r="J1373" i="3" s="1"/>
  <c r="H1374" i="3"/>
  <c r="J1374" i="3" s="1"/>
  <c r="H1375" i="3"/>
  <c r="J1375" i="3" s="1"/>
  <c r="H1376" i="3"/>
  <c r="J1376" i="3" s="1"/>
  <c r="H1377" i="3"/>
  <c r="J1377" i="3" s="1"/>
  <c r="H1378" i="3"/>
  <c r="J1378" i="3" s="1"/>
  <c r="H1379" i="3"/>
  <c r="J1379" i="3" s="1"/>
  <c r="H1380" i="3"/>
  <c r="J1380" i="3" s="1"/>
  <c r="H1381" i="3"/>
  <c r="J1381" i="3" s="1"/>
  <c r="H1382" i="3"/>
  <c r="J1382" i="3" s="1"/>
  <c r="H1383" i="3"/>
  <c r="J1383" i="3" s="1"/>
  <c r="H1384" i="3"/>
  <c r="J1384" i="3" s="1"/>
  <c r="H1385" i="3"/>
  <c r="J1385" i="3" s="1"/>
  <c r="H1386" i="3"/>
  <c r="J1386" i="3" s="1"/>
  <c r="H1387" i="3"/>
  <c r="J1387" i="3" s="1"/>
  <c r="H1388" i="3"/>
  <c r="J1388" i="3" s="1"/>
  <c r="H1389" i="3"/>
  <c r="J1389" i="3" s="1"/>
  <c r="H1390" i="3"/>
  <c r="J1390" i="3" s="1"/>
  <c r="H1391" i="3"/>
  <c r="J1391" i="3" s="1"/>
  <c r="H1392" i="3"/>
  <c r="J1392" i="3" s="1"/>
  <c r="H1393" i="3"/>
  <c r="J1393" i="3" s="1"/>
  <c r="H1394" i="3"/>
  <c r="J1394" i="3" s="1"/>
  <c r="H1395" i="3"/>
  <c r="J1395" i="3" s="1"/>
  <c r="H1396" i="3"/>
  <c r="J1396" i="3" s="1"/>
  <c r="H1397" i="3"/>
  <c r="H1398" i="3"/>
  <c r="H1399" i="3"/>
  <c r="J1399" i="3" s="1"/>
  <c r="H1400" i="3"/>
  <c r="J1400" i="3" s="1"/>
  <c r="H1401" i="3"/>
  <c r="J1401" i="3" s="1"/>
  <c r="H1402" i="3"/>
  <c r="J1402" i="3" s="1"/>
  <c r="H1403" i="3"/>
  <c r="J1403" i="3" s="1"/>
  <c r="H1404" i="3"/>
  <c r="J1404" i="3" s="1"/>
  <c r="H1405" i="3"/>
  <c r="J1405" i="3" s="1"/>
  <c r="H1406" i="3"/>
  <c r="J1406" i="3" s="1"/>
  <c r="H1407" i="3"/>
  <c r="J1407" i="3" s="1"/>
  <c r="H1408" i="3"/>
  <c r="J1408" i="3" s="1"/>
  <c r="H1409" i="3"/>
  <c r="J1409" i="3" s="1"/>
  <c r="H1410" i="3"/>
  <c r="J1410" i="3" s="1"/>
  <c r="H1411" i="3"/>
  <c r="J1411" i="3" s="1"/>
  <c r="H1412" i="3"/>
  <c r="J1412" i="3" s="1"/>
  <c r="H1413" i="3"/>
  <c r="J1413" i="3" s="1"/>
  <c r="H1414" i="3"/>
  <c r="H1415" i="3"/>
  <c r="J1415" i="3" s="1"/>
  <c r="H1416" i="3"/>
  <c r="J1416" i="3" s="1"/>
  <c r="H1417" i="3"/>
  <c r="J1417" i="3" s="1"/>
  <c r="H1418" i="3"/>
  <c r="J1418" i="3" s="1"/>
  <c r="H1419" i="3"/>
  <c r="J1419" i="3" s="1"/>
  <c r="H1420" i="3"/>
  <c r="J1420" i="3" s="1"/>
  <c r="H1421" i="3"/>
  <c r="J1421" i="3" s="1"/>
  <c r="H1422" i="3"/>
  <c r="H1423" i="3"/>
  <c r="J1423" i="3" s="1"/>
  <c r="H1424" i="3"/>
  <c r="J1424" i="3" s="1"/>
  <c r="H1425" i="3"/>
  <c r="J1425" i="3" s="1"/>
  <c r="H1426" i="3"/>
  <c r="J1426" i="3" s="1"/>
  <c r="H1427" i="3"/>
  <c r="J1427" i="3" s="1"/>
  <c r="H1428" i="3"/>
  <c r="J1428" i="3" s="1"/>
  <c r="H1429" i="3"/>
  <c r="J1429" i="3" s="1"/>
  <c r="H1430" i="3"/>
  <c r="J1430" i="3" s="1"/>
  <c r="H1431" i="3"/>
  <c r="J1431" i="3" s="1"/>
  <c r="H1432" i="3"/>
  <c r="J1432" i="3" s="1"/>
  <c r="H1433" i="3"/>
  <c r="J1433" i="3" s="1"/>
  <c r="H1434" i="3"/>
  <c r="J1434" i="3" s="1"/>
  <c r="H1435" i="3"/>
  <c r="J1435" i="3" s="1"/>
  <c r="H1436" i="3"/>
  <c r="J1436" i="3" s="1"/>
  <c r="H1437" i="3"/>
  <c r="J1437" i="3" s="1"/>
  <c r="H1438" i="3"/>
  <c r="J1438" i="3" s="1"/>
  <c r="H1439" i="3"/>
  <c r="J1439" i="3" s="1"/>
  <c r="H1440" i="3"/>
  <c r="J1440" i="3" s="1"/>
  <c r="H1441" i="3"/>
  <c r="J1441" i="3" s="1"/>
  <c r="H1442" i="3"/>
  <c r="J1442" i="3" s="1"/>
  <c r="H1443" i="3"/>
  <c r="J1443" i="3" s="1"/>
  <c r="H1444" i="3"/>
  <c r="J1444" i="3" s="1"/>
  <c r="H1445" i="3"/>
  <c r="J1445" i="3" s="1"/>
  <c r="H1446" i="3"/>
  <c r="J1446" i="3" s="1"/>
  <c r="H1447" i="3"/>
  <c r="J1447" i="3" s="1"/>
  <c r="H1448" i="3"/>
  <c r="J1448" i="3" s="1"/>
  <c r="H1449" i="3"/>
  <c r="J1449" i="3" s="1"/>
  <c r="H1450" i="3"/>
  <c r="J1450" i="3" s="1"/>
  <c r="H1451" i="3"/>
  <c r="J1451" i="3" s="1"/>
  <c r="H1452" i="3"/>
  <c r="J1452" i="3" s="1"/>
  <c r="H1453" i="3"/>
  <c r="J1453" i="3" s="1"/>
  <c r="H1454" i="3"/>
  <c r="J1454" i="3" s="1"/>
  <c r="H1455" i="3"/>
  <c r="J1455" i="3" s="1"/>
  <c r="H1456" i="3"/>
  <c r="J1456" i="3" s="1"/>
  <c r="H1457" i="3"/>
  <c r="J1457" i="3" s="1"/>
  <c r="H1458" i="3"/>
  <c r="J1458" i="3" s="1"/>
  <c r="H1459" i="3"/>
  <c r="J1459" i="3" s="1"/>
  <c r="H1460" i="3"/>
  <c r="J1460" i="3" s="1"/>
  <c r="H1461" i="3"/>
  <c r="J1461" i="3" s="1"/>
  <c r="H1462" i="3"/>
  <c r="H1463" i="3"/>
  <c r="H1464" i="3"/>
  <c r="J1464" i="3" s="1"/>
  <c r="H1465" i="3"/>
  <c r="J1465" i="3" s="1"/>
  <c r="H1466" i="3"/>
  <c r="J1466" i="3" s="1"/>
  <c r="H1467" i="3"/>
  <c r="J1467" i="3" s="1"/>
  <c r="H1468" i="3"/>
  <c r="J1468" i="3" s="1"/>
  <c r="H1469" i="3"/>
  <c r="J1469" i="3" s="1"/>
  <c r="H1470" i="3"/>
  <c r="J1470" i="3" s="1"/>
  <c r="H1471" i="3"/>
  <c r="J1471" i="3" s="1"/>
  <c r="H1472" i="3"/>
  <c r="J1472" i="3" s="1"/>
  <c r="H1473" i="3"/>
  <c r="J1473" i="3" s="1"/>
  <c r="H1474" i="3"/>
  <c r="J1474" i="3" s="1"/>
  <c r="H1475" i="3"/>
  <c r="J1475" i="3" s="1"/>
  <c r="H1476" i="3"/>
  <c r="J1476" i="3" s="1"/>
  <c r="H1477" i="3"/>
  <c r="J1477" i="3" s="1"/>
  <c r="H1478" i="3"/>
  <c r="J1478" i="3" s="1"/>
  <c r="H1479" i="3"/>
  <c r="J1479" i="3" s="1"/>
  <c r="H1480" i="3"/>
  <c r="J1480" i="3" s="1"/>
  <c r="H1481" i="3"/>
  <c r="J1481" i="3" s="1"/>
  <c r="H1482" i="3"/>
  <c r="J1482" i="3" s="1"/>
  <c r="H1483" i="3"/>
  <c r="J1483" i="3" s="1"/>
  <c r="H1484" i="3"/>
  <c r="J1484" i="3" s="1"/>
  <c r="H1485" i="3"/>
  <c r="J1485" i="3" s="1"/>
  <c r="H1486" i="3"/>
  <c r="J1486" i="3" s="1"/>
  <c r="H1487" i="3"/>
  <c r="J1487" i="3" s="1"/>
  <c r="H1488" i="3"/>
  <c r="J1488" i="3" s="1"/>
  <c r="H1489" i="3"/>
  <c r="J1489" i="3" s="1"/>
  <c r="H1490" i="3"/>
  <c r="J1490" i="3" s="1"/>
  <c r="H1491" i="3"/>
  <c r="J1491" i="3" s="1"/>
  <c r="H1492" i="3"/>
  <c r="J1492" i="3" s="1"/>
  <c r="H1493" i="3"/>
  <c r="H1494" i="3"/>
  <c r="H1495" i="3"/>
  <c r="J1495" i="3" s="1"/>
  <c r="H1496" i="3"/>
  <c r="J1496" i="3" s="1"/>
  <c r="H1497" i="3"/>
  <c r="J1497" i="3" s="1"/>
  <c r="H1498" i="3"/>
  <c r="J1498" i="3" s="1"/>
  <c r="H1499" i="3"/>
  <c r="J1499" i="3" s="1"/>
  <c r="H1500" i="3"/>
  <c r="J1500" i="3" s="1"/>
  <c r="H1501" i="3"/>
  <c r="J1501" i="3" s="1"/>
  <c r="H1502" i="3"/>
  <c r="J1502" i="3" s="1"/>
  <c r="H1503" i="3"/>
  <c r="J1503" i="3" s="1"/>
  <c r="H1504" i="3"/>
  <c r="J1504" i="3" s="1"/>
  <c r="H1505" i="3"/>
  <c r="J1505" i="3" s="1"/>
  <c r="H1506" i="3"/>
  <c r="J1506" i="3" s="1"/>
  <c r="H1507" i="3"/>
  <c r="J1507" i="3" s="1"/>
  <c r="H1508" i="3"/>
  <c r="J1508" i="3" s="1"/>
  <c r="H1509" i="3"/>
  <c r="J1509" i="3" s="1"/>
  <c r="H1510" i="3"/>
  <c r="H1511" i="3"/>
  <c r="J1511" i="3" s="1"/>
  <c r="H1512" i="3"/>
  <c r="J1512" i="3" s="1"/>
  <c r="H1513" i="3"/>
  <c r="J1513" i="3" s="1"/>
  <c r="H1514" i="3"/>
  <c r="J1514" i="3" s="1"/>
  <c r="H1515" i="3"/>
  <c r="J1515" i="3" s="1"/>
  <c r="H1516" i="3"/>
  <c r="J1516" i="3" s="1"/>
  <c r="H1517" i="3"/>
  <c r="J1517" i="3" s="1"/>
  <c r="H1518" i="3"/>
  <c r="H1519" i="3"/>
  <c r="J1519" i="3" s="1"/>
  <c r="H1520" i="3"/>
  <c r="J1520" i="3" s="1"/>
  <c r="H1521" i="3"/>
  <c r="J1521" i="3" s="1"/>
  <c r="H1522" i="3"/>
  <c r="J1522" i="3" s="1"/>
  <c r="H1523" i="3"/>
  <c r="J1523" i="3" s="1"/>
  <c r="H1524" i="3"/>
  <c r="J1524" i="3" s="1"/>
  <c r="H1525" i="3"/>
  <c r="J1525" i="3" s="1"/>
  <c r="H1526" i="3"/>
  <c r="J1526" i="3" s="1"/>
  <c r="H1527" i="3"/>
  <c r="J1527" i="3" s="1"/>
  <c r="H1528" i="3"/>
  <c r="J1528" i="3" s="1"/>
  <c r="H1529" i="3"/>
  <c r="J1529" i="3" s="1"/>
  <c r="H1530" i="3"/>
  <c r="J1530" i="3" s="1"/>
  <c r="H1531" i="3"/>
  <c r="J1531" i="3" s="1"/>
  <c r="H1532" i="3"/>
  <c r="J1532" i="3" s="1"/>
  <c r="H1533" i="3"/>
  <c r="J1533" i="3" s="1"/>
  <c r="H1534" i="3"/>
  <c r="J1534" i="3" s="1"/>
  <c r="H1535" i="3"/>
  <c r="J1535" i="3" s="1"/>
  <c r="H1536" i="3"/>
  <c r="J1536" i="3" s="1"/>
  <c r="H1537" i="3"/>
  <c r="J1537" i="3" s="1"/>
  <c r="H1538" i="3"/>
  <c r="J1538" i="3" s="1"/>
  <c r="H1539" i="3"/>
  <c r="J1539" i="3" s="1"/>
  <c r="H1540" i="3"/>
  <c r="J1540" i="3" s="1"/>
  <c r="H1541" i="3"/>
  <c r="J1541" i="3" s="1"/>
  <c r="H1542" i="3"/>
  <c r="J1542" i="3" s="1"/>
  <c r="H1543" i="3"/>
  <c r="J1543" i="3" s="1"/>
  <c r="H1544" i="3"/>
  <c r="J1544" i="3" s="1"/>
  <c r="H1545" i="3"/>
  <c r="J1545" i="3" s="1"/>
  <c r="H1546" i="3"/>
  <c r="J1546" i="3" s="1"/>
  <c r="H1547" i="3"/>
  <c r="J1547" i="3" s="1"/>
  <c r="H1548" i="3"/>
  <c r="J1548" i="3" s="1"/>
  <c r="H1549" i="3"/>
  <c r="J1549" i="3" s="1"/>
  <c r="H1550" i="3"/>
  <c r="J1550" i="3" s="1"/>
  <c r="H1551" i="3"/>
  <c r="J1551" i="3" s="1"/>
  <c r="H1552" i="3"/>
  <c r="J1552" i="3" s="1"/>
  <c r="H1553" i="3"/>
  <c r="J1553" i="3" s="1"/>
  <c r="H1554" i="3"/>
  <c r="J1554" i="3" s="1"/>
  <c r="H1555" i="3"/>
  <c r="J1555" i="3" s="1"/>
  <c r="H1556" i="3"/>
  <c r="J1556" i="3" s="1"/>
  <c r="H1557" i="3"/>
  <c r="J1557" i="3" s="1"/>
  <c r="H1558" i="3"/>
  <c r="H1559" i="3"/>
  <c r="J1559" i="3" s="1"/>
  <c r="H1560" i="3"/>
  <c r="J1560" i="3" s="1"/>
  <c r="H1561" i="3"/>
  <c r="J1561" i="3" s="1"/>
  <c r="H1562" i="3"/>
  <c r="J1562" i="3" s="1"/>
  <c r="H1563" i="3"/>
  <c r="J1563" i="3" s="1"/>
  <c r="H1564" i="3"/>
  <c r="J1564" i="3" s="1"/>
  <c r="H1565" i="3"/>
  <c r="J1565" i="3" s="1"/>
  <c r="H1566" i="3"/>
  <c r="J1566" i="3" s="1"/>
  <c r="H1567" i="3"/>
  <c r="J1567" i="3" s="1"/>
  <c r="H1568" i="3"/>
  <c r="J1568" i="3" s="1"/>
  <c r="H1569" i="3"/>
  <c r="J1569" i="3" s="1"/>
  <c r="H1570" i="3"/>
  <c r="J1570" i="3" s="1"/>
  <c r="H1571" i="3"/>
  <c r="J1571" i="3" s="1"/>
  <c r="H1572" i="3"/>
  <c r="J1572" i="3" s="1"/>
  <c r="H1573" i="3"/>
  <c r="J1573" i="3" s="1"/>
  <c r="H1574" i="3"/>
  <c r="J1574" i="3" s="1"/>
  <c r="H1575" i="3"/>
  <c r="J1575" i="3" s="1"/>
  <c r="H1576" i="3"/>
  <c r="J1576" i="3" s="1"/>
  <c r="H1577" i="3"/>
  <c r="J1577" i="3" s="1"/>
  <c r="H1578" i="3"/>
  <c r="J1578" i="3" s="1"/>
  <c r="H1579" i="3"/>
  <c r="J1579" i="3" s="1"/>
  <c r="H1580" i="3"/>
  <c r="J1580" i="3" s="1"/>
  <c r="H1581" i="3"/>
  <c r="J1581" i="3" s="1"/>
  <c r="H1582" i="3"/>
  <c r="J1582" i="3" s="1"/>
  <c r="H1583" i="3"/>
  <c r="J1583" i="3" s="1"/>
  <c r="H1584" i="3"/>
  <c r="J1584" i="3" s="1"/>
  <c r="H1585" i="3"/>
  <c r="J1585" i="3" s="1"/>
  <c r="H1586" i="3"/>
  <c r="J1586" i="3" s="1"/>
  <c r="H1587" i="3"/>
  <c r="J1587" i="3" s="1"/>
  <c r="H1588" i="3"/>
  <c r="J1588" i="3" s="1"/>
  <c r="H1589" i="3"/>
  <c r="J1589" i="3" s="1"/>
  <c r="H1590" i="3"/>
  <c r="J1590" i="3" s="1"/>
  <c r="H1591" i="3"/>
  <c r="J1591" i="3" s="1"/>
  <c r="H1592" i="3"/>
  <c r="J1592" i="3" s="1"/>
  <c r="H1593" i="3"/>
  <c r="J1593" i="3" s="1"/>
  <c r="H1594" i="3"/>
  <c r="J1594" i="3" s="1"/>
  <c r="H1595" i="3"/>
  <c r="J1595" i="3" s="1"/>
  <c r="H1596" i="3"/>
  <c r="J1596" i="3" s="1"/>
  <c r="H1597" i="3"/>
  <c r="J1597" i="3" s="1"/>
  <c r="H1598" i="3"/>
  <c r="J1598" i="3" s="1"/>
  <c r="H1599" i="3"/>
  <c r="J1599" i="3" s="1"/>
  <c r="H1600" i="3"/>
  <c r="J1600" i="3" s="1"/>
  <c r="H1601" i="3"/>
  <c r="J1601" i="3" s="1"/>
  <c r="H1602" i="3"/>
  <c r="J1602" i="3" s="1"/>
  <c r="H1603" i="3"/>
  <c r="J1603" i="3" s="1"/>
  <c r="H1604" i="3"/>
  <c r="J1604" i="3" s="1"/>
  <c r="H1605" i="3"/>
  <c r="J1605" i="3" s="1"/>
  <c r="H1606" i="3"/>
  <c r="H1607" i="3"/>
  <c r="J1607" i="3" s="1"/>
  <c r="H1608" i="3"/>
  <c r="J1608" i="3" s="1"/>
  <c r="H1609" i="3"/>
  <c r="J1609" i="3" s="1"/>
  <c r="H1610" i="3"/>
  <c r="J1610" i="3" s="1"/>
  <c r="H1611" i="3"/>
  <c r="J1611" i="3" s="1"/>
  <c r="H1612" i="3"/>
  <c r="J1612" i="3" s="1"/>
  <c r="H1613" i="3"/>
  <c r="J1613" i="3" s="1"/>
  <c r="H1614" i="3"/>
  <c r="H1615" i="3"/>
  <c r="H1616" i="3"/>
  <c r="J1616" i="3" s="1"/>
  <c r="H1617" i="3"/>
  <c r="J1617" i="3" s="1"/>
  <c r="H1618" i="3"/>
  <c r="J1618" i="3" s="1"/>
  <c r="H1619" i="3"/>
  <c r="J1619" i="3" s="1"/>
  <c r="H1620" i="3"/>
  <c r="J1620" i="3" s="1"/>
  <c r="H1621" i="3"/>
  <c r="J1621" i="3" s="1"/>
  <c r="H1622" i="3"/>
  <c r="J1622" i="3" s="1"/>
  <c r="H1623" i="3"/>
  <c r="J1623" i="3" s="1"/>
  <c r="H1624" i="3"/>
  <c r="J1624" i="3" s="1"/>
  <c r="H1625" i="3"/>
  <c r="J1625" i="3" s="1"/>
  <c r="H1626" i="3"/>
  <c r="J1626" i="3" s="1"/>
  <c r="H1627" i="3"/>
  <c r="J1627" i="3" s="1"/>
  <c r="H1628" i="3"/>
  <c r="J1628" i="3" s="1"/>
  <c r="H1629" i="3"/>
  <c r="J1629" i="3" s="1"/>
  <c r="H1630" i="3"/>
  <c r="J1630" i="3" s="1"/>
  <c r="H1631" i="3"/>
  <c r="J1631" i="3" s="1"/>
  <c r="H1632" i="3"/>
  <c r="J1632" i="3" s="1"/>
  <c r="H1633" i="3"/>
  <c r="J1633" i="3" s="1"/>
  <c r="H1634" i="3"/>
  <c r="J1634" i="3" s="1"/>
  <c r="H1635" i="3"/>
  <c r="J1635" i="3" s="1"/>
  <c r="H1636" i="3"/>
  <c r="J1636" i="3" s="1"/>
  <c r="H1637" i="3"/>
  <c r="J1637" i="3" s="1"/>
  <c r="H1638" i="3"/>
  <c r="J1638" i="3" s="1"/>
  <c r="H1639" i="3"/>
  <c r="J1639" i="3" s="1"/>
  <c r="H1640" i="3"/>
  <c r="J1640" i="3" s="1"/>
  <c r="H1641" i="3"/>
  <c r="J1641" i="3" s="1"/>
  <c r="H1642" i="3"/>
  <c r="J1642" i="3" s="1"/>
  <c r="H1643" i="3"/>
  <c r="J1643" i="3" s="1"/>
  <c r="H1644" i="3"/>
  <c r="J1644" i="3" s="1"/>
  <c r="H1645" i="3"/>
  <c r="J1645" i="3" s="1"/>
  <c r="H1646" i="3"/>
  <c r="J1646" i="3" s="1"/>
  <c r="H1647" i="3"/>
  <c r="J1647" i="3" s="1"/>
  <c r="H1648" i="3"/>
  <c r="J1648" i="3" s="1"/>
  <c r="H1649" i="3"/>
  <c r="J1649" i="3" s="1"/>
  <c r="H1650" i="3"/>
  <c r="J1650" i="3" s="1"/>
  <c r="H1651" i="3"/>
  <c r="J1651" i="3" s="1"/>
  <c r="H1652" i="3"/>
  <c r="J1652" i="3" s="1"/>
  <c r="H1653" i="3"/>
  <c r="J1653" i="3" s="1"/>
  <c r="H1654" i="3"/>
  <c r="J1654" i="3" s="1"/>
  <c r="H1655" i="3"/>
  <c r="J1655" i="3" s="1"/>
  <c r="H1656" i="3"/>
  <c r="J1656" i="3" s="1"/>
  <c r="H1657" i="3"/>
  <c r="J1657" i="3" s="1"/>
  <c r="H1658" i="3"/>
  <c r="J1658" i="3" s="1"/>
  <c r="H1659" i="3"/>
  <c r="J1659" i="3" s="1"/>
  <c r="H1660" i="3"/>
  <c r="J1660" i="3" s="1"/>
  <c r="H1661" i="3"/>
  <c r="J1661" i="3" s="1"/>
  <c r="H1662" i="3"/>
  <c r="J1662" i="3" s="1"/>
  <c r="H1663" i="3"/>
  <c r="H1664" i="3"/>
  <c r="H1665" i="3"/>
  <c r="J1665" i="3" s="1"/>
  <c r="H1666" i="3"/>
  <c r="J1666" i="3" s="1"/>
  <c r="H1667" i="3"/>
  <c r="J1667" i="3" s="1"/>
  <c r="H1668" i="3"/>
  <c r="J1668" i="3" s="1"/>
  <c r="H1669" i="3"/>
  <c r="J1669" i="3" s="1"/>
  <c r="H1670" i="3"/>
  <c r="J1670" i="3" s="1"/>
  <c r="H1671" i="3"/>
  <c r="J1671" i="3" s="1"/>
  <c r="H1672" i="3"/>
  <c r="J1672" i="3" s="1"/>
  <c r="H1673" i="3"/>
  <c r="J1673" i="3" s="1"/>
  <c r="H1674" i="3"/>
  <c r="J1674" i="3" s="1"/>
  <c r="H1675" i="3"/>
  <c r="J1675" i="3" s="1"/>
  <c r="H1676" i="3"/>
  <c r="J1676" i="3" s="1"/>
  <c r="H1677" i="3"/>
  <c r="J1677" i="3" s="1"/>
  <c r="H1678" i="3"/>
  <c r="J1678" i="3" s="1"/>
  <c r="H1679" i="3"/>
  <c r="J1679" i="3" s="1"/>
  <c r="H1680" i="3"/>
  <c r="J1680" i="3" s="1"/>
  <c r="H1681" i="3"/>
  <c r="J1681" i="3" s="1"/>
  <c r="H1682" i="3"/>
  <c r="J1682" i="3" s="1"/>
  <c r="H1683" i="3"/>
  <c r="J1683" i="3" s="1"/>
  <c r="H1684" i="3"/>
  <c r="J1684" i="3" s="1"/>
  <c r="H1685" i="3"/>
  <c r="J1685" i="3" s="1"/>
  <c r="H1686" i="3"/>
  <c r="J1686" i="3" s="1"/>
  <c r="H1687" i="3"/>
  <c r="J1687" i="3" s="1"/>
  <c r="H1688" i="3"/>
  <c r="J1688" i="3" s="1"/>
  <c r="H1689" i="3"/>
  <c r="J1689" i="3" s="1"/>
  <c r="H1690" i="3"/>
  <c r="J1690" i="3" s="1"/>
  <c r="H1691" i="3"/>
  <c r="J1691" i="3" s="1"/>
  <c r="H1692" i="3"/>
  <c r="J1692" i="3" s="1"/>
  <c r="H1693" i="3"/>
  <c r="J1693" i="3" s="1"/>
  <c r="H1694" i="3"/>
  <c r="J1694" i="3" s="1"/>
  <c r="H1695" i="3"/>
  <c r="J1695" i="3" s="1"/>
  <c r="H1696" i="3"/>
  <c r="J1696" i="3" s="1"/>
  <c r="H1697" i="3"/>
  <c r="J1697" i="3" s="1"/>
  <c r="H1698" i="3"/>
  <c r="J1698" i="3" s="1"/>
  <c r="H1699" i="3"/>
  <c r="J1699" i="3" s="1"/>
  <c r="H1700" i="3"/>
  <c r="J1700" i="3" s="1"/>
  <c r="H1701" i="3"/>
  <c r="J1701" i="3" s="1"/>
  <c r="H1702" i="3"/>
  <c r="H1703" i="3"/>
  <c r="J1703" i="3" s="1"/>
  <c r="H1704" i="3"/>
  <c r="J1704" i="3" s="1"/>
  <c r="H1705" i="3"/>
  <c r="J1705" i="3" s="1"/>
  <c r="H1706" i="3"/>
  <c r="J1706" i="3" s="1"/>
  <c r="H1707" i="3"/>
  <c r="J1707" i="3" s="1"/>
  <c r="H1708" i="3"/>
  <c r="J1708" i="3" s="1"/>
  <c r="H1709" i="3"/>
  <c r="J1709" i="3" s="1"/>
  <c r="H1710" i="3"/>
  <c r="H1711" i="3"/>
  <c r="J1711" i="3" s="1"/>
  <c r="H1712" i="3"/>
  <c r="J1712" i="3" s="1"/>
  <c r="H1713" i="3"/>
  <c r="J1713" i="3" s="1"/>
  <c r="H1714" i="3"/>
  <c r="J1714" i="3" s="1"/>
  <c r="H1715" i="3"/>
  <c r="J1715" i="3" s="1"/>
  <c r="H1716" i="3"/>
  <c r="J1716" i="3" s="1"/>
  <c r="H1717" i="3"/>
  <c r="J1717" i="3" s="1"/>
  <c r="H1718" i="3"/>
  <c r="J1718" i="3" s="1"/>
  <c r="H1719" i="3"/>
  <c r="J1719" i="3" s="1"/>
  <c r="H1720" i="3"/>
  <c r="J1720" i="3" s="1"/>
  <c r="H1721" i="3"/>
  <c r="J1721" i="3" s="1"/>
  <c r="H1722" i="3"/>
  <c r="J1722" i="3" s="1"/>
  <c r="H1723" i="3"/>
  <c r="J1723" i="3" s="1"/>
  <c r="H1724" i="3"/>
  <c r="J1724" i="3" s="1"/>
  <c r="H1725" i="3"/>
  <c r="J1725" i="3" s="1"/>
  <c r="H1726" i="3"/>
  <c r="J1726" i="3" s="1"/>
  <c r="H1727" i="3"/>
  <c r="J1727" i="3" s="1"/>
  <c r="H1728" i="3"/>
  <c r="J1728" i="3" s="1"/>
  <c r="H1729" i="3"/>
  <c r="J1729" i="3" s="1"/>
  <c r="H1730" i="3"/>
  <c r="J1730" i="3" s="1"/>
  <c r="H1731" i="3"/>
  <c r="J1731" i="3" s="1"/>
  <c r="H1732" i="3"/>
  <c r="J1732" i="3" s="1"/>
  <c r="H1733" i="3"/>
  <c r="J1733" i="3" s="1"/>
  <c r="H1734" i="3"/>
  <c r="J1734" i="3" s="1"/>
  <c r="H1735" i="3"/>
  <c r="J1735" i="3" s="1"/>
  <c r="H1736" i="3"/>
  <c r="J1736" i="3" s="1"/>
  <c r="H1737" i="3"/>
  <c r="J1737" i="3" s="1"/>
  <c r="H1738" i="3"/>
  <c r="J1738" i="3" s="1"/>
  <c r="H1739" i="3"/>
  <c r="J1739" i="3" s="1"/>
  <c r="H1740" i="3"/>
  <c r="J1740" i="3" s="1"/>
  <c r="H1741" i="3"/>
  <c r="J1741" i="3" s="1"/>
  <c r="H1742" i="3"/>
  <c r="J1742" i="3" s="1"/>
  <c r="H1743" i="3"/>
  <c r="J1743" i="3" s="1"/>
  <c r="H1744" i="3"/>
  <c r="J1744" i="3" s="1"/>
  <c r="H1745" i="3"/>
  <c r="J1745" i="3" s="1"/>
  <c r="H1746" i="3"/>
  <c r="J1746" i="3" s="1"/>
  <c r="H1747" i="3"/>
  <c r="J1747" i="3" s="1"/>
  <c r="H1748" i="3"/>
  <c r="J1748" i="3" s="1"/>
  <c r="H1749" i="3"/>
  <c r="J1749" i="3" s="1"/>
  <c r="H1750" i="3"/>
  <c r="H1751" i="3"/>
  <c r="H1752" i="3"/>
  <c r="J1752" i="3" s="1"/>
  <c r="H1753" i="3"/>
  <c r="J1753" i="3" s="1"/>
  <c r="H1754" i="3"/>
  <c r="J1754" i="3" s="1"/>
  <c r="H1755" i="3"/>
  <c r="J1755" i="3" s="1"/>
  <c r="H1756" i="3"/>
  <c r="J1756" i="3" s="1"/>
  <c r="H1757" i="3"/>
  <c r="J1757" i="3" s="1"/>
  <c r="H1758" i="3"/>
  <c r="J1758" i="3" s="1"/>
  <c r="H1759" i="3"/>
  <c r="J1759" i="3" s="1"/>
  <c r="H1760" i="3"/>
  <c r="J1760" i="3" s="1"/>
  <c r="H1761" i="3"/>
  <c r="J1761" i="3" s="1"/>
  <c r="H1762" i="3"/>
  <c r="J1762" i="3" s="1"/>
  <c r="H1763" i="3"/>
  <c r="J1763" i="3" s="1"/>
  <c r="H1764" i="3"/>
  <c r="J1764" i="3" s="1"/>
  <c r="H1765" i="3"/>
  <c r="J1765" i="3" s="1"/>
  <c r="H1766" i="3"/>
  <c r="J1766" i="3" s="1"/>
  <c r="H1767" i="3"/>
  <c r="J1767" i="3" s="1"/>
  <c r="H1768" i="3"/>
  <c r="J1768" i="3" s="1"/>
  <c r="H1769" i="3"/>
  <c r="J1769" i="3" s="1"/>
  <c r="H1770" i="3"/>
  <c r="J1770" i="3" s="1"/>
  <c r="H1771" i="3"/>
  <c r="J1771" i="3" s="1"/>
  <c r="H1772" i="3"/>
  <c r="J1772" i="3" s="1"/>
  <c r="H1773" i="3"/>
  <c r="J1773" i="3" s="1"/>
  <c r="H1774" i="3"/>
  <c r="J1774" i="3" s="1"/>
  <c r="H1775" i="3"/>
  <c r="J1775" i="3" s="1"/>
  <c r="H1776" i="3"/>
  <c r="J1776" i="3" s="1"/>
  <c r="H1777" i="3"/>
  <c r="J1777" i="3" s="1"/>
  <c r="H1778" i="3"/>
  <c r="J1778" i="3" s="1"/>
  <c r="H1779" i="3"/>
  <c r="J1779" i="3" s="1"/>
  <c r="H1780" i="3"/>
  <c r="J1780" i="3" s="1"/>
  <c r="H1781" i="3"/>
  <c r="J1781" i="3" s="1"/>
  <c r="H1782" i="3"/>
  <c r="J1782" i="3" s="1"/>
  <c r="H1783" i="3"/>
  <c r="J1783" i="3" s="1"/>
  <c r="H1784" i="3"/>
  <c r="J1784" i="3" s="1"/>
  <c r="H1785" i="3"/>
  <c r="J1785" i="3" s="1"/>
  <c r="H1786" i="3"/>
  <c r="J1786" i="3" s="1"/>
  <c r="H1787" i="3"/>
  <c r="J1787" i="3" s="1"/>
  <c r="H1788" i="3"/>
  <c r="J1788" i="3" s="1"/>
  <c r="H1789" i="3"/>
  <c r="J1789" i="3" s="1"/>
  <c r="H1790" i="3"/>
  <c r="J1790" i="3" s="1"/>
  <c r="H1791" i="3"/>
  <c r="J1791" i="3" s="1"/>
  <c r="H1792" i="3"/>
  <c r="J1792" i="3" s="1"/>
  <c r="H1793" i="3"/>
  <c r="J1793" i="3" s="1"/>
  <c r="H1794" i="3"/>
  <c r="J1794" i="3" s="1"/>
  <c r="H1795" i="3"/>
  <c r="J1795" i="3" s="1"/>
  <c r="H1796" i="3"/>
  <c r="J1796" i="3" s="1"/>
  <c r="H1797" i="3"/>
  <c r="J1797" i="3" s="1"/>
  <c r="H1798" i="3"/>
  <c r="J1798" i="3" s="1"/>
  <c r="H1799" i="3"/>
  <c r="H1800" i="3"/>
  <c r="H1801" i="3"/>
  <c r="J1801" i="3" s="1"/>
  <c r="H1802" i="3"/>
  <c r="J1802" i="3" s="1"/>
  <c r="H1803" i="3"/>
  <c r="J1803" i="3" s="1"/>
  <c r="H1804" i="3"/>
  <c r="J1804" i="3" s="1"/>
  <c r="H1805" i="3"/>
  <c r="J1805" i="3" s="1"/>
  <c r="H1806" i="3"/>
  <c r="J1806" i="3" s="1"/>
  <c r="H1807" i="3"/>
  <c r="J1807" i="3" s="1"/>
  <c r="H1808" i="3"/>
  <c r="J1808" i="3" s="1"/>
  <c r="H1809" i="3"/>
  <c r="J1809" i="3" s="1"/>
  <c r="H1810" i="3"/>
  <c r="J1810" i="3" s="1"/>
  <c r="H1811" i="3"/>
  <c r="J1811" i="3" s="1"/>
  <c r="H1812" i="3"/>
  <c r="J1812" i="3" s="1"/>
  <c r="H1813" i="3"/>
  <c r="J1813" i="3" s="1"/>
  <c r="H1814" i="3"/>
  <c r="J1814" i="3" s="1"/>
  <c r="H1815" i="3"/>
  <c r="J1815" i="3" s="1"/>
  <c r="H1816" i="3"/>
  <c r="J1816" i="3" s="1"/>
  <c r="H1817" i="3"/>
  <c r="J1817" i="3" s="1"/>
  <c r="H1818" i="3"/>
  <c r="J1818" i="3" s="1"/>
  <c r="H1819" i="3"/>
  <c r="J1819" i="3" s="1"/>
  <c r="H1820" i="3"/>
  <c r="J1820" i="3" s="1"/>
  <c r="H1821" i="3"/>
  <c r="J1821" i="3" s="1"/>
  <c r="H1822" i="3"/>
  <c r="J1822" i="3" s="1"/>
  <c r="H1823" i="3"/>
  <c r="J1823" i="3" s="1"/>
  <c r="H1824" i="3"/>
  <c r="J1824" i="3" s="1"/>
  <c r="H1825" i="3"/>
  <c r="J1825" i="3" s="1"/>
  <c r="H1826" i="3"/>
  <c r="J1826" i="3" s="1"/>
  <c r="H1827" i="3"/>
  <c r="J1827" i="3" s="1"/>
  <c r="H1828" i="3"/>
  <c r="J1828" i="3" s="1"/>
  <c r="H1829" i="3"/>
  <c r="J1829" i="3" s="1"/>
  <c r="H1830" i="3"/>
  <c r="J1830" i="3" s="1"/>
  <c r="H1831" i="3"/>
  <c r="J1831" i="3" s="1"/>
  <c r="H1832" i="3"/>
  <c r="J1832" i="3" s="1"/>
  <c r="H1833" i="3"/>
  <c r="J1833" i="3" s="1"/>
  <c r="H1834" i="3"/>
  <c r="J1834" i="3" s="1"/>
  <c r="H1835" i="3"/>
  <c r="J1835" i="3" s="1"/>
  <c r="H1836" i="3"/>
  <c r="J1836" i="3" s="1"/>
  <c r="H1837" i="3"/>
  <c r="J1837" i="3" s="1"/>
  <c r="H1838" i="3"/>
  <c r="J1838" i="3" s="1"/>
  <c r="H1839" i="3"/>
  <c r="J1839" i="3" s="1"/>
  <c r="H1840" i="3"/>
  <c r="J1840" i="3" s="1"/>
  <c r="H1841" i="3"/>
  <c r="J1841" i="3" s="1"/>
  <c r="H1842" i="3"/>
  <c r="H1843" i="3"/>
  <c r="J1843" i="3" s="1"/>
  <c r="H1844" i="3"/>
  <c r="J1844" i="3" s="1"/>
  <c r="H1845" i="3"/>
  <c r="J1845" i="3" s="1"/>
  <c r="H1846" i="3"/>
  <c r="J1846" i="3" s="1"/>
  <c r="H1847" i="3"/>
  <c r="J1847" i="3" s="1"/>
  <c r="H1848" i="3"/>
  <c r="J1848" i="3" s="1"/>
  <c r="H1849" i="3"/>
  <c r="J1849" i="3" s="1"/>
  <c r="H1850" i="3"/>
  <c r="J1850" i="3" s="1"/>
  <c r="H1851" i="3"/>
  <c r="J1851" i="3" s="1"/>
  <c r="H1852" i="3"/>
  <c r="J1852" i="3" s="1"/>
  <c r="H1853" i="3"/>
  <c r="J1853" i="3" s="1"/>
  <c r="H1854" i="3"/>
  <c r="J1854" i="3" s="1"/>
  <c r="H1855" i="3"/>
  <c r="J1855" i="3" s="1"/>
  <c r="H1856" i="3"/>
  <c r="J1856" i="3" s="1"/>
  <c r="H1857" i="3"/>
  <c r="J1857" i="3" s="1"/>
  <c r="H1858" i="3"/>
  <c r="J1858" i="3" s="1"/>
  <c r="H1859" i="3"/>
  <c r="J1859" i="3" s="1"/>
  <c r="H1860" i="3"/>
  <c r="J1860" i="3" s="1"/>
  <c r="H1861" i="3"/>
  <c r="J1861" i="3" s="1"/>
  <c r="H1862" i="3"/>
  <c r="J1862" i="3" s="1"/>
  <c r="H1863" i="3"/>
  <c r="J1863" i="3" s="1"/>
  <c r="H1864" i="3"/>
  <c r="J1864" i="3" s="1"/>
  <c r="H1865" i="3"/>
  <c r="J1865" i="3" s="1"/>
  <c r="H1866" i="3"/>
  <c r="J1866" i="3" s="1"/>
  <c r="H1867" i="3"/>
  <c r="J1867" i="3" s="1"/>
  <c r="H1868" i="3"/>
  <c r="J1868" i="3" s="1"/>
  <c r="H1869" i="3"/>
  <c r="J1869" i="3" s="1"/>
  <c r="H1870" i="3"/>
  <c r="J1870" i="3" s="1"/>
  <c r="H1871" i="3"/>
  <c r="H1872" i="3"/>
  <c r="J1872" i="3" s="1"/>
  <c r="H1873" i="3"/>
  <c r="J1873" i="3" s="1"/>
  <c r="H1874" i="3"/>
  <c r="J1874" i="3" s="1"/>
  <c r="H1875" i="3"/>
  <c r="J1875" i="3" s="1"/>
  <c r="H1876" i="3"/>
  <c r="J1876" i="3" s="1"/>
  <c r="H1877" i="3"/>
  <c r="J1877" i="3" s="1"/>
  <c r="H1878" i="3"/>
  <c r="J1878" i="3" s="1"/>
  <c r="H1879" i="3"/>
  <c r="J1879" i="3" s="1"/>
  <c r="H1880" i="3"/>
  <c r="J1880" i="3" s="1"/>
  <c r="H1881" i="3"/>
  <c r="J1881" i="3" s="1"/>
  <c r="H1882" i="3"/>
  <c r="J1882" i="3" s="1"/>
  <c r="H1883" i="3"/>
  <c r="J1883" i="3" s="1"/>
  <c r="H1884" i="3"/>
  <c r="J1884" i="3" s="1"/>
  <c r="H1885" i="3"/>
  <c r="J1885" i="3" s="1"/>
  <c r="H1886" i="3"/>
  <c r="J1886" i="3" s="1"/>
  <c r="H1887" i="3"/>
  <c r="J1887" i="3" s="1"/>
  <c r="H1888" i="3"/>
  <c r="J1888" i="3" s="1"/>
  <c r="H1889" i="3"/>
  <c r="J1889" i="3" s="1"/>
  <c r="H1890" i="3"/>
  <c r="J1890" i="3" s="1"/>
  <c r="H1891" i="3"/>
  <c r="J1891" i="3" s="1"/>
  <c r="H1892" i="3"/>
  <c r="J1892" i="3" s="1"/>
  <c r="H1893" i="3"/>
  <c r="J1893" i="3" s="1"/>
  <c r="H1894" i="3"/>
  <c r="J1894" i="3" s="1"/>
  <c r="H1895" i="3"/>
  <c r="H1896" i="3"/>
  <c r="J1896" i="3" s="1"/>
  <c r="H1897" i="3"/>
  <c r="J1897" i="3" s="1"/>
  <c r="H1898" i="3"/>
  <c r="J1898" i="3" s="1"/>
  <c r="H1899" i="3"/>
  <c r="J1899" i="3" s="1"/>
  <c r="H1900" i="3"/>
  <c r="J1900" i="3" s="1"/>
  <c r="H1901" i="3"/>
  <c r="J1901" i="3" s="1"/>
  <c r="H1902" i="3"/>
  <c r="J1902" i="3" s="1"/>
  <c r="H1903" i="3"/>
  <c r="J1903" i="3" s="1"/>
  <c r="H1904" i="3"/>
  <c r="J1904" i="3" s="1"/>
  <c r="H1905" i="3"/>
  <c r="J1905" i="3" s="1"/>
  <c r="H1906" i="3"/>
  <c r="J1906" i="3" s="1"/>
  <c r="H1907" i="3"/>
  <c r="J1907" i="3" s="1"/>
  <c r="H1908" i="3"/>
  <c r="J1908" i="3" s="1"/>
  <c r="H1909" i="3"/>
  <c r="J1909" i="3" s="1"/>
  <c r="H1910" i="3"/>
  <c r="J1910" i="3" s="1"/>
  <c r="H1911" i="3"/>
  <c r="J1911" i="3" s="1"/>
  <c r="H1912" i="3"/>
  <c r="J1912" i="3" s="1"/>
  <c r="H1913" i="3"/>
  <c r="J1913" i="3" s="1"/>
  <c r="H1914" i="3"/>
  <c r="J1914" i="3" s="1"/>
  <c r="H1915" i="3"/>
  <c r="J1915" i="3" s="1"/>
  <c r="H1916" i="3"/>
  <c r="J1916" i="3" s="1"/>
  <c r="H1917" i="3"/>
  <c r="J1917" i="3" s="1"/>
  <c r="H1918" i="3"/>
  <c r="J1918" i="3" s="1"/>
  <c r="H1919" i="3"/>
  <c r="J1919" i="3" s="1"/>
  <c r="H1920" i="3"/>
  <c r="J1920" i="3" s="1"/>
  <c r="H1921" i="3"/>
  <c r="J1921" i="3" s="1"/>
  <c r="H1922" i="3"/>
  <c r="J1922" i="3" s="1"/>
  <c r="H1923" i="3"/>
  <c r="J1923" i="3" s="1"/>
  <c r="H1924" i="3"/>
  <c r="J1924" i="3" s="1"/>
  <c r="H1925" i="3"/>
  <c r="J1925" i="3" s="1"/>
  <c r="H1926" i="3"/>
  <c r="J1926" i="3" s="1"/>
  <c r="H1927" i="3"/>
  <c r="J1927" i="3" s="1"/>
  <c r="H1928" i="3"/>
  <c r="J1928" i="3" s="1"/>
  <c r="H1929" i="3"/>
  <c r="J1929" i="3" s="1"/>
  <c r="H1930" i="3"/>
  <c r="J1930" i="3" s="1"/>
  <c r="H1931" i="3"/>
  <c r="J1931" i="3" s="1"/>
  <c r="H1932" i="3"/>
  <c r="J1932" i="3" s="1"/>
  <c r="H1933" i="3"/>
  <c r="J1933" i="3" s="1"/>
  <c r="H1934" i="3"/>
  <c r="J1934" i="3" s="1"/>
  <c r="H1935" i="3"/>
  <c r="J1935" i="3" s="1"/>
  <c r="H1936" i="3"/>
  <c r="J1936" i="3" s="1"/>
  <c r="H1937" i="3"/>
  <c r="J1937" i="3" s="1"/>
  <c r="H1938" i="3"/>
  <c r="J1938" i="3" s="1"/>
  <c r="H1939" i="3"/>
  <c r="J1939" i="3" s="1"/>
  <c r="H1940" i="3"/>
  <c r="J1940" i="3" s="1"/>
  <c r="H1941" i="3"/>
  <c r="J1941" i="3" s="1"/>
  <c r="H1942" i="3"/>
  <c r="J1942" i="3" s="1"/>
  <c r="H1943" i="3"/>
  <c r="J1943" i="3" s="1"/>
  <c r="H1944" i="3"/>
  <c r="J1944" i="3" s="1"/>
  <c r="H1945" i="3"/>
  <c r="J1945" i="3" s="1"/>
  <c r="H1946" i="3"/>
  <c r="J1946" i="3" s="1"/>
  <c r="H1947" i="3"/>
  <c r="J1947" i="3" s="1"/>
  <c r="H1948" i="3"/>
  <c r="J1948" i="3" s="1"/>
  <c r="H1949" i="3"/>
  <c r="J1949" i="3" s="1"/>
  <c r="H1950" i="3"/>
  <c r="J1950" i="3" s="1"/>
  <c r="H1951" i="3"/>
  <c r="H1952" i="3"/>
  <c r="J1952" i="3" s="1"/>
  <c r="H1953" i="3"/>
  <c r="J1953" i="3" s="1"/>
  <c r="H1954" i="3"/>
  <c r="J1954" i="3" s="1"/>
  <c r="H1955" i="3"/>
  <c r="J1955" i="3" s="1"/>
  <c r="H1956" i="3"/>
  <c r="J1956" i="3" s="1"/>
  <c r="H1957" i="3"/>
  <c r="J1957" i="3" s="1"/>
  <c r="H1958" i="3"/>
  <c r="J1958" i="3" s="1"/>
  <c r="H1959" i="3"/>
  <c r="J1959" i="3" s="1"/>
  <c r="H1960" i="3"/>
  <c r="J1960" i="3" s="1"/>
  <c r="H1961" i="3"/>
  <c r="J1961" i="3" s="1"/>
  <c r="H1962" i="3"/>
  <c r="J1962" i="3" s="1"/>
  <c r="H1963" i="3"/>
  <c r="J1963" i="3" s="1"/>
  <c r="H1964" i="3"/>
  <c r="J1964" i="3" s="1"/>
  <c r="H1965" i="3"/>
  <c r="J1965" i="3" s="1"/>
  <c r="H1966" i="3"/>
  <c r="J1966" i="3" s="1"/>
  <c r="H1967" i="3"/>
  <c r="J1967" i="3" s="1"/>
  <c r="H1968" i="3"/>
  <c r="J1968" i="3" s="1"/>
  <c r="H1969" i="3"/>
  <c r="J1969" i="3" s="1"/>
  <c r="H1970" i="3"/>
  <c r="J1970" i="3" s="1"/>
  <c r="H1971" i="3"/>
  <c r="J1971" i="3" s="1"/>
  <c r="H1972" i="3"/>
  <c r="J1972" i="3" s="1"/>
  <c r="H1973" i="3"/>
  <c r="J1973" i="3" s="1"/>
  <c r="H1974" i="3"/>
  <c r="J1974" i="3" s="1"/>
  <c r="H1975" i="3"/>
  <c r="J1975" i="3" s="1"/>
  <c r="H1976" i="3"/>
  <c r="J1976" i="3" s="1"/>
  <c r="H1977" i="3"/>
  <c r="J1977" i="3" s="1"/>
  <c r="H1978" i="3"/>
  <c r="J1978" i="3" s="1"/>
  <c r="H1979" i="3"/>
  <c r="J1979" i="3" s="1"/>
  <c r="H1980" i="3"/>
  <c r="J1980" i="3" s="1"/>
  <c r="H1981" i="3"/>
  <c r="J1981" i="3" s="1"/>
  <c r="H1982" i="3"/>
  <c r="J1982" i="3" s="1"/>
  <c r="H1983" i="3"/>
  <c r="J1983" i="3" s="1"/>
  <c r="H1984" i="3"/>
  <c r="J1984" i="3" s="1"/>
  <c r="H1985" i="3"/>
  <c r="J1985" i="3" s="1"/>
  <c r="H1986" i="3"/>
  <c r="J1986" i="3" s="1"/>
  <c r="H1987" i="3"/>
  <c r="J1987" i="3" s="1"/>
  <c r="H1988" i="3"/>
  <c r="J1988" i="3" s="1"/>
  <c r="H1989" i="3"/>
  <c r="J1989" i="3" s="1"/>
  <c r="H1990" i="3"/>
  <c r="J1990" i="3" s="1"/>
  <c r="H1991" i="3"/>
  <c r="J1991" i="3" s="1"/>
  <c r="H1992" i="3"/>
  <c r="J1992" i="3" s="1"/>
  <c r="H1993" i="3"/>
  <c r="J1993" i="3" s="1"/>
  <c r="H1994" i="3"/>
  <c r="J1994" i="3" s="1"/>
  <c r="H1995" i="3"/>
  <c r="J1995" i="3" s="1"/>
  <c r="H1996" i="3"/>
  <c r="J1996" i="3" s="1"/>
  <c r="H1997" i="3"/>
  <c r="J1997" i="3" s="1"/>
  <c r="H1998" i="3"/>
  <c r="J1998" i="3" s="1"/>
  <c r="H1999" i="3"/>
  <c r="J1999" i="3" s="1"/>
  <c r="H2000" i="3"/>
  <c r="J2000" i="3" s="1"/>
  <c r="H2001" i="3"/>
  <c r="J2001" i="3" s="1"/>
  <c r="H2002" i="3"/>
  <c r="J2002" i="3" s="1"/>
  <c r="H2003" i="3"/>
  <c r="J2003" i="3" s="1"/>
  <c r="H2004" i="3"/>
  <c r="J2004" i="3" s="1"/>
  <c r="H2005" i="3"/>
  <c r="J2005" i="3" s="1"/>
  <c r="H2006" i="3"/>
  <c r="J2006" i="3" s="1"/>
  <c r="H2007" i="3"/>
  <c r="H2008" i="3"/>
  <c r="H2009" i="3"/>
  <c r="J2009" i="3" s="1"/>
  <c r="H2010" i="3"/>
  <c r="J2010" i="3" s="1"/>
  <c r="H2011" i="3"/>
  <c r="J2011" i="3" s="1"/>
  <c r="H2012" i="3"/>
  <c r="J2012" i="3" s="1"/>
  <c r="H2013" i="3"/>
  <c r="J2013" i="3" s="1"/>
  <c r="H2014" i="3"/>
  <c r="J2014" i="3" s="1"/>
  <c r="H2015" i="3"/>
  <c r="J2015" i="3" s="1"/>
  <c r="H2016" i="3"/>
  <c r="J2016" i="3" s="1"/>
  <c r="H2017" i="3"/>
  <c r="J2017" i="3" s="1"/>
  <c r="H2018" i="3"/>
  <c r="J2018" i="3" s="1"/>
  <c r="H2019" i="3"/>
  <c r="J2019" i="3" s="1"/>
  <c r="H2020" i="3"/>
  <c r="J2020" i="3" s="1"/>
  <c r="H2021" i="3"/>
  <c r="J2021" i="3" s="1"/>
  <c r="H2022" i="3"/>
  <c r="J2022" i="3" s="1"/>
  <c r="H2023" i="3"/>
  <c r="J2023" i="3" s="1"/>
  <c r="H2024" i="3"/>
  <c r="J2024" i="3" s="1"/>
  <c r="H2025" i="3"/>
  <c r="J2025" i="3" s="1"/>
  <c r="H2026" i="3"/>
  <c r="J2026" i="3" s="1"/>
  <c r="H2027" i="3"/>
  <c r="J2027" i="3" s="1"/>
  <c r="H2028" i="3"/>
  <c r="J2028" i="3" s="1"/>
  <c r="H2029" i="3"/>
  <c r="J2029" i="3" s="1"/>
  <c r="H2030" i="3"/>
  <c r="J2030" i="3" s="1"/>
  <c r="H2031" i="3"/>
  <c r="J2031" i="3" s="1"/>
  <c r="H2032" i="3"/>
  <c r="J2032" i="3" s="1"/>
  <c r="H2033" i="3"/>
  <c r="J2033" i="3" s="1"/>
  <c r="H2034" i="3"/>
  <c r="J2034" i="3" s="1"/>
  <c r="H2035" i="3"/>
  <c r="J2035" i="3" s="1"/>
  <c r="H2036" i="3"/>
  <c r="J2036" i="3" s="1"/>
  <c r="H2037" i="3"/>
  <c r="J2037" i="3" s="1"/>
  <c r="H2038" i="3"/>
  <c r="J2038" i="3" s="1"/>
  <c r="H2039" i="3"/>
  <c r="J2039" i="3" s="1"/>
  <c r="H2040" i="3"/>
  <c r="J2040" i="3" s="1"/>
  <c r="H2041" i="3"/>
  <c r="J2041" i="3" s="1"/>
  <c r="H2042" i="3"/>
  <c r="J2042" i="3" s="1"/>
  <c r="H2043" i="3"/>
  <c r="J2043" i="3" s="1"/>
  <c r="H2044" i="3"/>
  <c r="J2044" i="3" s="1"/>
  <c r="H2045" i="3"/>
  <c r="J2045" i="3" s="1"/>
  <c r="H2046" i="3"/>
  <c r="J2046" i="3" s="1"/>
  <c r="H2047" i="3"/>
  <c r="J2047" i="3" s="1"/>
  <c r="H2048" i="3"/>
  <c r="J2048" i="3" s="1"/>
  <c r="H2049" i="3"/>
  <c r="J2049" i="3" s="1"/>
  <c r="H2050" i="3"/>
  <c r="J2050" i="3" s="1"/>
  <c r="H2051" i="3"/>
  <c r="J2051" i="3" s="1"/>
  <c r="H2052" i="3"/>
  <c r="J2052" i="3" s="1"/>
  <c r="H2053" i="3"/>
  <c r="J2053" i="3" s="1"/>
  <c r="H2054" i="3"/>
  <c r="J2054" i="3" s="1"/>
  <c r="H2055" i="3"/>
  <c r="J2055" i="3" s="1"/>
  <c r="H2056" i="3"/>
  <c r="J2056" i="3" s="1"/>
  <c r="H2057" i="3"/>
  <c r="J2057" i="3" s="1"/>
  <c r="H2058" i="3"/>
  <c r="J2058" i="3" s="1"/>
  <c r="H2059" i="3"/>
  <c r="J2059" i="3" s="1"/>
  <c r="H2060" i="3"/>
  <c r="J2060" i="3" s="1"/>
  <c r="H2061" i="3"/>
  <c r="J2061" i="3" s="1"/>
  <c r="H2062" i="3"/>
  <c r="J2062" i="3" s="1"/>
  <c r="H2063" i="3"/>
  <c r="J2063" i="3" s="1"/>
  <c r="H2064" i="3"/>
  <c r="J2064" i="3" s="1"/>
  <c r="H2065" i="3"/>
  <c r="J2065" i="3" s="1"/>
  <c r="H2066" i="3"/>
  <c r="J2066" i="3" s="1"/>
  <c r="H2067" i="3"/>
  <c r="J2067" i="3" s="1"/>
  <c r="H2068" i="3"/>
  <c r="J2068" i="3" s="1"/>
  <c r="H2069" i="3"/>
  <c r="J2069" i="3" s="1"/>
  <c r="H2070" i="3"/>
  <c r="J2070" i="3" s="1"/>
  <c r="H2071" i="3"/>
  <c r="J2071" i="3" s="1"/>
  <c r="H2072" i="3"/>
  <c r="J2072" i="3" s="1"/>
  <c r="H2073" i="3"/>
  <c r="J2073" i="3" s="1"/>
  <c r="H2074" i="3"/>
  <c r="J2074" i="3" s="1"/>
  <c r="H2075" i="3"/>
  <c r="J2075" i="3" s="1"/>
  <c r="H2076" i="3"/>
  <c r="J2076" i="3" s="1"/>
  <c r="H2077" i="3"/>
  <c r="J2077" i="3" s="1"/>
  <c r="H2078" i="3"/>
  <c r="J2078" i="3" s="1"/>
  <c r="H2079" i="3"/>
  <c r="H2080" i="3"/>
  <c r="H2" i="3"/>
  <c r="J2" i="3" s="1"/>
  <c r="B2" i="5" l="1"/>
  <c r="B6" i="5" s="1"/>
</calcChain>
</file>

<file path=xl/sharedStrings.xml><?xml version="1.0" encoding="utf-8"?>
<sst xmlns="http://schemas.openxmlformats.org/spreadsheetml/2006/main" count="10596" uniqueCount="2282">
  <si>
    <t>CustomerID</t>
  </si>
  <si>
    <t>CustomerName</t>
  </si>
  <si>
    <t>Gender</t>
  </si>
  <si>
    <t>City</t>
  </si>
  <si>
    <t>SignupDate</t>
  </si>
  <si>
    <t>Email</t>
  </si>
  <si>
    <t>Aarav Khan</t>
  </si>
  <si>
    <t>Male</t>
  </si>
  <si>
    <t>Delhi</t>
  </si>
  <si>
    <t>2022-08-17</t>
  </si>
  <si>
    <t>aarav.khan18@yahoo.com</t>
  </si>
  <si>
    <t>Ishaan Patel</t>
  </si>
  <si>
    <t>Pune</t>
  </si>
  <si>
    <t>2023-03-09</t>
  </si>
  <si>
    <t>ishaan.patel5@gmail.com</t>
  </si>
  <si>
    <t>Arjun Gupta</t>
  </si>
  <si>
    <t>2023-09-09</t>
  </si>
  <si>
    <t>arjun.gupta4@yahoo.com</t>
  </si>
  <si>
    <t>Ishaan Nair</t>
  </si>
  <si>
    <t>2023-04-05</t>
  </si>
  <si>
    <t>ishaan.nair76@outlook.com</t>
  </si>
  <si>
    <t>Aditya Nair</t>
  </si>
  <si>
    <t>Bangalore</t>
  </si>
  <si>
    <t>2022-10-12</t>
  </si>
  <si>
    <t>aditya.nair20@gmail.com</t>
  </si>
  <si>
    <t>Diya Patel</t>
  </si>
  <si>
    <t>Female</t>
  </si>
  <si>
    <t>Hyderabad</t>
  </si>
  <si>
    <t>2022-04-10</t>
  </si>
  <si>
    <t>diya.patel46@outlook.com</t>
  </si>
  <si>
    <t>Ananya Reddy</t>
  </si>
  <si>
    <t>2022-05-08</t>
  </si>
  <si>
    <t>ananya.reddy49@gmail.com</t>
  </si>
  <si>
    <t>Neha Iyer</t>
  </si>
  <si>
    <t>2022-07-16</t>
  </si>
  <si>
    <t>neha.iyer91@gmail.com</t>
  </si>
  <si>
    <t>Arjun Khan</t>
  </si>
  <si>
    <t>Mumbai</t>
  </si>
  <si>
    <t>2022-08-27</t>
  </si>
  <si>
    <t>arjun.khan13@outlook.com</t>
  </si>
  <si>
    <t>Sara Iyer</t>
  </si>
  <si>
    <t>2023-01-15</t>
  </si>
  <si>
    <t>sara.iyer46@gmail.com</t>
  </si>
  <si>
    <t>Diya Joshi</t>
  </si>
  <si>
    <t>Chennai</t>
  </si>
  <si>
    <t>2022-06-25</t>
  </si>
  <si>
    <t>diya.joshi69@yahoo.com</t>
  </si>
  <si>
    <t>Aditya Reddy</t>
  </si>
  <si>
    <t>2022-10-04</t>
  </si>
  <si>
    <t>aditya.reddy82@yahoo.com</t>
  </si>
  <si>
    <t>Rohan Sharma</t>
  </si>
  <si>
    <t>2022-02-02</t>
  </si>
  <si>
    <t>rohan.sharma41@outlook.com</t>
  </si>
  <si>
    <t>Diya Gupta</t>
  </si>
  <si>
    <t>2022-11-19</t>
  </si>
  <si>
    <t>diya.gupta28@yahoo.com</t>
  </si>
  <si>
    <t>Riya Reddy</t>
  </si>
  <si>
    <t>2022-09-29</t>
  </si>
  <si>
    <t>riya.reddy18@gmail.com</t>
  </si>
  <si>
    <t>Neha Nair</t>
  </si>
  <si>
    <t>2023-02-13</t>
  </si>
  <si>
    <t>neha.nair47@gmail.com</t>
  </si>
  <si>
    <t>Ishaan Reddy</t>
  </si>
  <si>
    <t>2022-02-18</t>
  </si>
  <si>
    <t>ishaan.reddy15@gmail.com</t>
  </si>
  <si>
    <t>Rahul Joshi</t>
  </si>
  <si>
    <t>2023-01-30</t>
  </si>
  <si>
    <t>rahul.joshi49@yahoo.com</t>
  </si>
  <si>
    <t>Pooja Khan</t>
  </si>
  <si>
    <t>2022-01-12</t>
  </si>
  <si>
    <t>pooja.khan88@yahoo.com</t>
  </si>
  <si>
    <t>Ishaan Khan</t>
  </si>
  <si>
    <t>Kolkata</t>
  </si>
  <si>
    <t>2023-10-19</t>
  </si>
  <si>
    <t>ishaan.khan44@gmail.com</t>
  </si>
  <si>
    <t>Riya Mehta</t>
  </si>
  <si>
    <t>2022-01-04</t>
  </si>
  <si>
    <t>riya.mehta93@yahoo.com</t>
  </si>
  <si>
    <t>Pooja Mehta</t>
  </si>
  <si>
    <t>2022-04-19</t>
  </si>
  <si>
    <t>pooja.mehta81@outlook.com</t>
  </si>
  <si>
    <t>Aditya Iyer</t>
  </si>
  <si>
    <t>2022-06-15</t>
  </si>
  <si>
    <t>aditya.iyer70@yahoo.com</t>
  </si>
  <si>
    <t>Varun Iyer</t>
  </si>
  <si>
    <t>2022-01-20</t>
  </si>
  <si>
    <t>varun.iyer15@outlook.com</t>
  </si>
  <si>
    <t>Isha Sharma</t>
  </si>
  <si>
    <t>2023-08-04</t>
  </si>
  <si>
    <t>isha.sharma11@gmail.com</t>
  </si>
  <si>
    <t>Diya Kapoor</t>
  </si>
  <si>
    <t>2022-05-09</t>
  </si>
  <si>
    <t>diya.kapoor17@yahoo.com</t>
  </si>
  <si>
    <t>2023-06-25</t>
  </si>
  <si>
    <t>pooja.mehta78@outlook.com</t>
  </si>
  <si>
    <t>Ishaan Gupta</t>
  </si>
  <si>
    <t>2022-11-16</t>
  </si>
  <si>
    <t>ishaan.gupta52@yahoo.com</t>
  </si>
  <si>
    <t>Sara Kapoor</t>
  </si>
  <si>
    <t>2022-05-04</t>
  </si>
  <si>
    <t>sara.kapoor32@gmail.com</t>
  </si>
  <si>
    <t>2023-07-22</t>
  </si>
  <si>
    <t>rohan.sharma30@yahoo.com</t>
  </si>
  <si>
    <t>Aarav Patel</t>
  </si>
  <si>
    <t>2023-10-09</t>
  </si>
  <si>
    <t>aarav.patel8@gmail.com</t>
  </si>
  <si>
    <t>Aarav Iyer</t>
  </si>
  <si>
    <t>2023-06-11</t>
  </si>
  <si>
    <t>aarav.iyer31@outlook.com</t>
  </si>
  <si>
    <t>Isha Kapoor</t>
  </si>
  <si>
    <t>2023-08-08</t>
  </si>
  <si>
    <t>isha.kapoor74@outlook.com</t>
  </si>
  <si>
    <t>Karan Nair</t>
  </si>
  <si>
    <t>2022-04-07</t>
  </si>
  <si>
    <t>karan.nair13@yahoo.com</t>
  </si>
  <si>
    <t>Meera Nair</t>
  </si>
  <si>
    <t>2023-04-24</t>
  </si>
  <si>
    <t>meera.nair94@gmail.com</t>
  </si>
  <si>
    <t>Aarav Nair</t>
  </si>
  <si>
    <t>2022-12-14</t>
  </si>
  <si>
    <t>aarav.nair14@gmail.com</t>
  </si>
  <si>
    <t>Arjun Kapoor</t>
  </si>
  <si>
    <t>2022-05-24</t>
  </si>
  <si>
    <t>arjun.kapoor55@gmail.com</t>
  </si>
  <si>
    <t>Sara Gupta</t>
  </si>
  <si>
    <t>2022-03-19</t>
  </si>
  <si>
    <t>sara.gupta57@yahoo.com</t>
  </si>
  <si>
    <t>Aarav Kapoor</t>
  </si>
  <si>
    <t>2022-01-16</t>
  </si>
  <si>
    <t>aarav.kapoor12@gmail.com</t>
  </si>
  <si>
    <t>Rahul Reddy</t>
  </si>
  <si>
    <t>2022-08-07</t>
  </si>
  <si>
    <t>rahul.reddy52@gmail.com</t>
  </si>
  <si>
    <t>Rahul Sharma</t>
  </si>
  <si>
    <t>rahul.sharma59@outlook.com</t>
  </si>
  <si>
    <t>Pooja Reddy</t>
  </si>
  <si>
    <t>2022-07-14</t>
  </si>
  <si>
    <t>pooja.reddy38@gmail.com</t>
  </si>
  <si>
    <t>Varun Kapoor</t>
  </si>
  <si>
    <t>2022-11-18</t>
  </si>
  <si>
    <t>varun.kapoor8@gmail.com</t>
  </si>
  <si>
    <t>Pooja Kapoor</t>
  </si>
  <si>
    <t>2022-02-28</t>
  </si>
  <si>
    <t>pooja.kapoor66@gmail.com</t>
  </si>
  <si>
    <t>Vivaan Joshi</t>
  </si>
  <si>
    <t>2023-11-23</t>
  </si>
  <si>
    <t>vivaan.joshi31@outlook.com</t>
  </si>
  <si>
    <t>Varun Gupta</t>
  </si>
  <si>
    <t>2023-09-01</t>
  </si>
  <si>
    <t>varun.gupta6@yahoo.com</t>
  </si>
  <si>
    <t>2023-06-20</t>
  </si>
  <si>
    <t>rahul.joshi41@outlook.com</t>
  </si>
  <si>
    <t>Rohan Gupta</t>
  </si>
  <si>
    <t>2023-02-10</t>
  </si>
  <si>
    <t>rohan.gupta17@yahoo.com</t>
  </si>
  <si>
    <t>2022-03-16</t>
  </si>
  <si>
    <t>sara.iyer2@outlook.com</t>
  </si>
  <si>
    <t>Vivaan Kapoor</t>
  </si>
  <si>
    <t>2023-06-03</t>
  </si>
  <si>
    <t>vivaan.kapoor34@gmail.com</t>
  </si>
  <si>
    <t>2022-10-19</t>
  </si>
  <si>
    <t>diya.gupta21@outlook.com</t>
  </si>
  <si>
    <t>Neha Kapoor</t>
  </si>
  <si>
    <t>2023-11-15</t>
  </si>
  <si>
    <t>neha.kapoor71@outlook.com</t>
  </si>
  <si>
    <t>Aditya Khan</t>
  </si>
  <si>
    <t>2022-04-20</t>
  </si>
  <si>
    <t>aditya.khan96@yahoo.com</t>
  </si>
  <si>
    <t>Kabir Khan</t>
  </si>
  <si>
    <t>2022-08-04</t>
  </si>
  <si>
    <t>kabir.khan92@outlook.com</t>
  </si>
  <si>
    <t>Kabir Kapoor</t>
  </si>
  <si>
    <t>2022-09-15</t>
  </si>
  <si>
    <t>kabir.kapoor7@gmail.com</t>
  </si>
  <si>
    <t>Kavya Sharma</t>
  </si>
  <si>
    <t>2022-12-08</t>
  </si>
  <si>
    <t>kavya.sharma99@gmail.com</t>
  </si>
  <si>
    <t>Aisha Reddy</t>
  </si>
  <si>
    <t>2023-03-14</t>
  </si>
  <si>
    <t>aisha.reddy72@gmail.com</t>
  </si>
  <si>
    <t>Vivaan Mehta</t>
  </si>
  <si>
    <t>2022-02-06</t>
  </si>
  <si>
    <t>vivaan.mehta48@yahoo.com</t>
  </si>
  <si>
    <t>Rahul Mehta</t>
  </si>
  <si>
    <t>2022-11-12</t>
  </si>
  <si>
    <t>rahul.mehta47@gmail.com</t>
  </si>
  <si>
    <t>Isha Gupta</t>
  </si>
  <si>
    <t>2022-04-16</t>
  </si>
  <si>
    <t>isha.gupta46@yahoo.com</t>
  </si>
  <si>
    <t>Neha Mehta</t>
  </si>
  <si>
    <t>2022-06-16</t>
  </si>
  <si>
    <t>neha.mehta23@outlook.com</t>
  </si>
  <si>
    <t>2023-02-26</t>
  </si>
  <si>
    <t>aditya.iyer86@yahoo.com</t>
  </si>
  <si>
    <t>Kabir Mehta</t>
  </si>
  <si>
    <t>2022-04-21</t>
  </si>
  <si>
    <t>kabir.mehta49@gmail.com</t>
  </si>
  <si>
    <t>2023-04-17</t>
  </si>
  <si>
    <t>isha.gupta45@outlook.com</t>
  </si>
  <si>
    <t>Arjun Sharma</t>
  </si>
  <si>
    <t>2022-07-17</t>
  </si>
  <si>
    <t>arjun.sharma52@outlook.com</t>
  </si>
  <si>
    <t>Diya Khan</t>
  </si>
  <si>
    <t>diya.khan66@outlook.com</t>
  </si>
  <si>
    <t>Ananya Patel</t>
  </si>
  <si>
    <t>2022-07-02</t>
  </si>
  <si>
    <t>ananya.patel75@outlook.com</t>
  </si>
  <si>
    <t>2022-12-20</t>
  </si>
  <si>
    <t>vivaan.joshi94@outlook.com</t>
  </si>
  <si>
    <t>neha.kapoor74@gmail.com</t>
  </si>
  <si>
    <t>Ananya Nair</t>
  </si>
  <si>
    <t>2023-06-17</t>
  </si>
  <si>
    <t>ananya.nair69@yahoo.com</t>
  </si>
  <si>
    <t>Rohan Nair</t>
  </si>
  <si>
    <t>2023-11-12</t>
  </si>
  <si>
    <t>rohan.nair43@yahoo.com</t>
  </si>
  <si>
    <t>2022-11-13</t>
  </si>
  <si>
    <t>diya.khan86@outlook.com</t>
  </si>
  <si>
    <t>Riya Khan</t>
  </si>
  <si>
    <t>2022-05-11</t>
  </si>
  <si>
    <t>riya.khan25@outlook.com</t>
  </si>
  <si>
    <t>Aisha Joshi</t>
  </si>
  <si>
    <t>2022-11-05</t>
  </si>
  <si>
    <t>aisha.joshi52@yahoo.com</t>
  </si>
  <si>
    <t>2023-03-17</t>
  </si>
  <si>
    <t>kabir.khan75@yahoo.com</t>
  </si>
  <si>
    <t>Sara Reddy</t>
  </si>
  <si>
    <t>sara.reddy28@yahoo.com</t>
  </si>
  <si>
    <t>Aisha Patel</t>
  </si>
  <si>
    <t>2023-06-12</t>
  </si>
  <si>
    <t>aisha.patel85@yahoo.com</t>
  </si>
  <si>
    <t>2022-11-14</t>
  </si>
  <si>
    <t>diya.gupta29@gmail.com</t>
  </si>
  <si>
    <t>Aarav Sharma</t>
  </si>
  <si>
    <t>2023-05-02</t>
  </si>
  <si>
    <t>aarav.sharma79@gmail.com</t>
  </si>
  <si>
    <t>Riya Joshi</t>
  </si>
  <si>
    <t>2023-01-29</t>
  </si>
  <si>
    <t>riya.joshi64@outlook.com</t>
  </si>
  <si>
    <t>Aditya Sharma</t>
  </si>
  <si>
    <t>aditya.sharma55@gmail.com</t>
  </si>
  <si>
    <t>2023-07-25</t>
  </si>
  <si>
    <t>ishaan.reddy32@gmail.com</t>
  </si>
  <si>
    <t>2023-06-28</t>
  </si>
  <si>
    <t>aisha.reddy72@yahoo.com</t>
  </si>
  <si>
    <t>Sara Joshi</t>
  </si>
  <si>
    <t>2023-06-01</t>
  </si>
  <si>
    <t>sara.joshi55@yahoo.com</t>
  </si>
  <si>
    <t>2022-09-23</t>
  </si>
  <si>
    <t>aisha.reddy97@gmail.com</t>
  </si>
  <si>
    <t>2022-09-02</t>
  </si>
  <si>
    <t>pooja.reddy36@outlook.com</t>
  </si>
  <si>
    <t>Kabir Gupta</t>
  </si>
  <si>
    <t>2022-12-10</t>
  </si>
  <si>
    <t>kabir.gupta41@yahoo.com</t>
  </si>
  <si>
    <t>Aditya Mehta</t>
  </si>
  <si>
    <t>2023-01-28</t>
  </si>
  <si>
    <t>aditya.mehta89@gmail.com</t>
  </si>
  <si>
    <t>Vivaan Nair</t>
  </si>
  <si>
    <t>2022-12-05</t>
  </si>
  <si>
    <t>vivaan.nair70@outlook.com</t>
  </si>
  <si>
    <t>Ananya Gupta</t>
  </si>
  <si>
    <t>2023-03-07</t>
  </si>
  <si>
    <t>ananya.gupta50@yahoo.com</t>
  </si>
  <si>
    <t>Varun Nair</t>
  </si>
  <si>
    <t>2022-01-07</t>
  </si>
  <si>
    <t>varun.nair46@outlook.com</t>
  </si>
  <si>
    <t>Riya Kapoor</t>
  </si>
  <si>
    <t>2023-07-14</t>
  </si>
  <si>
    <t>riya.kapoor78@gmail.com</t>
  </si>
  <si>
    <t>Isha Khan</t>
  </si>
  <si>
    <t>2023-05-13</t>
  </si>
  <si>
    <t>isha.khan4@outlook.com</t>
  </si>
  <si>
    <t>riya.mehta17@yahoo.com</t>
  </si>
  <si>
    <t>2023-11-10</t>
  </si>
  <si>
    <t>rahul.joshi4@gmail.com</t>
  </si>
  <si>
    <t>2022-02-21</t>
  </si>
  <si>
    <t>aisha.reddy34@outlook.com</t>
  </si>
  <si>
    <t>Isha Reddy</t>
  </si>
  <si>
    <t>2022-12-12</t>
  </si>
  <si>
    <t>isha.reddy98@outlook.com</t>
  </si>
  <si>
    <t>2022-03-25</t>
  </si>
  <si>
    <t>riya.khan61@gmail.com</t>
  </si>
  <si>
    <t>2022-03-12</t>
  </si>
  <si>
    <t>rohan.gupta84@gmail.com</t>
  </si>
  <si>
    <t>2022-01-21</t>
  </si>
  <si>
    <t>arjun.gupta80@gmail.com</t>
  </si>
  <si>
    <t>2022-04-28</t>
  </si>
  <si>
    <t>aditya.reddy73@gmail.com</t>
  </si>
  <si>
    <t>Kavya Iyer</t>
  </si>
  <si>
    <t>2023-09-13</t>
  </si>
  <si>
    <t>kavya.iyer78@yahoo.com</t>
  </si>
  <si>
    <t>2023-08-16</t>
  </si>
  <si>
    <t>aditya.khan4@outlook.com</t>
  </si>
  <si>
    <t>Riya Gupta</t>
  </si>
  <si>
    <t>2023-08-30</t>
  </si>
  <si>
    <t>riya.gupta89@yahoo.com</t>
  </si>
  <si>
    <t>Vivaan Khan</t>
  </si>
  <si>
    <t>2023-12-02</t>
  </si>
  <si>
    <t>vivaan.khan77@gmail.com</t>
  </si>
  <si>
    <t>Rohan Kapoor</t>
  </si>
  <si>
    <t>2023-11-09</t>
  </si>
  <si>
    <t>rohan.kapoor48@gmail.com</t>
  </si>
  <si>
    <t>2023-05-17</t>
  </si>
  <si>
    <t>ananya.nair14@outlook.com</t>
  </si>
  <si>
    <t>Sara Mehta</t>
  </si>
  <si>
    <t>2022-06-30</t>
  </si>
  <si>
    <t>sara.mehta94@yahoo.com</t>
  </si>
  <si>
    <t>2023-05-11</t>
  </si>
  <si>
    <t>neha.kapoor60@outlook.com</t>
  </si>
  <si>
    <t>Meera Gupta</t>
  </si>
  <si>
    <t>2022-03-30</t>
  </si>
  <si>
    <t>meera.gupta36@outlook.com</t>
  </si>
  <si>
    <t>Karan Joshi</t>
  </si>
  <si>
    <t>2023-11-16</t>
  </si>
  <si>
    <t>karan.joshi49@outlook.com</t>
  </si>
  <si>
    <t>Karan Iyer</t>
  </si>
  <si>
    <t>2023-05-15</t>
  </si>
  <si>
    <t>karan.iyer28@outlook.com</t>
  </si>
  <si>
    <t>Meera Khan</t>
  </si>
  <si>
    <t>2022-10-10</t>
  </si>
  <si>
    <t>meera.khan72@gmail.com</t>
  </si>
  <si>
    <t>Vivaan Gupta</t>
  </si>
  <si>
    <t>2023-02-21</t>
  </si>
  <si>
    <t>vivaan.gupta63@yahoo.com</t>
  </si>
  <si>
    <t>Karan Reddy</t>
  </si>
  <si>
    <t>2022-01-18</t>
  </si>
  <si>
    <t>karan.reddy12@outlook.com</t>
  </si>
  <si>
    <t>Rahul Gupta</t>
  </si>
  <si>
    <t>2023-11-11</t>
  </si>
  <si>
    <t>rahul.gupta75@outlook.com</t>
  </si>
  <si>
    <t>2023-03-12</t>
  </si>
  <si>
    <t>pooja.kapoor96@yahoo.com</t>
  </si>
  <si>
    <t>Meera Reddy</t>
  </si>
  <si>
    <t>2022-11-10</t>
  </si>
  <si>
    <t>meera.reddy33@gmail.com</t>
  </si>
  <si>
    <t>Arjun Iyer</t>
  </si>
  <si>
    <t>2023-07-03</t>
  </si>
  <si>
    <t>arjun.iyer98@yahoo.com</t>
  </si>
  <si>
    <t>arjun.gupta36@yahoo.com</t>
  </si>
  <si>
    <t>2022-08-21</t>
  </si>
  <si>
    <t>diya.gupta47@gmail.com</t>
  </si>
  <si>
    <t>Ananya Kapoor</t>
  </si>
  <si>
    <t>2022-10-08</t>
  </si>
  <si>
    <t>ananya.kapoor6@gmail.com</t>
  </si>
  <si>
    <t>2022-01-13</t>
  </si>
  <si>
    <t>aisha.reddy74@outlook.com</t>
  </si>
  <si>
    <t>2022-07-08</t>
  </si>
  <si>
    <t>sara.reddy7@outlook.com</t>
  </si>
  <si>
    <t>2023-05-19</t>
  </si>
  <si>
    <t>diya.patel10@yahoo.com</t>
  </si>
  <si>
    <t>2023-07-31</t>
  </si>
  <si>
    <t>aditya.mehta39@gmail.com</t>
  </si>
  <si>
    <t>2023-03-03</t>
  </si>
  <si>
    <t>vivaan.kapoor78@yahoo.com</t>
  </si>
  <si>
    <t>2023-03-30</t>
  </si>
  <si>
    <t>ishaan.nair39@yahoo.com</t>
  </si>
  <si>
    <t>Kavya Joshi</t>
  </si>
  <si>
    <t>2022-03-03</t>
  </si>
  <si>
    <t>kavya.joshi79@yahoo.com</t>
  </si>
  <si>
    <t>2023-11-08</t>
  </si>
  <si>
    <t>arjun.gupta11@gmail.com</t>
  </si>
  <si>
    <t>Aditya Kapoor</t>
  </si>
  <si>
    <t>2022-06-10</t>
  </si>
  <si>
    <t>aditya.kapoor1@outlook.com</t>
  </si>
  <si>
    <t>Neha Reddy</t>
  </si>
  <si>
    <t>2022-02-03</t>
  </si>
  <si>
    <t>neha.reddy30@outlook.com</t>
  </si>
  <si>
    <t>Sara Patel</t>
  </si>
  <si>
    <t>2022-08-28</t>
  </si>
  <si>
    <t>sara.patel34@yahoo.com</t>
  </si>
  <si>
    <t>Rahul Patel</t>
  </si>
  <si>
    <t>2022-08-19</t>
  </si>
  <si>
    <t>rahul.patel83@gmail.com</t>
  </si>
  <si>
    <t>2022-06-19</t>
  </si>
  <si>
    <t>aisha.patel40@yahoo.com</t>
  </si>
  <si>
    <t>2022-11-08</t>
  </si>
  <si>
    <t>sara.patel90@outlook.com</t>
  </si>
  <si>
    <t>2023-03-25</t>
  </si>
  <si>
    <t>pooja.kapoor11@yahoo.com</t>
  </si>
  <si>
    <t>Rahul Iyer</t>
  </si>
  <si>
    <t>2022-09-14</t>
  </si>
  <si>
    <t>rahul.iyer4@gmail.com</t>
  </si>
  <si>
    <t>Varun Joshi</t>
  </si>
  <si>
    <t>2023-11-20</t>
  </si>
  <si>
    <t>varun.joshi35@yahoo.com</t>
  </si>
  <si>
    <t>2023-10-30</t>
  </si>
  <si>
    <t>aditya.reddy57@outlook.com</t>
  </si>
  <si>
    <t>varun.nair12@outlook.com</t>
  </si>
  <si>
    <t>Riya Iyer</t>
  </si>
  <si>
    <t>2023-11-18</t>
  </si>
  <si>
    <t>riya.iyer14@gmail.com</t>
  </si>
  <si>
    <t>riya.reddy52@yahoo.com</t>
  </si>
  <si>
    <t>Karan Patel</t>
  </si>
  <si>
    <t>2022-09-16</t>
  </si>
  <si>
    <t>karan.patel42@gmail.com</t>
  </si>
  <si>
    <t>Pooja Sharma</t>
  </si>
  <si>
    <t>2023-07-10</t>
  </si>
  <si>
    <t>pooja.sharma60@outlook.com</t>
  </si>
  <si>
    <t>2023-09-30</t>
  </si>
  <si>
    <t>arjun.kapoor97@outlook.com</t>
  </si>
  <si>
    <t>2023-07-17</t>
  </si>
  <si>
    <t>ananya.gupta17@outlook.com</t>
  </si>
  <si>
    <t>2023-10-08</t>
  </si>
  <si>
    <t>sara.patel78@gmail.com</t>
  </si>
  <si>
    <t>2023-07-20</t>
  </si>
  <si>
    <t>kabir.kapoor53@gmail.com</t>
  </si>
  <si>
    <t>Vivaan Reddy</t>
  </si>
  <si>
    <t>2023-10-26</t>
  </si>
  <si>
    <t>vivaan.reddy20@outlook.com</t>
  </si>
  <si>
    <t>2023-05-10</t>
  </si>
  <si>
    <t>pooja.khan61@gmail.com</t>
  </si>
  <si>
    <t>2022-07-15</t>
  </si>
  <si>
    <t>pooja.mehta77@yahoo.com</t>
  </si>
  <si>
    <t>2023-03-01</t>
  </si>
  <si>
    <t>vivaan.khan44@yahoo.com</t>
  </si>
  <si>
    <t>Ananya Khan</t>
  </si>
  <si>
    <t>2022-11-02</t>
  </si>
  <si>
    <t>ananya.khan76@yahoo.com</t>
  </si>
  <si>
    <t>aisha.reddy45@outlook.com</t>
  </si>
  <si>
    <t>2022-07-13</t>
  </si>
  <si>
    <t>sara.iyer90@gmail.com</t>
  </si>
  <si>
    <t>Isha Nair</t>
  </si>
  <si>
    <t>2022-11-22</t>
  </si>
  <si>
    <t>isha.nair96@outlook.com</t>
  </si>
  <si>
    <t>2022-02-07</t>
  </si>
  <si>
    <t>Diya Reddy</t>
  </si>
  <si>
    <t>2023-06-23</t>
  </si>
  <si>
    <t>diya.reddy59@gmail.com</t>
  </si>
  <si>
    <t>2023-04-26</t>
  </si>
  <si>
    <t>rahul.mehta34@outlook.com</t>
  </si>
  <si>
    <t>Diya Iyer</t>
  </si>
  <si>
    <t>2023-11-22</t>
  </si>
  <si>
    <t>diya.iyer69@outlook.com</t>
  </si>
  <si>
    <t>2023-09-25</t>
  </si>
  <si>
    <t>sara.kapoor9@gmail.com</t>
  </si>
  <si>
    <t>Isha Patel</t>
  </si>
  <si>
    <t>2022-04-11</t>
  </si>
  <si>
    <t>isha.patel98@yahoo.com</t>
  </si>
  <si>
    <t>Karan Mehta</t>
  </si>
  <si>
    <t>2022-11-03</t>
  </si>
  <si>
    <t>karan.mehta4@gmail.com</t>
  </si>
  <si>
    <t>2023-01-19</t>
  </si>
  <si>
    <t>ananya.khan56@gmail.com</t>
  </si>
  <si>
    <t>2023-11-30</t>
  </si>
  <si>
    <t>ishaan.nair24@gmail.com</t>
  </si>
  <si>
    <t>2023-01-27</t>
  </si>
  <si>
    <t>vivaan.joshi80@yahoo.com</t>
  </si>
  <si>
    <t>2022-08-26</t>
  </si>
  <si>
    <t>karan.joshi60@yahoo.com</t>
  </si>
  <si>
    <t>Sara Khan</t>
  </si>
  <si>
    <t>2022-01-10</t>
  </si>
  <si>
    <t>sara.khan60@outlook.com</t>
  </si>
  <si>
    <t>2023-08-25</t>
  </si>
  <si>
    <t>vivaan.reddy39@yahoo.com</t>
  </si>
  <si>
    <t>Kavya Reddy</t>
  </si>
  <si>
    <t>2022-11-06</t>
  </si>
  <si>
    <t>kavya.reddy26@outlook.com</t>
  </si>
  <si>
    <t>2023-08-09</t>
  </si>
  <si>
    <t>diya.gupta46@yahoo.com</t>
  </si>
  <si>
    <t>2023-11-06</t>
  </si>
  <si>
    <t>kavya.sharma51@outlook.com</t>
  </si>
  <si>
    <t>Varun Sharma</t>
  </si>
  <si>
    <t>2023-05-24</t>
  </si>
  <si>
    <t>varun.sharma37@gmail.com</t>
  </si>
  <si>
    <t>isha.gupta87@yahoo.com</t>
  </si>
  <si>
    <t>Vivaan Sharma</t>
  </si>
  <si>
    <t>2023-03-28</t>
  </si>
  <si>
    <t>vivaan.sharma5@yahoo.com</t>
  </si>
  <si>
    <t>2022-12-01</t>
  </si>
  <si>
    <t>aisha.patel96@outlook.com</t>
  </si>
  <si>
    <t>Arjun Mehta</t>
  </si>
  <si>
    <t>2023-07-07</t>
  </si>
  <si>
    <t>arjun.mehta47@yahoo.com</t>
  </si>
  <si>
    <t>Aisha Khan</t>
  </si>
  <si>
    <t>2023-05-09</t>
  </si>
  <si>
    <t>aisha.khan38@yahoo.com</t>
  </si>
  <si>
    <t>2022-05-25</t>
  </si>
  <si>
    <t>diya.reddy97@gmail.com</t>
  </si>
  <si>
    <t>Pooja Iyer</t>
  </si>
  <si>
    <t>2023-02-09</t>
  </si>
  <si>
    <t>pooja.iyer2@outlook.com</t>
  </si>
  <si>
    <t>karan.iyer34@yahoo.com</t>
  </si>
  <si>
    <t>Meera Patel</t>
  </si>
  <si>
    <t>meera.patel61@gmail.com</t>
  </si>
  <si>
    <t>Neha Gupta</t>
  </si>
  <si>
    <t>2022-03-06</t>
  </si>
  <si>
    <t>neha.gupta82@outlook.com</t>
  </si>
  <si>
    <t>Riya Patel</t>
  </si>
  <si>
    <t>2022-02-16</t>
  </si>
  <si>
    <t>riya.patel5@outlook.com</t>
  </si>
  <si>
    <t>2023-07-05</t>
  </si>
  <si>
    <t>diya.patel18@outlook.com</t>
  </si>
  <si>
    <t>Meera Kapoor</t>
  </si>
  <si>
    <t>meera.kapoor96@yahoo.com</t>
  </si>
  <si>
    <t>rahul.patel79@outlook.com</t>
  </si>
  <si>
    <t>Ananya Iyer</t>
  </si>
  <si>
    <t>2023-03-31</t>
  </si>
  <si>
    <t>ananya.iyer57@gmail.com</t>
  </si>
  <si>
    <t>2023-10-23</t>
  </si>
  <si>
    <t>diya.iyer46@gmail.com</t>
  </si>
  <si>
    <t>Kavya Gupta</t>
  </si>
  <si>
    <t>2023-04-11</t>
  </si>
  <si>
    <t>kavya.gupta12@yahoo.com</t>
  </si>
  <si>
    <t>varun.sharma32@gmail.com</t>
  </si>
  <si>
    <t>2023-08-24</t>
  </si>
  <si>
    <t>vivaan.kapoor28@gmail.com</t>
  </si>
  <si>
    <t>2022-10-11</t>
  </si>
  <si>
    <t>aisha.joshi19@gmail.com</t>
  </si>
  <si>
    <t>2022-01-27</t>
  </si>
  <si>
    <t>aisha.patel17@gmail.com</t>
  </si>
  <si>
    <t>Isha Joshi</t>
  </si>
  <si>
    <t>2022-01-17</t>
  </si>
  <si>
    <t>isha.joshi23@outlook.com</t>
  </si>
  <si>
    <t>2022-04-27</t>
  </si>
  <si>
    <t>aditya.nair96@gmail.com</t>
  </si>
  <si>
    <t>2023-08-31</t>
  </si>
  <si>
    <t>sara.iyer14@outlook.com</t>
  </si>
  <si>
    <t>varun.sharma67@outlook.com</t>
  </si>
  <si>
    <t>Ananya Sharma</t>
  </si>
  <si>
    <t>2023-02-16</t>
  </si>
  <si>
    <t>ananya.sharma55@yahoo.com</t>
  </si>
  <si>
    <t>2022-03-24</t>
  </si>
  <si>
    <t>karan.reddy42@yahoo.com</t>
  </si>
  <si>
    <t>2023-10-02</t>
  </si>
  <si>
    <t>vivaan.mehta82@yahoo.com</t>
  </si>
  <si>
    <t>2022-10-29</t>
  </si>
  <si>
    <t>riya.joshi59@yahoo.com</t>
  </si>
  <si>
    <t>2023-11-02</t>
  </si>
  <si>
    <t>diya.patel84@yahoo.com</t>
  </si>
  <si>
    <t>2023-02-28</t>
  </si>
  <si>
    <t>rahul.reddy44@outlook.com</t>
  </si>
  <si>
    <t>riya.patel41@yahoo.com</t>
  </si>
  <si>
    <t>Meera Mehta</t>
  </si>
  <si>
    <t>2023-05-01</t>
  </si>
  <si>
    <t>meera.mehta9@gmail.com</t>
  </si>
  <si>
    <t>2023-01-17</t>
  </si>
  <si>
    <t>vivaan.nair17@yahoo.com</t>
  </si>
  <si>
    <t>2022-12-04</t>
  </si>
  <si>
    <t>varun.kapoor86@gmail.com</t>
  </si>
  <si>
    <t>2022-02-22</t>
  </si>
  <si>
    <t>meera.nair37@yahoo.com</t>
  </si>
  <si>
    <t>2023-06-04</t>
  </si>
  <si>
    <t>meera.patel28@gmail.com</t>
  </si>
  <si>
    <t>2023-07-24</t>
  </si>
  <si>
    <t>isha.patel48@gmail.com</t>
  </si>
  <si>
    <t>2023-03-16</t>
  </si>
  <si>
    <t>neha.gupta72@yahoo.com</t>
  </si>
  <si>
    <t>Varun Khan</t>
  </si>
  <si>
    <t>2022-07-04</t>
  </si>
  <si>
    <t>varun.khan35@yahoo.com</t>
  </si>
  <si>
    <t>Meera Iyer</t>
  </si>
  <si>
    <t>2022-07-05</t>
  </si>
  <si>
    <t>meera.iyer19@yahoo.com</t>
  </si>
  <si>
    <t>Diya Mehta</t>
  </si>
  <si>
    <t>2023-10-11</t>
  </si>
  <si>
    <t>diya.mehta4@gmail.com</t>
  </si>
  <si>
    <t>Rahul Nair</t>
  </si>
  <si>
    <t>2022-12-16</t>
  </si>
  <si>
    <t>rahul.nair21@outlook.com</t>
  </si>
  <si>
    <t>Meera Joshi</t>
  </si>
  <si>
    <t>2022-03-28</t>
  </si>
  <si>
    <t>meera.joshi7@gmail.com</t>
  </si>
  <si>
    <t>varun.sharma35@outlook.com</t>
  </si>
  <si>
    <t>sara.joshi35@gmail.com</t>
  </si>
  <si>
    <t>2022-10-18</t>
  </si>
  <si>
    <t>rohan.nair87@yahoo.com</t>
  </si>
  <si>
    <t>2022-08-14</t>
  </si>
  <si>
    <t>pooja.khan51@yahoo.com</t>
  </si>
  <si>
    <t>Aarav Gupta</t>
  </si>
  <si>
    <t>2022-08-05</t>
  </si>
  <si>
    <t>aarav.gupta99@gmail.com</t>
  </si>
  <si>
    <t>2022-01-08</t>
  </si>
  <si>
    <t>kavya.iyer64@yahoo.com</t>
  </si>
  <si>
    <t>Aisha Mehta</t>
  </si>
  <si>
    <t>2023-06-30</t>
  </si>
  <si>
    <t>aisha.mehta91@gmail.com</t>
  </si>
  <si>
    <t>Diya Nair</t>
  </si>
  <si>
    <t>2022-02-13</t>
  </si>
  <si>
    <t>diya.nair56@gmail.com</t>
  </si>
  <si>
    <t>diya.iyer74@outlook.com</t>
  </si>
  <si>
    <t>Kavya Patel</t>
  </si>
  <si>
    <t>2022-01-22</t>
  </si>
  <si>
    <t>kavya.patel42@gmail.com</t>
  </si>
  <si>
    <t>meera.patel32@outlook.com</t>
  </si>
  <si>
    <t>Pooja Patel</t>
  </si>
  <si>
    <t>pooja.patel96@outlook.com</t>
  </si>
  <si>
    <t>Rohan Mehta</t>
  </si>
  <si>
    <t>2023-06-07</t>
  </si>
  <si>
    <t>rohan.mehta82@gmail.com</t>
  </si>
  <si>
    <t>Rohan Iyer</t>
  </si>
  <si>
    <t>rohan.iyer19@gmail.com</t>
  </si>
  <si>
    <t>2022-06-27</t>
  </si>
  <si>
    <t>aditya.khan78@gmail.com</t>
  </si>
  <si>
    <t>2023-08-01</t>
  </si>
  <si>
    <t>aditya.reddy98@yahoo.com</t>
  </si>
  <si>
    <t>Neha Joshi</t>
  </si>
  <si>
    <t>2023-10-05</t>
  </si>
  <si>
    <t>neha.joshi41@gmail.com</t>
  </si>
  <si>
    <t>diya.reddy39@outlook.com</t>
  </si>
  <si>
    <t>rohan.kapoor60@outlook.com</t>
  </si>
  <si>
    <t>2022-10-21</t>
  </si>
  <si>
    <t>aarav.iyer10@yahoo.com</t>
  </si>
  <si>
    <t>varun.joshi60@yahoo.com</t>
  </si>
  <si>
    <t>2022-07-12</t>
  </si>
  <si>
    <t>karan.joshi42@yahoo.com</t>
  </si>
  <si>
    <t>2023-04-07</t>
  </si>
  <si>
    <t>pooja.mehta14@outlook.com</t>
  </si>
  <si>
    <t>Ishaan Mehta</t>
  </si>
  <si>
    <t>2022-09-11</t>
  </si>
  <si>
    <t>ishaan.mehta91@outlook.com</t>
  </si>
  <si>
    <t>2022-06-12</t>
  </si>
  <si>
    <t>pooja.kapoor47@outlook.com</t>
  </si>
  <si>
    <t>Riya Nair</t>
  </si>
  <si>
    <t>2022-12-13</t>
  </si>
  <si>
    <t>riya.nair87@yahoo.com</t>
  </si>
  <si>
    <t>Rohan Patel</t>
  </si>
  <si>
    <t>rohan.patel72@yahoo.com</t>
  </si>
  <si>
    <t>Kavya Khan</t>
  </si>
  <si>
    <t>2023-11-04</t>
  </si>
  <si>
    <t>kavya.khan78@gmail.com</t>
  </si>
  <si>
    <t>diya.joshi45@outlook.com</t>
  </si>
  <si>
    <t>aisha.joshi40@yahoo.com</t>
  </si>
  <si>
    <t>2023-06-24</t>
  </si>
  <si>
    <t>meera.mehta12@yahoo.com</t>
  </si>
  <si>
    <t>2023-01-07</t>
  </si>
  <si>
    <t>pooja.iyer40@gmail.com</t>
  </si>
  <si>
    <t>Rohan Reddy</t>
  </si>
  <si>
    <t>2022-08-20</t>
  </si>
  <si>
    <t>rohan.reddy18@gmail.com</t>
  </si>
  <si>
    <t>Kabir Patel</t>
  </si>
  <si>
    <t>kabir.patel95@yahoo.com</t>
  </si>
  <si>
    <t>Rohan Joshi</t>
  </si>
  <si>
    <t>2023-09-04</t>
  </si>
  <si>
    <t>rohan.joshi49@gmail.com</t>
  </si>
  <si>
    <t>Aditya Joshi</t>
  </si>
  <si>
    <t>aditya.joshi93@outlook.com</t>
  </si>
  <si>
    <t>2022-09-01</t>
  </si>
  <si>
    <t>rahul.iyer57@yahoo.com</t>
  </si>
  <si>
    <t>sara.gupta40@outlook.com</t>
  </si>
  <si>
    <t>2023-04-18</t>
  </si>
  <si>
    <t>rohan.joshi99@outlook.com</t>
  </si>
  <si>
    <t>pooja.kapoor26@yahoo.com</t>
  </si>
  <si>
    <t>Kabir Sharma</t>
  </si>
  <si>
    <t>2023-05-08</t>
  </si>
  <si>
    <t>kabir.sharma48@yahoo.com</t>
  </si>
  <si>
    <t>2022-03-27</t>
  </si>
  <si>
    <t>ishaan.patel98@gmail.com</t>
  </si>
  <si>
    <t>2023-03-24</t>
  </si>
  <si>
    <t>sara.kapoor12@gmail.com</t>
  </si>
  <si>
    <t>Meera Sharma</t>
  </si>
  <si>
    <t>2022-02-24</t>
  </si>
  <si>
    <t>meera.sharma51@yahoo.com</t>
  </si>
  <si>
    <t>isha.nair29@gmail.com</t>
  </si>
  <si>
    <t>2022-05-30</t>
  </si>
  <si>
    <t>diya.iyer18@gmail.com</t>
  </si>
  <si>
    <t>sara.mehta58@yahoo.com</t>
  </si>
  <si>
    <t>2022-08-09</t>
  </si>
  <si>
    <t>vivaan.sharma20@yahoo.com</t>
  </si>
  <si>
    <t>diya.khan16@gmail.com</t>
  </si>
  <si>
    <t>rahul.joshi15@outlook.com</t>
  </si>
  <si>
    <t>Ishaan Joshi</t>
  </si>
  <si>
    <t>2022-05-28</t>
  </si>
  <si>
    <t>ishaan.joshi38@outlook.com</t>
  </si>
  <si>
    <t>varun.iyer54@gmail.com</t>
  </si>
  <si>
    <t>Ishaan Iyer</t>
  </si>
  <si>
    <t>ishaan.iyer70@yahoo.com</t>
  </si>
  <si>
    <t>2023-10-13</t>
  </si>
  <si>
    <t>rahul.reddy50@outlook.com</t>
  </si>
  <si>
    <t>2022-03-11</t>
  </si>
  <si>
    <t>ananya.iyer45@gmail.com</t>
  </si>
  <si>
    <t>2022-02-15</t>
  </si>
  <si>
    <t>varun.iyer46@yahoo.com</t>
  </si>
  <si>
    <t>2023-05-06</t>
  </si>
  <si>
    <t>aisha.reddy81@gmail.com</t>
  </si>
  <si>
    <t>2022-10-28</t>
  </si>
  <si>
    <t>vivaan.reddy26@gmail.com</t>
  </si>
  <si>
    <t>aarav.iyer51@yahoo.com</t>
  </si>
  <si>
    <t>2023-10-25</t>
  </si>
  <si>
    <t>kavya.sharma25@outlook.com</t>
  </si>
  <si>
    <t>ananya.iyer48@outlook.com</t>
  </si>
  <si>
    <t>Sara Nair</t>
  </si>
  <si>
    <t>2022-07-11</t>
  </si>
  <si>
    <t>sara.nair64@yahoo.com</t>
  </si>
  <si>
    <t>2022-03-26</t>
  </si>
  <si>
    <t>meera.kapoor94@outlook.com</t>
  </si>
  <si>
    <t>rahul.joshi70@outlook.com</t>
  </si>
  <si>
    <t>diya.patel38@outlook.com</t>
  </si>
  <si>
    <t>neha.nair45@outlook.com</t>
  </si>
  <si>
    <t>2022-10-09</t>
  </si>
  <si>
    <t>rohan.joshi82@gmail.com</t>
  </si>
  <si>
    <t>2023-11-27</t>
  </si>
  <si>
    <t>rahul.iyer21@gmail.com</t>
  </si>
  <si>
    <t>Varun Reddy</t>
  </si>
  <si>
    <t>2022-05-10</t>
  </si>
  <si>
    <t>varun.reddy9@gmail.com</t>
  </si>
  <si>
    <t>meera.nair78@gmail.com</t>
  </si>
  <si>
    <t>2022-03-20</t>
  </si>
  <si>
    <t>meera.iyer74@gmail.com</t>
  </si>
  <si>
    <t>2022-10-13</t>
  </si>
  <si>
    <t>riya.iyer32@gmail.com</t>
  </si>
  <si>
    <t>2023-02-01</t>
  </si>
  <si>
    <t>aditya.reddy72@gmail.com</t>
  </si>
  <si>
    <t>2023-09-19</t>
  </si>
  <si>
    <t>kavya.reddy37@yahoo.com</t>
  </si>
  <si>
    <t>2022-03-17</t>
  </si>
  <si>
    <t>isha.patel58@gmail.com</t>
  </si>
  <si>
    <t>2022-12-22</t>
  </si>
  <si>
    <t>diya.iyer91@gmail.com</t>
  </si>
  <si>
    <t>Kavya Mehta</t>
  </si>
  <si>
    <t>2023-10-16</t>
  </si>
  <si>
    <t>kavya.mehta23@outlook.com</t>
  </si>
  <si>
    <t>2022-05-23</t>
  </si>
  <si>
    <t>vivaan.gupta31@outlook.com</t>
  </si>
  <si>
    <t>2023-01-13</t>
  </si>
  <si>
    <t>rohan.kapoor60@yahoo.com</t>
  </si>
  <si>
    <t>Varun Patel</t>
  </si>
  <si>
    <t>varun.patel51@yahoo.com</t>
  </si>
  <si>
    <t>Pooja Nair</t>
  </si>
  <si>
    <t>2023-02-24</t>
  </si>
  <si>
    <t>pooja.nair74@gmail.com</t>
  </si>
  <si>
    <t>2023-04-23</t>
  </si>
  <si>
    <t>rohan.patel88@yahoo.com</t>
  </si>
  <si>
    <t>Aisha Kapoor</t>
  </si>
  <si>
    <t>aisha.kapoor24@gmail.com</t>
  </si>
  <si>
    <t>pooja.sharma67@gmail.com</t>
  </si>
  <si>
    <t>aisha.mehta45@yahoo.com</t>
  </si>
  <si>
    <t>diya.khan71@outlook.com</t>
  </si>
  <si>
    <t>Kabir Joshi</t>
  </si>
  <si>
    <t>2022-04-06</t>
  </si>
  <si>
    <t>kabir.joshi65@yahoo.com</t>
  </si>
  <si>
    <t>varun.joshi85@yahoo.com</t>
  </si>
  <si>
    <t>Neha Sharma</t>
  </si>
  <si>
    <t>2022-01-30</t>
  </si>
  <si>
    <t>neha.sharma11@gmail.com</t>
  </si>
  <si>
    <t>isha.joshi82@gmail.com</t>
  </si>
  <si>
    <t>pooja.khan62@gmail.com</t>
  </si>
  <si>
    <t>kavya.reddy21@outlook.com</t>
  </si>
  <si>
    <t>2022-12-15</t>
  </si>
  <si>
    <t>sara.reddy78@gmail.com</t>
  </si>
  <si>
    <t>2022-05-14</t>
  </si>
  <si>
    <t>meera.iyer98@outlook.com</t>
  </si>
  <si>
    <t>2022-05-06</t>
  </si>
  <si>
    <t>rohan.gupta35@outlook.com</t>
  </si>
  <si>
    <t>Aditya Patel</t>
  </si>
  <si>
    <t>2022-10-25</t>
  </si>
  <si>
    <t>aditya.patel50@yahoo.com</t>
  </si>
  <si>
    <t>Isha Mehta</t>
  </si>
  <si>
    <t>2022-12-02</t>
  </si>
  <si>
    <t>isha.mehta74@yahoo.com</t>
  </si>
  <si>
    <t>isha.mehta60@outlook.com</t>
  </si>
  <si>
    <t>Sara Sharma</t>
  </si>
  <si>
    <t>2023-02-07</t>
  </si>
  <si>
    <t>sara.sharma65@outlook.com</t>
  </si>
  <si>
    <t>Arjun Joshi</t>
  </si>
  <si>
    <t>2022-02-19</t>
  </si>
  <si>
    <t>arjun.joshi7@outlook.com</t>
  </si>
  <si>
    <t>2023-07-04</t>
  </si>
  <si>
    <t>neha.reddy2@gmail.com</t>
  </si>
  <si>
    <t>2023-01-10</t>
  </si>
  <si>
    <t>aisha.khan98@outlook.com</t>
  </si>
  <si>
    <t>2023-08-07</t>
  </si>
  <si>
    <t>ananya.nair72@gmail.com</t>
  </si>
  <si>
    <t>2023-01-31</t>
  </si>
  <si>
    <t>pooja.khan65@outlook.com</t>
  </si>
  <si>
    <t>2022-05-12</t>
  </si>
  <si>
    <t>neha.joshi13@outlook.com</t>
  </si>
  <si>
    <t>meera.kapoor26@yahoo.com</t>
  </si>
  <si>
    <t>2022-02-09</t>
  </si>
  <si>
    <t>pooja.sharma18@yahoo.com</t>
  </si>
  <si>
    <t>2022-06-02</t>
  </si>
  <si>
    <t>sara.kapoor78@yahoo.com</t>
  </si>
  <si>
    <t>rohan.joshi51@yahoo.com</t>
  </si>
  <si>
    <t>2023-06-06</t>
  </si>
  <si>
    <t>neha.iyer69@outlook.com</t>
  </si>
  <si>
    <t>2022-12-06</t>
  </si>
  <si>
    <t>sara.sharma87@gmail.com</t>
  </si>
  <si>
    <t>Neha Khan</t>
  </si>
  <si>
    <t>2023-10-07</t>
  </si>
  <si>
    <t>neha.khan4@yahoo.com</t>
  </si>
  <si>
    <t>2022-08-22</t>
  </si>
  <si>
    <t>kavya.joshi93@gmail.com</t>
  </si>
  <si>
    <t>2023-09-27</t>
  </si>
  <si>
    <t>aisha.kapoor49@gmail.com</t>
  </si>
  <si>
    <t>Aarav Joshi</t>
  </si>
  <si>
    <t>2022-04-23</t>
  </si>
  <si>
    <t>aarav.joshi25@gmail.com</t>
  </si>
  <si>
    <t>2023-02-27</t>
  </si>
  <si>
    <t>meera.nair89@gmail.com</t>
  </si>
  <si>
    <t>Pooja Joshi</t>
  </si>
  <si>
    <t>2022-03-05</t>
  </si>
  <si>
    <t>pooja.joshi91@gmail.com</t>
  </si>
  <si>
    <t>2023-05-05</t>
  </si>
  <si>
    <t>ishaan.iyer68@outlook.com</t>
  </si>
  <si>
    <t>2022-12-17</t>
  </si>
  <si>
    <t>aisha.reddy70@outlook.com</t>
  </si>
  <si>
    <t>2022-09-10</t>
  </si>
  <si>
    <t>neha.reddy36@yahoo.com</t>
  </si>
  <si>
    <t>2022-10-23</t>
  </si>
  <si>
    <t>isha.khan91@gmail.com</t>
  </si>
  <si>
    <t>2023-07-28</t>
  </si>
  <si>
    <t>meera.reddy93@outlook.com</t>
  </si>
  <si>
    <t>2023-07-11</t>
  </si>
  <si>
    <t>diya.joshi49@outlook.com</t>
  </si>
  <si>
    <t>2022-10-22</t>
  </si>
  <si>
    <t>aisha.khan92@gmail.com</t>
  </si>
  <si>
    <t>sara.khan28@gmail.com</t>
  </si>
  <si>
    <t>2022-04-22</t>
  </si>
  <si>
    <t>pooja.khan79@yahoo.com</t>
  </si>
  <si>
    <t>arjun.sharma29@yahoo.com</t>
  </si>
  <si>
    <t>aarav.patel92@outlook.com</t>
  </si>
  <si>
    <t>2022-06-11</t>
  </si>
  <si>
    <t>aditya.sharma53@yahoo.com</t>
  </si>
  <si>
    <t>sara.gupta42@outlook.com</t>
  </si>
  <si>
    <t>2023-07-02</t>
  </si>
  <si>
    <t>vivaan.joshi95@yahoo.com</t>
  </si>
  <si>
    <t>aditya.nair5@outlook.com</t>
  </si>
  <si>
    <t>aisha.khan39@yahoo.com</t>
  </si>
  <si>
    <t>Rohan Khan</t>
  </si>
  <si>
    <t>rohan.khan70@yahoo.com</t>
  </si>
  <si>
    <t>2022-10-07</t>
  </si>
  <si>
    <t>aisha.kapoor25@gmail.com</t>
  </si>
  <si>
    <t>2022-09-21</t>
  </si>
  <si>
    <t>aisha.reddy92@gmail.com</t>
  </si>
  <si>
    <t>rohan.khan97@gmail.com</t>
  </si>
  <si>
    <t>varun.nair66@outlook.com</t>
  </si>
  <si>
    <t>rahul.patel62@outlook.com</t>
  </si>
  <si>
    <t>2022-08-30</t>
  </si>
  <si>
    <t>aarav.khan58@outlook.com</t>
  </si>
  <si>
    <t>2023-08-10</t>
  </si>
  <si>
    <t>kavya.joshi2@outlook.com</t>
  </si>
  <si>
    <t>2022-05-02</t>
  </si>
  <si>
    <t>isha.sharma60@outlook.com</t>
  </si>
  <si>
    <t>Rahul Kapoor</t>
  </si>
  <si>
    <t>2022-11-15</t>
  </si>
  <si>
    <t>rahul.kapoor89@gmail.com</t>
  </si>
  <si>
    <t>2022-08-13</t>
  </si>
  <si>
    <t>meera.joshi18@outlook.com</t>
  </si>
  <si>
    <t>2023-03-02</t>
  </si>
  <si>
    <t>karan.joshi90@yahoo.com</t>
  </si>
  <si>
    <t>Pooja Gupta</t>
  </si>
  <si>
    <t>pooja.gupta88@yahoo.com</t>
  </si>
  <si>
    <t>2023-01-06</t>
  </si>
  <si>
    <t>ishaan.reddy10@yahoo.com</t>
  </si>
  <si>
    <t>2022-07-27</t>
  </si>
  <si>
    <t>aarav.kapoor74@yahoo.com</t>
  </si>
  <si>
    <t>aditya.iyer57@gmail.com</t>
  </si>
  <si>
    <t>varun.reddy58@gmail.com</t>
  </si>
  <si>
    <t>2023-04-13</t>
  </si>
  <si>
    <t>aisha.kapoor73@gmail.com</t>
  </si>
  <si>
    <t>2022-09-18</t>
  </si>
  <si>
    <t>kavya.sharma1@yahoo.com</t>
  </si>
  <si>
    <t>2023-03-10</t>
  </si>
  <si>
    <t>varun.patel45@yahoo.com</t>
  </si>
  <si>
    <t>Ishaan Sharma</t>
  </si>
  <si>
    <t>2023-04-29</t>
  </si>
  <si>
    <t>ishaan.sharma5@outlook.com</t>
  </si>
  <si>
    <t>aisha.mehta94@yahoo.com</t>
  </si>
  <si>
    <t>2023-01-22</t>
  </si>
  <si>
    <t>meera.nair49@gmail.com</t>
  </si>
  <si>
    <t>rohan.patel51@yahoo.com</t>
  </si>
  <si>
    <t>2022-01-24</t>
  </si>
  <si>
    <t>arjun.sharma39@outlook.com</t>
  </si>
  <si>
    <t>2022-08-24</t>
  </si>
  <si>
    <t>pooja.nair32@outlook.com</t>
  </si>
  <si>
    <t>2022-04-26</t>
  </si>
  <si>
    <t>aisha.khan5@yahoo.com</t>
  </si>
  <si>
    <t>2022-07-31</t>
  </si>
  <si>
    <t>neha.sharma9@gmail.com</t>
  </si>
  <si>
    <t>karan.joshi32@yahoo.com</t>
  </si>
  <si>
    <t>rahul.reddy28@gmail.com</t>
  </si>
  <si>
    <t>2023-08-13</t>
  </si>
  <si>
    <t>ishaan.khan41@yahoo.com</t>
  </si>
  <si>
    <t>isha.khan67@gmail.com</t>
  </si>
  <si>
    <t>kavya.khan76@yahoo.com</t>
  </si>
  <si>
    <t>rahul.kapoor45@yahoo.com</t>
  </si>
  <si>
    <t>pooja.iyer53@gmail.com</t>
  </si>
  <si>
    <t>riya.mehta61@gmail.com</t>
  </si>
  <si>
    <t>2023-04-20</t>
  </si>
  <si>
    <t>kabir.mehta8@yahoo.com</t>
  </si>
  <si>
    <t>2022-05-18</t>
  </si>
  <si>
    <t>riya.kapoor50@gmail.com</t>
  </si>
  <si>
    <t>Isha Iyer</t>
  </si>
  <si>
    <t>2022-03-22</t>
  </si>
  <si>
    <t>isha.iyer58@outlook.com</t>
  </si>
  <si>
    <t>2022-10-02</t>
  </si>
  <si>
    <t>ishaan.gupta49@yahoo.com</t>
  </si>
  <si>
    <t>vivaan.gupta93@yahoo.com</t>
  </si>
  <si>
    <t>Karan Gupta</t>
  </si>
  <si>
    <t>2022-12-07</t>
  </si>
  <si>
    <t>karan.gupta39@gmail.com</t>
  </si>
  <si>
    <t>Arjun Patel</t>
  </si>
  <si>
    <t>arjun.patel32@yahoo.com</t>
  </si>
  <si>
    <t>2022-11-26</t>
  </si>
  <si>
    <t>rahul.gupta37@outlook.com</t>
  </si>
  <si>
    <t>2022-09-25</t>
  </si>
  <si>
    <t>pooja.iyer47@yahoo.com</t>
  </si>
  <si>
    <t>sara.patel98@outlook.com</t>
  </si>
  <si>
    <t>rohan.iyer73@gmail.com</t>
  </si>
  <si>
    <t>2023-08-22</t>
  </si>
  <si>
    <t>aarav.khan75@yahoo.com</t>
  </si>
  <si>
    <t>kavya.mehta30@outlook.com</t>
  </si>
  <si>
    <t>Karan Kapoor</t>
  </si>
  <si>
    <t>karan.kapoor33@outlook.com</t>
  </si>
  <si>
    <t>2022-12-27</t>
  </si>
  <si>
    <t>sara.mehta22@gmail.com</t>
  </si>
  <si>
    <t>2022-03-02</t>
  </si>
  <si>
    <t>aisha.kapoor68@gmail.com</t>
  </si>
  <si>
    <t>2022-05-21</t>
  </si>
  <si>
    <t>aarav.sharma81@gmail.com</t>
  </si>
  <si>
    <t>2023-06-02</t>
  </si>
  <si>
    <t>aditya.sharma59@outlook.com</t>
  </si>
  <si>
    <t>2023-11-07</t>
  </si>
  <si>
    <t>varun.joshi63@gmail.com</t>
  </si>
  <si>
    <t>Ishaan Kapoor</t>
  </si>
  <si>
    <t>ishaan.kapoor3@yahoo.com</t>
  </si>
  <si>
    <t>2023-05-30</t>
  </si>
  <si>
    <t>pooja.khan90@yahoo.com</t>
  </si>
  <si>
    <t>2023-06-21</t>
  </si>
  <si>
    <t>aisha.patel20@gmail.com</t>
  </si>
  <si>
    <t>2022-12-29</t>
  </si>
  <si>
    <t>varun.kapoor35@outlook.com</t>
  </si>
  <si>
    <t>2023-08-02</t>
  </si>
  <si>
    <t>rohan.nair32@yahoo.com</t>
  </si>
  <si>
    <t>2023-10-28</t>
  </si>
  <si>
    <t>kabir.patel98@gmail.com</t>
  </si>
  <si>
    <t>rahul.nair61@gmail.com</t>
  </si>
  <si>
    <t>2023-03-21</t>
  </si>
  <si>
    <t>aditya.patel83@outlook.com</t>
  </si>
  <si>
    <t>ishaan.sharma89@yahoo.com</t>
  </si>
  <si>
    <t>kavya.sharma36@yahoo.com</t>
  </si>
  <si>
    <t>2022-08-01</t>
  </si>
  <si>
    <t>aditya.iyer76@gmail.com</t>
  </si>
  <si>
    <t>diya.khan31@yahoo.com</t>
  </si>
  <si>
    <t>pooja.iyer89@yahoo.com</t>
  </si>
  <si>
    <t>ishaan.iyer56@gmail.com</t>
  </si>
  <si>
    <t>2023-09-21</t>
  </si>
  <si>
    <t>rohan.joshi77@outlook.com</t>
  </si>
  <si>
    <t>ananya.khan63@gmail.com</t>
  </si>
  <si>
    <t>2022-07-10</t>
  </si>
  <si>
    <t>pooja.nair88@yahoo.com</t>
  </si>
  <si>
    <t>diya.joshi92@gmail.com</t>
  </si>
  <si>
    <t>2023-10-12</t>
  </si>
  <si>
    <t>kabir.mehta20@yahoo.com</t>
  </si>
  <si>
    <t>2022-04-04</t>
  </si>
  <si>
    <t>meera.iyer1@outlook.com</t>
  </si>
  <si>
    <t>2022-05-16</t>
  </si>
  <si>
    <t>meera.khan12@gmail.com</t>
  </si>
  <si>
    <t>2023-06-09</t>
  </si>
  <si>
    <t>sara.kapoor53@gmail.com</t>
  </si>
  <si>
    <t>Vivaan Iyer</t>
  </si>
  <si>
    <t>vivaan.iyer77@yahoo.com</t>
  </si>
  <si>
    <t>Riya Sharma</t>
  </si>
  <si>
    <t>riya.sharma50@gmail.com</t>
  </si>
  <si>
    <t>2023-01-25</t>
  </si>
  <si>
    <t>varun.kapoor22@gmail.com</t>
  </si>
  <si>
    <t>kavya.khan9@gmail.com</t>
  </si>
  <si>
    <t>Kavya Nair</t>
  </si>
  <si>
    <t>kavya.nair10@outlook.com</t>
  </si>
  <si>
    <t>2023-09-24</t>
  </si>
  <si>
    <t>isha.reddy26@outlook.com</t>
  </si>
  <si>
    <t>aditya.khan43@yahoo.com</t>
  </si>
  <si>
    <t>meera.reddy84@yahoo.com</t>
  </si>
  <si>
    <t>Kabir Iyer</t>
  </si>
  <si>
    <t>2022-07-25</t>
  </si>
  <si>
    <t>kabir.iyer62@outlook.com</t>
  </si>
  <si>
    <t>rahul.iyer63@yahoo.com</t>
  </si>
  <si>
    <t>rohan.nair47@gmail.com</t>
  </si>
  <si>
    <t>varun.kapoor99@yahoo.com</t>
  </si>
  <si>
    <t>2022-10-26</t>
  </si>
  <si>
    <t>karan.gupta89@gmail.com</t>
  </si>
  <si>
    <t>2022-11-07</t>
  </si>
  <si>
    <t>sara.mehta31@outlook.com</t>
  </si>
  <si>
    <t>rahul.nair77@outlook.com</t>
  </si>
  <si>
    <t>2023-03-05</t>
  </si>
  <si>
    <t>pooja.kapoor70@gmail.com</t>
  </si>
  <si>
    <t>2022-03-29</t>
  </si>
  <si>
    <t>pooja.joshi14@gmail.com</t>
  </si>
  <si>
    <t>aisha.joshi83@yahoo.com</t>
  </si>
  <si>
    <t>2022-01-11</t>
  </si>
  <si>
    <t>meera.nair13@outlook.com</t>
  </si>
  <si>
    <t>2023-08-18</t>
  </si>
  <si>
    <t>ishaan.kapoor89@yahoo.com</t>
  </si>
  <si>
    <t>karan.iyer99@yahoo.com</t>
  </si>
  <si>
    <t>2022-04-18</t>
  </si>
  <si>
    <t>rohan.sharma38@outlook.com</t>
  </si>
  <si>
    <t>vivaan.mehta44@outlook.com</t>
  </si>
  <si>
    <t>2023-05-03</t>
  </si>
  <si>
    <t>ishaan.reddy13@outlook.com</t>
  </si>
  <si>
    <t>meera.patel91@gmail.com</t>
  </si>
  <si>
    <t>2022-06-18</t>
  </si>
  <si>
    <t>rohan.patel95@gmail.com</t>
  </si>
  <si>
    <t>ishaan.mehta55@outlook.com</t>
  </si>
  <si>
    <t>2023-10-18</t>
  </si>
  <si>
    <t>rahul.mehta85@outlook.com</t>
  </si>
  <si>
    <t>Ananya Joshi</t>
  </si>
  <si>
    <t>2023-04-06</t>
  </si>
  <si>
    <t>ananya.joshi76@outlook.com</t>
  </si>
  <si>
    <t>ananya.gupta97@yahoo.com</t>
  </si>
  <si>
    <t>varun.patel24@outlook.com</t>
  </si>
  <si>
    <t>2022-09-26</t>
  </si>
  <si>
    <t>isha.reddy86@outlook.com</t>
  </si>
  <si>
    <t>2023-02-06</t>
  </si>
  <si>
    <t>neha.nair76@gmail.com</t>
  </si>
  <si>
    <t>2022-06-26</t>
  </si>
  <si>
    <t>meera.reddy87@yahoo.com</t>
  </si>
  <si>
    <t>neha.joshi18@outlook.com</t>
  </si>
  <si>
    <t>2022-07-07</t>
  </si>
  <si>
    <t>arjun.khan48@yahoo.com</t>
  </si>
  <si>
    <t>2023-09-03</t>
  </si>
  <si>
    <t>ishaan.nair18@yahoo.com</t>
  </si>
  <si>
    <t>riya.mehta69@yahoo.com</t>
  </si>
  <si>
    <t>ishaan.mehta18@gmail.com</t>
  </si>
  <si>
    <t>2023-01-03</t>
  </si>
  <si>
    <t>sara.joshi2@outlook.com</t>
  </si>
  <si>
    <t>Arjun Nair</t>
  </si>
  <si>
    <t>arjun.nair84@outlook.com</t>
  </si>
  <si>
    <t>sara.nair63@gmail.com</t>
  </si>
  <si>
    <t>varun.sharma38@gmail.com</t>
  </si>
  <si>
    <t>2022-06-22</t>
  </si>
  <si>
    <t>isha.kapoor59@yahoo.com</t>
  </si>
  <si>
    <t>pooja.kapoor15@outlook.com</t>
  </si>
  <si>
    <t>pooja.sharma70@gmail.com</t>
  </si>
  <si>
    <t>diya.gupta58@outlook.com</t>
  </si>
  <si>
    <t>2022-05-01</t>
  </si>
  <si>
    <t>diya.reddy31@gmail.com</t>
  </si>
  <si>
    <t>2023-09-23</t>
  </si>
  <si>
    <t>neha.nair18@gmail.com</t>
  </si>
  <si>
    <t>aarav.joshi36@yahoo.com</t>
  </si>
  <si>
    <t>rohan.khan35@yahoo.com</t>
  </si>
  <si>
    <t>aditya.nair84@gmail.com</t>
  </si>
  <si>
    <t>arjun.mehta32@yahoo.com</t>
  </si>
  <si>
    <t>2023-10-10</t>
  </si>
  <si>
    <t>sara.mehta35@yahoo.com</t>
  </si>
  <si>
    <t>riya.reddy99@gmail.com</t>
  </si>
  <si>
    <t>pooja.khan59@outlook.com</t>
  </si>
  <si>
    <t>neha.sharma94@outlook.com</t>
  </si>
  <si>
    <t>2022-08-12</t>
  </si>
  <si>
    <t>diya.kapoor55@gmail.com</t>
  </si>
  <si>
    <t>kavya.iyer44@yahoo.com</t>
  </si>
  <si>
    <t>2022-12-18</t>
  </si>
  <si>
    <t>varun.reddy88@gmail.com</t>
  </si>
  <si>
    <t>vivaan.reddy21@outlook.com</t>
  </si>
  <si>
    <t>ananya.nair84@outlook.com</t>
  </si>
  <si>
    <t>2023-01-05</t>
  </si>
  <si>
    <t>kabir.patel33@gmail.com</t>
  </si>
  <si>
    <t>Aisha Sharma</t>
  </si>
  <si>
    <t>2023-10-03</t>
  </si>
  <si>
    <t>aisha.sharma40@yahoo.com</t>
  </si>
  <si>
    <t>2022-04-08</t>
  </si>
  <si>
    <t>rahul.patel1@gmail.com</t>
  </si>
  <si>
    <t>diya.mehta67@yahoo.com</t>
  </si>
  <si>
    <t>ananya.sharma16@outlook.com</t>
  </si>
  <si>
    <t>karan.patel12@yahoo.com</t>
  </si>
  <si>
    <t>vivaan.iyer18@outlook.com</t>
  </si>
  <si>
    <t>aditya.patel2@yahoo.com</t>
  </si>
  <si>
    <t>karan.iyer81@yahoo.com</t>
  </si>
  <si>
    <t>rahul.joshi28@gmail.com</t>
  </si>
  <si>
    <t>aditya.patel45@outlook.com</t>
  </si>
  <si>
    <t>Aisha Gupta</t>
  </si>
  <si>
    <t>aisha.gupta11@gmail.com</t>
  </si>
  <si>
    <t>2023-06-15</t>
  </si>
  <si>
    <t>ananya.khan78@yahoo.com</t>
  </si>
  <si>
    <t>Rahul Khan</t>
  </si>
  <si>
    <t>2022-02-25</t>
  </si>
  <si>
    <t>rahul.khan31@outlook.com</t>
  </si>
  <si>
    <t>diya.gupta77@gmail.com</t>
  </si>
  <si>
    <t>rohan.iyer73@outlook.com</t>
  </si>
  <si>
    <t>2023-04-28</t>
  </si>
  <si>
    <t>pooja.mehta99@gmail.com</t>
  </si>
  <si>
    <t>varun.patel28@gmail.com</t>
  </si>
  <si>
    <t>2023-10-06</t>
  </si>
  <si>
    <t>rahul.kapoor92@yahoo.com</t>
  </si>
  <si>
    <t>riya.nair69@yahoo.com</t>
  </si>
  <si>
    <t>kabir.patel66@gmail.com</t>
  </si>
  <si>
    <t>ishaan.iyer82@yahoo.com</t>
  </si>
  <si>
    <t>Kabir Nair</t>
  </si>
  <si>
    <t>kabir.nair8@gmail.com</t>
  </si>
  <si>
    <t>rahul.patel78@gmail.com</t>
  </si>
  <si>
    <t>aisha.patel90@gmail.com</t>
  </si>
  <si>
    <t>2023-06-14</t>
  </si>
  <si>
    <t>karan.iyer93@outlook.com</t>
  </si>
  <si>
    <t>2022-10-03</t>
  </si>
  <si>
    <t>rohan.mehta94@gmail.com</t>
  </si>
  <si>
    <t>rohan.nair9@outlook.com</t>
  </si>
  <si>
    <t>2023-01-04</t>
  </si>
  <si>
    <t>karan.reddy8@outlook.com</t>
  </si>
  <si>
    <t>rohan.mehta74@yahoo.com</t>
  </si>
  <si>
    <t>arjun.kapoor2@gmail.com</t>
  </si>
  <si>
    <t>2022-06-03</t>
  </si>
  <si>
    <t>karan.iyer23@gmail.com</t>
  </si>
  <si>
    <t>isha.iyer93@outlook.com</t>
  </si>
  <si>
    <t>2022-05-03</t>
  </si>
  <si>
    <t>diya.joshi65@yahoo.com</t>
  </si>
  <si>
    <t>Aditya Gupta</t>
  </si>
  <si>
    <t>2023-06-13</t>
  </si>
  <si>
    <t>aditya.gupta6@outlook.com</t>
  </si>
  <si>
    <t>Karan Khan</t>
  </si>
  <si>
    <t>karan.khan42@gmail.com</t>
  </si>
  <si>
    <t>ananya.iyer73@outlook.com</t>
  </si>
  <si>
    <t>2023-05-21</t>
  </si>
  <si>
    <t>karan.iyer99@gmail.com</t>
  </si>
  <si>
    <t>2022-01-25</t>
  </si>
  <si>
    <t>aditya.sharma30@yahoo.com</t>
  </si>
  <si>
    <t>2023-11-05</t>
  </si>
  <si>
    <t>ananya.iyer49@yahoo.com</t>
  </si>
  <si>
    <t>diya.gupta54@outlook.com</t>
  </si>
  <si>
    <t>2022-02-14</t>
  </si>
  <si>
    <t>aditya.khan30@yahoo.com</t>
  </si>
  <si>
    <t>meera.reddy75@gmail.com</t>
  </si>
  <si>
    <t>2023-08-05</t>
  </si>
  <si>
    <t>rahul.patel8@outlook.com</t>
  </si>
  <si>
    <t>arjun.khan51@yahoo.com</t>
  </si>
  <si>
    <t>meera.reddy10@gmail.com</t>
  </si>
  <si>
    <t>varun.patel22@outlook.com</t>
  </si>
  <si>
    <t>meera.nair46@gmail.com</t>
  </si>
  <si>
    <t>kavya.reddy12@gmail.com</t>
  </si>
  <si>
    <t>neha.sharma19@gmail.com</t>
  </si>
  <si>
    <t>2022-02-20</t>
  </si>
  <si>
    <t>rohan.nair87@outlook.com</t>
  </si>
  <si>
    <t>2023-04-09</t>
  </si>
  <si>
    <t>aisha.sharma72@yahoo.com</t>
  </si>
  <si>
    <t>vivaan.reddy16@gmail.com</t>
  </si>
  <si>
    <t>2023-02-15</t>
  </si>
  <si>
    <t>arjun.mehta48@yahoo.com</t>
  </si>
  <si>
    <t>2022-03-18</t>
  </si>
  <si>
    <t>varun.joshi3@gmail.com</t>
  </si>
  <si>
    <t>karan.mehta16@gmail.com</t>
  </si>
  <si>
    <t>Ananya Mehta</t>
  </si>
  <si>
    <t>2023-03-20</t>
  </si>
  <si>
    <t>ananya.mehta93@outlook.com</t>
  </si>
  <si>
    <t>2023-03-13</t>
  </si>
  <si>
    <t>ananya.nair23@outlook.com</t>
  </si>
  <si>
    <t>2023-04-02</t>
  </si>
  <si>
    <t>aditya.khan20@gmail.com</t>
  </si>
  <si>
    <t>Kabir Reddy</t>
  </si>
  <si>
    <t>2023-07-18</t>
  </si>
  <si>
    <t>kabir.reddy62@gmail.com</t>
  </si>
  <si>
    <t>2023-03-06</t>
  </si>
  <si>
    <t>kabir.nair26@yahoo.com</t>
  </si>
  <si>
    <t>ishaan.sharma62@yahoo.com</t>
  </si>
  <si>
    <t>meera.joshi50@outlook.com</t>
  </si>
  <si>
    <t>aarav.iyer4@outlook.com</t>
  </si>
  <si>
    <t>karan.kapoor30@gmail.com</t>
  </si>
  <si>
    <t>2023-07-01</t>
  </si>
  <si>
    <t>arjun.gupta95@gmail.com</t>
  </si>
  <si>
    <t>varun.nair23@gmail.com</t>
  </si>
  <si>
    <t>meera.joshi73@yahoo.com</t>
  </si>
  <si>
    <t>2023-05-20</t>
  </si>
  <si>
    <t>varun.gupta70@outlook.com</t>
  </si>
  <si>
    <t>Karan Sharma</t>
  </si>
  <si>
    <t>2022-02-27</t>
  </si>
  <si>
    <t>karan.sharma30@yahoo.com</t>
  </si>
  <si>
    <t>2022-01-01</t>
  </si>
  <si>
    <t>aarav.kapoor43@yahoo.com</t>
  </si>
  <si>
    <t>2022-07-01</t>
  </si>
  <si>
    <t>aditya.iyer42@gmail.com</t>
  </si>
  <si>
    <t>2022-05-26</t>
  </si>
  <si>
    <t>aditya.joshi15@yahoo.com</t>
  </si>
  <si>
    <t>diya.iyer51@yahoo.com</t>
  </si>
  <si>
    <t>2022-05-20</t>
  </si>
  <si>
    <t>rohan.khan21@yahoo.com</t>
  </si>
  <si>
    <t>2023-07-30</t>
  </si>
  <si>
    <t>sara.iyer89@yahoo.com</t>
  </si>
  <si>
    <t>2022-06-29</t>
  </si>
  <si>
    <t>isha.joshi49@outlook.com</t>
  </si>
  <si>
    <t>2022-01-02</t>
  </si>
  <si>
    <t>aisha.mehta90@yahoo.com</t>
  </si>
  <si>
    <t>neha.sharma41@yahoo.com</t>
  </si>
  <si>
    <t>varun.patel43@yahoo.com</t>
  </si>
  <si>
    <t>2022-06-21</t>
  </si>
  <si>
    <t>arjun.iyer82@gmail.com</t>
  </si>
  <si>
    <t>2022-08-03</t>
  </si>
  <si>
    <t>sara.sharma32@yahoo.com</t>
  </si>
  <si>
    <t>rohan.khan93@gmail.com</t>
  </si>
  <si>
    <t>rahul.reddy22@outlook.com</t>
  </si>
  <si>
    <t>2023-01-20</t>
  </si>
  <si>
    <t>riya.iyer13@outlook.com</t>
  </si>
  <si>
    <t>2022-02-04</t>
  </si>
  <si>
    <t>aditya.reddy38@gmail.com</t>
  </si>
  <si>
    <t>kavya.patel22@outlook.com</t>
  </si>
  <si>
    <t>vivaan.kapoor77@yahoo.com</t>
  </si>
  <si>
    <t>ananya.nair78@outlook.com</t>
  </si>
  <si>
    <t>2022-07-30</t>
  </si>
  <si>
    <t>aarav.patel25@outlook.com</t>
  </si>
  <si>
    <t>2022-04-09</t>
  </si>
  <si>
    <t>kavya.khan7@outlook.com</t>
  </si>
  <si>
    <t>aisha.sharma55@gmail.com</t>
  </si>
  <si>
    <t>neha.reddy4@gmail.com</t>
  </si>
  <si>
    <t>2022-04-29</t>
  </si>
  <si>
    <t>kabir.patel40@outlook.com</t>
  </si>
  <si>
    <t>2023-10-20</t>
  </si>
  <si>
    <t>sara.khan70@outlook.com</t>
  </si>
  <si>
    <t>rohan.nair58@gmail.com</t>
  </si>
  <si>
    <t>sara.reddy35@yahoo.com</t>
  </si>
  <si>
    <t>aditya.patel45@yahoo.com</t>
  </si>
  <si>
    <t>2022-03-04</t>
  </si>
  <si>
    <t>neha.gupta50@yahoo.com</t>
  </si>
  <si>
    <t>pooja.reddy61@outlook.com</t>
  </si>
  <si>
    <t>rahul.sharma67@yahoo.com</t>
  </si>
  <si>
    <t>vivaan.reddy28@gmail.com</t>
  </si>
  <si>
    <t>2023-12-01</t>
  </si>
  <si>
    <t>aarav.nair56@gmail.com</t>
  </si>
  <si>
    <t>2022-03-10</t>
  </si>
  <si>
    <t>varun.khan12@outlook.com</t>
  </si>
  <si>
    <t>pooja.iyer67@outlook.com</t>
  </si>
  <si>
    <t>varun.joshi15@outlook.com</t>
  </si>
  <si>
    <t>2023-08-20</t>
  </si>
  <si>
    <t>aditya.joshi98@gmail.com</t>
  </si>
  <si>
    <t>2022-10-20</t>
  </si>
  <si>
    <t>varun.patel69@outlook.com</t>
  </si>
  <si>
    <t>kavya.nair74@yahoo.com</t>
  </si>
  <si>
    <t>2023-02-17</t>
  </si>
  <si>
    <t>ananya.mehta19@yahoo.com</t>
  </si>
  <si>
    <t>ananya.nair7@yahoo.com</t>
  </si>
  <si>
    <t>kavya.iyer39@outlook.com</t>
  </si>
  <si>
    <t>sara.patel18@outlook.com</t>
  </si>
  <si>
    <t>meera.khan78@yahoo.com</t>
  </si>
  <si>
    <t>Arjun Reddy</t>
  </si>
  <si>
    <t>arjun.reddy95@outlook.com</t>
  </si>
  <si>
    <t>ananya.kapoor9@outlook.com</t>
  </si>
  <si>
    <t>aisha.kapoor23@gmail.com</t>
  </si>
  <si>
    <t>aarav.gupta7@outlook.com</t>
  </si>
  <si>
    <t>2023-04-21</t>
  </si>
  <si>
    <t>kabir.iyer65@outlook.com</t>
  </si>
  <si>
    <t>2023-05-16</t>
  </si>
  <si>
    <t>aarav.gupta77@outlook.com</t>
  </si>
  <si>
    <t>2022-12-25</t>
  </si>
  <si>
    <t>karan.joshi45@gmail.com</t>
  </si>
  <si>
    <t>diya.khan7@gmail.com</t>
  </si>
  <si>
    <t>arjun.gupta35@yahoo.com</t>
  </si>
  <si>
    <t>pooja.sharma2@outlook.com</t>
  </si>
  <si>
    <t>2022-01-09</t>
  </si>
  <si>
    <t>aditya.joshi29@outlook.com</t>
  </si>
  <si>
    <t>2022-12-24</t>
  </si>
  <si>
    <t>kavya.nair59@outlook.com</t>
  </si>
  <si>
    <t>2023-06-18</t>
  </si>
  <si>
    <t>karan.khan80@outlook.com</t>
  </si>
  <si>
    <t>aarav.kapoor72@yahoo.com</t>
  </si>
  <si>
    <t>2022-03-07</t>
  </si>
  <si>
    <t>kavya.patel44@outlook.com</t>
  </si>
  <si>
    <t>kavya.khan39@gmail.com</t>
  </si>
  <si>
    <t>2023-09-07</t>
  </si>
  <si>
    <t>2023-05-25</t>
  </si>
  <si>
    <t>aisha.sharma38@outlook.com</t>
  </si>
  <si>
    <t>riya.nair75@yahoo.com</t>
  </si>
  <si>
    <t>rohan.gupta82@outlook.com</t>
  </si>
  <si>
    <t>2022-06-24</t>
  </si>
  <si>
    <t>pooja.khan85@yahoo.com</t>
  </si>
  <si>
    <t>kabir.patel95@outlook.com</t>
  </si>
  <si>
    <t>2022-12-30</t>
  </si>
  <si>
    <t>rohan.patel29@yahoo.com</t>
  </si>
  <si>
    <t>2022-09-24</t>
  </si>
  <si>
    <t>riya.iyer75@outlook.com</t>
  </si>
  <si>
    <t>diya.reddy75@yahoo.com</t>
  </si>
  <si>
    <t>karan.gupta88@outlook.com</t>
  </si>
  <si>
    <t>2022-06-04</t>
  </si>
  <si>
    <t>riya.sharma18@gmail.com</t>
  </si>
  <si>
    <t>2022-05-27</t>
  </si>
  <si>
    <t>riya.joshi41@yahoo.com</t>
  </si>
  <si>
    <t>vivaan.reddy23@outlook.com</t>
  </si>
  <si>
    <t>Aarav Reddy</t>
  </si>
  <si>
    <t>aarav.reddy98@gmail.com</t>
  </si>
  <si>
    <t>2023-09-22</t>
  </si>
  <si>
    <t>karan.patel56@yahoo.com</t>
  </si>
  <si>
    <t>riya.nair1@gmail.com</t>
  </si>
  <si>
    <t>rohan.sharma25@gmail.com</t>
  </si>
  <si>
    <t>2022-12-19</t>
  </si>
  <si>
    <t>arjun.gupta40@gmail.com</t>
  </si>
  <si>
    <t>rahul.kapoor22@gmail.com</t>
  </si>
  <si>
    <t>kabir.khan77@yahoo.com</t>
  </si>
  <si>
    <t>riya.mehta46@gmail.com</t>
  </si>
  <si>
    <t>2022-08-18</t>
  </si>
  <si>
    <t>rahul.sharma94@gmail.com</t>
  </si>
  <si>
    <t>2022-06-23</t>
  </si>
  <si>
    <t>aarav.joshi16@outlook.com</t>
  </si>
  <si>
    <t>rahul.khan80@gmail.com</t>
  </si>
  <si>
    <t>vivaan.sharma54@outlook.com</t>
  </si>
  <si>
    <t>diya.kapoor90@gmail.com</t>
  </si>
  <si>
    <t>aarav.khan13@yahoo.com</t>
  </si>
  <si>
    <t>neha.joshi54@gmail.com</t>
  </si>
  <si>
    <t>kabir.patel64@gmail.com</t>
  </si>
  <si>
    <t>2023-01-02</t>
  </si>
  <si>
    <t>kabir.kapoor91@outlook.com</t>
  </si>
  <si>
    <t>aisha.sharma27@yahoo.com</t>
  </si>
  <si>
    <t>2022-01-14</t>
  </si>
  <si>
    <t>meera.gupta86@gmail.com</t>
  </si>
  <si>
    <t>2022-04-03</t>
  </si>
  <si>
    <t>varun.reddy66@gmail.com</t>
  </si>
  <si>
    <t>2022-10-31</t>
  </si>
  <si>
    <t>kabir.gupta34@outlook.com</t>
  </si>
  <si>
    <t>2022-02-10</t>
  </si>
  <si>
    <t>vivaan.mehta38@outlook.com</t>
  </si>
  <si>
    <t>riya.patel2@gmail.com</t>
  </si>
  <si>
    <t>2023-09-29</t>
  </si>
  <si>
    <t>rohan.iyer35@yahoo.com</t>
  </si>
  <si>
    <t>rohan.iyer52@outlook.com</t>
  </si>
  <si>
    <t>kavya.nair54@yahoo.com</t>
  </si>
  <si>
    <t>vivaan.mehta21@gmail.com</t>
  </si>
  <si>
    <t>2023-08-06</t>
  </si>
  <si>
    <t>neha.reddy87@outlook.com</t>
  </si>
  <si>
    <t>varun.nair79@gmail.com</t>
  </si>
  <si>
    <t>karan.reddy57@gmail.com</t>
  </si>
  <si>
    <t>2023-11-26</t>
  </si>
  <si>
    <t>kabir.iyer68@yahoo.com</t>
  </si>
  <si>
    <t>2023-09-26</t>
  </si>
  <si>
    <t>rohan.kapoor13@outlook.com</t>
  </si>
  <si>
    <t>2023-11-24</t>
  </si>
  <si>
    <t>karan.iyer83@outlook.com</t>
  </si>
  <si>
    <t>ishaan.joshi83@gmail.com</t>
  </si>
  <si>
    <t>sara.mehta42@gmail.com</t>
  </si>
  <si>
    <t>kavya.sharma71@yahoo.com</t>
  </si>
  <si>
    <t>2023-04-16</t>
  </si>
  <si>
    <t>riya.gupta57@yahoo.com</t>
  </si>
  <si>
    <t>2022-11-20</t>
  </si>
  <si>
    <t>diya.reddy16@outlook.com</t>
  </si>
  <si>
    <t>vivaan.nair72@yahoo.com</t>
  </si>
  <si>
    <t>2023-10-15</t>
  </si>
  <si>
    <t>vivaan.joshi39@yahoo.com</t>
  </si>
  <si>
    <t>karan.iyer29@outlook.com</t>
  </si>
  <si>
    <t>2023-04-30</t>
  </si>
  <si>
    <t>pooja.joshi92@yahoo.com</t>
  </si>
  <si>
    <t>sara.patel29@gmail.com</t>
  </si>
  <si>
    <t>2023-06-19</t>
  </si>
  <si>
    <t>meera.khan48@yahoo.com</t>
  </si>
  <si>
    <t>Aarav Mehta</t>
  </si>
  <si>
    <t>aarav.mehta92@yahoo.com</t>
  </si>
  <si>
    <t>2022-07-20</t>
  </si>
  <si>
    <t>diya.khan25@gmail.com</t>
  </si>
  <si>
    <t>isha.reddy92@outlook.com</t>
  </si>
  <si>
    <t>rahul.sharma76@gmail.com</t>
  </si>
  <si>
    <t>sara.joshi64@gmail.com</t>
  </si>
  <si>
    <t>2023-08-23</t>
  </si>
  <si>
    <t>ishaan.nair62@yahoo.com</t>
  </si>
  <si>
    <t>Varun Mehta</t>
  </si>
  <si>
    <t>varun.mehta14@outlook.com</t>
  </si>
  <si>
    <t>2023-09-16</t>
  </si>
  <si>
    <t>pooja.nair89@gmail.com</t>
  </si>
  <si>
    <t>riya.iyer18@gmail.com</t>
  </si>
  <si>
    <t>2023-07-15</t>
  </si>
  <si>
    <t>neha.kapoor41@yahoo.com</t>
  </si>
  <si>
    <t>arjun.gupta88@outlook.com</t>
  </si>
  <si>
    <t>aditya.kapoor42@yahoo.com</t>
  </si>
  <si>
    <t>rohan.kapoor74@yahoo.com</t>
  </si>
  <si>
    <t>pooja.khan2@yahoo.com</t>
  </si>
  <si>
    <t>aarav.nair86@gmail.com</t>
  </si>
  <si>
    <t>kabir.mehta33@gmail.com</t>
  </si>
  <si>
    <t>2023-07-09</t>
  </si>
  <si>
    <t>kabir.gupta5@outlook.com</t>
  </si>
  <si>
    <t>diya.joshi95@yahoo.com</t>
  </si>
  <si>
    <t>2023-06-08</t>
  </si>
  <si>
    <t>ishaan.nair90@outlook.com</t>
  </si>
  <si>
    <t>2022-11-17</t>
  </si>
  <si>
    <t>rahul.nair71@gmail.com</t>
  </si>
  <si>
    <t>kabir.gupta29@yahoo.com</t>
  </si>
  <si>
    <t>2023-09-10</t>
  </si>
  <si>
    <t>neha.kapoor26@yahoo.com</t>
  </si>
  <si>
    <t>kabir.reddy10@gmail.com</t>
  </si>
  <si>
    <t>2022-02-11</t>
  </si>
  <si>
    <t>ishaan.patel55@outlook.com</t>
  </si>
  <si>
    <t>2022-09-19</t>
  </si>
  <si>
    <t>aisha.mehta1@outlook.com</t>
  </si>
  <si>
    <t>2022-11-27</t>
  </si>
  <si>
    <t>aisha.sharma77@gmail.com</t>
  </si>
  <si>
    <t>sara.joshi10@yahoo.com</t>
  </si>
  <si>
    <t>pooja.gupta9@yahoo.com</t>
  </si>
  <si>
    <t>2023-02-18</t>
  </si>
  <si>
    <t>rahul.kapoor12@outlook.com</t>
  </si>
  <si>
    <t>arjun.iyer38@gmail.com</t>
  </si>
  <si>
    <t>pooja.sharma45@outlook.com</t>
  </si>
  <si>
    <t>varun.joshi88@outlook.com</t>
  </si>
  <si>
    <t>2023-07-08</t>
  </si>
  <si>
    <t>diya.nair93@outlook.com</t>
  </si>
  <si>
    <t>2023-06-05</t>
  </si>
  <si>
    <t>ishaan.iyer58@outlook.com</t>
  </si>
  <si>
    <t>kabir.gupta11@gmail.com</t>
  </si>
  <si>
    <t>2023-10-04</t>
  </si>
  <si>
    <t>ishaan.kapoor9@gmail.com</t>
  </si>
  <si>
    <t>rahul.patel90@yahoo.com</t>
  </si>
  <si>
    <t>diya.mehta92@outlook.com</t>
  </si>
  <si>
    <t>Vivaan Patel</t>
  </si>
  <si>
    <t>vivaan.patel33@yahoo.com</t>
  </si>
  <si>
    <t>2023-02-22</t>
  </si>
  <si>
    <t>varun.gupta50@outlook.com</t>
  </si>
  <si>
    <t>2023-02-03</t>
  </si>
  <si>
    <t>riya.iyer87@gmail.com</t>
  </si>
  <si>
    <t>varun.patel6@yahoo.com</t>
  </si>
  <si>
    <t>2022-10-24</t>
  </si>
  <si>
    <t>rohan.kapoor88@outlook.com</t>
  </si>
  <si>
    <t>kabir.reddy85@gmail.com</t>
  </si>
  <si>
    <t>aisha.kapoor96@outlook.com</t>
  </si>
  <si>
    <t>aisha.khan48@gmail.com</t>
  </si>
  <si>
    <t>vivaan.sharma77@outlook.com</t>
  </si>
  <si>
    <t>kabir.gupta28@outlook.com</t>
  </si>
  <si>
    <t>aditya.mehta33@gmail.com</t>
  </si>
  <si>
    <t>aditya.joshi97@yahoo.com</t>
  </si>
  <si>
    <t>2023-11-19</t>
  </si>
  <si>
    <t>pooja.patel9@outlook.com</t>
  </si>
  <si>
    <t>arjun.joshi46@gmail.com</t>
  </si>
  <si>
    <t>2022-03-13</t>
  </si>
  <si>
    <t>vivaan.khan25@outlook.com</t>
  </si>
  <si>
    <t>sara.iyer40@yahoo.com</t>
  </si>
  <si>
    <t>varun.joshi55@gmail.com</t>
  </si>
  <si>
    <t>2022-08-15</t>
  </si>
  <si>
    <t>rohan.gupta92@yahoo.com</t>
  </si>
  <si>
    <t>kavya.iyer94@outlook.com</t>
  </si>
  <si>
    <t>2022-11-09</t>
  </si>
  <si>
    <t>sara.reddy63@yahoo.com</t>
  </si>
  <si>
    <t>2022-10-15</t>
  </si>
  <si>
    <t>aditya.joshi18@yahoo.com</t>
  </si>
  <si>
    <t>kabir.patel3@yahoo.com</t>
  </si>
  <si>
    <t>2023-08-28</t>
  </si>
  <si>
    <t>varun.joshi28@gmail.com</t>
  </si>
  <si>
    <t>2023-11-01</t>
  </si>
  <si>
    <t>pooja.kapoor20@outlook.com</t>
  </si>
  <si>
    <t>isha.joshi18@outlook.com</t>
  </si>
  <si>
    <t>rahul.iyer85@gmail.com</t>
  </si>
  <si>
    <t>2022-06-13</t>
  </si>
  <si>
    <t>ishaan.mehta23@yahoo.com</t>
  </si>
  <si>
    <t>karan.iyer98@outlook.com</t>
  </si>
  <si>
    <t>vivaan.khan6@yahoo.com</t>
  </si>
  <si>
    <t>ishaan.iyer59@gmail.com</t>
  </si>
  <si>
    <t>rohan.patel82@outlook.com</t>
  </si>
  <si>
    <t>2022-06-28</t>
  </si>
  <si>
    <t>neha.kapoor49@yahoo.com</t>
  </si>
  <si>
    <t>2022-03-21</t>
  </si>
  <si>
    <t>meera.joshi67@outlook.com</t>
  </si>
  <si>
    <t>2022-12-28</t>
  </si>
  <si>
    <t>isha.kapoor45@outlook.com</t>
  </si>
  <si>
    <t>neha.sharma57@gmail.com</t>
  </si>
  <si>
    <t>aditya.iyer85@gmail.com</t>
  </si>
  <si>
    <t>meera.patel62@outlook.com</t>
  </si>
  <si>
    <t>2023-02-25</t>
  </si>
  <si>
    <t>varun.mehta3@gmail.com</t>
  </si>
  <si>
    <t>2022-06-14</t>
  </si>
  <si>
    <t>2022-06-20</t>
  </si>
  <si>
    <t>varun.mehta34@gmail.com</t>
  </si>
  <si>
    <t>neha.joshi93@yahoo.com</t>
  </si>
  <si>
    <t>2023-09-14</t>
  </si>
  <si>
    <t>diya.gupta61@outlook.com</t>
  </si>
  <si>
    <t>arjun.nair75@gmail.com</t>
  </si>
  <si>
    <t>Aisha Iyer</t>
  </si>
  <si>
    <t>aisha.iyer76@gmail.com</t>
  </si>
  <si>
    <t>rahul.nair3@gmail.com</t>
  </si>
  <si>
    <t>aisha.joshi61@yahoo.com</t>
  </si>
  <si>
    <t>ishaan.kapoor12@outlook.com</t>
  </si>
  <si>
    <t>varun.kapoor87@yahoo.com</t>
  </si>
  <si>
    <t>pooja.nair90@yahoo.com</t>
  </si>
  <si>
    <t>2023-01-26</t>
  </si>
  <si>
    <t>isha.reddy45@yahoo.com</t>
  </si>
  <si>
    <t>2023-05-04</t>
  </si>
  <si>
    <t>rahul.mehta99@gmail.com</t>
  </si>
  <si>
    <t>2023-02-23</t>
  </si>
  <si>
    <t>kabir.joshi33@gmail.com</t>
  </si>
  <si>
    <t>aarav.joshi67@gmail.com</t>
  </si>
  <si>
    <t>isha.iyer14@gmail.com</t>
  </si>
  <si>
    <t>neha.khan55@yahoo.com</t>
  </si>
  <si>
    <t>2023-02-11</t>
  </si>
  <si>
    <t>neha.khan97@gmail.com</t>
  </si>
  <si>
    <t>2022-07-03</t>
  </si>
  <si>
    <t>pooja.kapoor48@yahoo.com</t>
  </si>
  <si>
    <t>kavya.khan91@outlook.com</t>
  </si>
  <si>
    <t>vivaan.gupta13@gmail.com</t>
  </si>
  <si>
    <t>meera.kapoor91@gmail.com</t>
  </si>
  <si>
    <t>rahul.sharma19@outlook.com</t>
  </si>
  <si>
    <t>2022-08-16</t>
  </si>
  <si>
    <t>diya.patel48@gmail.com</t>
  </si>
  <si>
    <t>2023-11-03</t>
  </si>
  <si>
    <t>rahul.nair67@outlook.com</t>
  </si>
  <si>
    <t>aditya.reddy26@yahoo.com</t>
  </si>
  <si>
    <t>2023-09-06</t>
  </si>
  <si>
    <t>isha.sharma66@yahoo.com</t>
  </si>
  <si>
    <t>varun.mehta47@gmail.com</t>
  </si>
  <si>
    <t>2023-02-14</t>
  </si>
  <si>
    <t>aditya.patel46@yahoo.com</t>
  </si>
  <si>
    <t>riya.joshi2@yahoo.com</t>
  </si>
  <si>
    <t>2023-07-27</t>
  </si>
  <si>
    <t>vivaan.kapoor75@outlook.com</t>
  </si>
  <si>
    <t>2022-07-19</t>
  </si>
  <si>
    <t>kavya.gupta59@outlook.com</t>
  </si>
  <si>
    <t>kabir.mehta14@yahoo.com</t>
  </si>
  <si>
    <t>2022-04-30</t>
  </si>
  <si>
    <t>ishaan.khan66@outlook.com</t>
  </si>
  <si>
    <t>sara.nair99@gmail.com</t>
  </si>
  <si>
    <t>2022-01-29</t>
  </si>
  <si>
    <t>sara.reddy62@gmail.com</t>
  </si>
  <si>
    <t>diya.nair87@yahoo.com</t>
  </si>
  <si>
    <t>rohan.nair69@gmail.com</t>
  </si>
  <si>
    <t>isha.khan87@yahoo.com</t>
  </si>
  <si>
    <t>diya.kapoor41@outlook.com</t>
  </si>
  <si>
    <t>varun.khan25@outlook.com</t>
  </si>
  <si>
    <t>arjun.gupta27@gmail.com</t>
  </si>
  <si>
    <t>2022-06-09</t>
  </si>
  <si>
    <t>arjun.joshi14@gmail.com</t>
  </si>
  <si>
    <t>karan.joshi6@outlook.com</t>
  </si>
  <si>
    <t>2023-08-12</t>
  </si>
  <si>
    <t>neha.iyer36@outlook.com</t>
  </si>
  <si>
    <t>ishaan.khan97@yahoo.com</t>
  </si>
  <si>
    <t>aarav.kapoor62@yahoo.com</t>
  </si>
  <si>
    <t>meera.sharma27@outlook.com</t>
  </si>
  <si>
    <t>rohan.iyer24@yahoo.com</t>
  </si>
  <si>
    <t>2023-09-20</t>
  </si>
  <si>
    <t>isha.khan44@outlook.com</t>
  </si>
  <si>
    <t>karan.nair90@outlook.com</t>
  </si>
  <si>
    <t>riya.khan74@gmail.com</t>
  </si>
  <si>
    <t>vivaan.khan72@outlook.com</t>
  </si>
  <si>
    <t>isha.mehta61@gmail.com</t>
  </si>
  <si>
    <t>rahul.reddy67@yahoo.com</t>
  </si>
  <si>
    <t>sara.khan73@gmail.com</t>
  </si>
  <si>
    <t>diya.mehta33@outlook.com</t>
  </si>
  <si>
    <t>karan.iyer47@yahoo.com</t>
  </si>
  <si>
    <t>2022-05-05</t>
  </si>
  <si>
    <t>meera.sharma45@yahoo.com</t>
  </si>
  <si>
    <t>2023-10-27</t>
  </si>
  <si>
    <t>varun.joshi69@gmail.com</t>
  </si>
  <si>
    <t>meera.iyer63@yahoo.com</t>
  </si>
  <si>
    <t>diya.nair60@yahoo.com</t>
  </si>
  <si>
    <t>aditya.iyer79@yahoo.com</t>
  </si>
  <si>
    <t>diya.patel30@outlook.com</t>
  </si>
  <si>
    <t>kavya.khan51@outlook.com</t>
  </si>
  <si>
    <t>meera.joshi53@gmail.com</t>
  </si>
  <si>
    <t>2022-08-29</t>
  </si>
  <si>
    <t>aarav.mehta85@outlook.com</t>
  </si>
  <si>
    <t>arjun.mehta13@gmail.com</t>
  </si>
  <si>
    <t>pooja.sharma68@gmail.com</t>
  </si>
  <si>
    <t>kabir.joshi84@outlook.com</t>
  </si>
  <si>
    <t>isha.gupta57@yahoo.com</t>
  </si>
  <si>
    <t>aditya.kapoor4@gmail.com</t>
  </si>
  <si>
    <t>meera.reddy35@yahoo.com</t>
  </si>
  <si>
    <t>2023-08-29</t>
  </si>
  <si>
    <t>aisha.kapoor77@outlook.com</t>
  </si>
  <si>
    <t>pooja.kapoor62@yahoo.com</t>
  </si>
  <si>
    <t>vivaan.reddy53@outlook.com</t>
  </si>
  <si>
    <t>kabir.sharma98@gmail.com</t>
  </si>
  <si>
    <t>kavya.reddy89@outlook.com</t>
  </si>
  <si>
    <t>kavya.sharma38@yahoo.com</t>
  </si>
  <si>
    <t>aarav.kapoor53@yahoo.com</t>
  </si>
  <si>
    <t>2023-10-24</t>
  </si>
  <si>
    <t>riya.gupta50@outlook.com</t>
  </si>
  <si>
    <t>kabir.patel31@yahoo.com</t>
  </si>
  <si>
    <t>Kavya Kapoor</t>
  </si>
  <si>
    <t>kavya.kapoor53@gmail.com</t>
  </si>
  <si>
    <t>2022-04-24</t>
  </si>
  <si>
    <t>aditya.mehta82@outlook.com</t>
  </si>
  <si>
    <t>kavya.joshi42@gmail.com</t>
  </si>
  <si>
    <t>aarav.kapoor14@outlook.com</t>
  </si>
  <si>
    <t>aisha.reddy30@gmail.com</t>
  </si>
  <si>
    <t>aarav.reddy54@outlook.com</t>
  </si>
  <si>
    <t>meera.reddy43@gmail.com</t>
  </si>
  <si>
    <t>aarav.khan10@yahoo.com</t>
  </si>
  <si>
    <t>aisha.gupta49@gmail.com</t>
  </si>
  <si>
    <t>arjun.nair32@yahoo.com</t>
  </si>
  <si>
    <t>arjun.reddy67@yahoo.com</t>
  </si>
  <si>
    <t>karan.nair42@gmail.com</t>
  </si>
  <si>
    <t>2022-09-17</t>
  </si>
  <si>
    <t>ishaan.kapoor62@yahoo.com</t>
  </si>
  <si>
    <t>2023-11-14</t>
  </si>
  <si>
    <t>isha.iyer28@gmail.com</t>
  </si>
  <si>
    <t>rahul.iyer36@yahoo.com</t>
  </si>
  <si>
    <t>rahul.gupta75@yahoo.com</t>
  </si>
  <si>
    <t>2022-04-02</t>
  </si>
  <si>
    <t>neha.mehta32@gmail.com</t>
  </si>
  <si>
    <t>diya.joshi8@gmail.com</t>
  </si>
  <si>
    <t>aisha.kapoor17@outlook.com</t>
  </si>
  <si>
    <t>rohan.kapoor97@outlook.com</t>
  </si>
  <si>
    <t>isha.sharma46@yahoo.com</t>
  </si>
  <si>
    <t>kabir.sharma72@outlook.com</t>
  </si>
  <si>
    <t>isha.joshi45@outlook.com</t>
  </si>
  <si>
    <t>kavya.joshi21@gmail.com</t>
  </si>
  <si>
    <t>2022-09-27</t>
  </si>
  <si>
    <t>karan.khan70@outlook.com</t>
  </si>
  <si>
    <t>2022-07-09</t>
  </si>
  <si>
    <t>ananya.kapoor3@yahoo.com</t>
  </si>
  <si>
    <t>neha.gupta85@yahoo.com</t>
  </si>
  <si>
    <t>isha.kapoor99@yahoo.com</t>
  </si>
  <si>
    <t>varun.khan83@outlook.com</t>
  </si>
  <si>
    <t>vivaan.kapoor6@gmail.com</t>
  </si>
  <si>
    <t>aarav.gupta25@gmail.com</t>
  </si>
  <si>
    <t>varun.nair68@yahoo.com</t>
  </si>
  <si>
    <t>ananya.iyer92@gmail.com</t>
  </si>
  <si>
    <t>2022-03-23</t>
  </si>
  <si>
    <t>arjun.reddy60@yahoo.com</t>
  </si>
  <si>
    <t>rohan.kapoor48@yahoo.com</t>
  </si>
  <si>
    <t>varun.khan94@gmail.com</t>
  </si>
  <si>
    <t>diya.gupta13@yahoo.com</t>
  </si>
  <si>
    <t>ishaan.nair68@yahoo.com</t>
  </si>
  <si>
    <t>2023-07-26</t>
  </si>
  <si>
    <t>varun.mehta54@yahoo.com</t>
  </si>
  <si>
    <t>2023-04-15</t>
  </si>
  <si>
    <t>varun.iyer90@yahoo.com</t>
  </si>
  <si>
    <t>diya.mehta71@outlook.com</t>
  </si>
  <si>
    <t>aisha.kapoor46@outlook.com</t>
  </si>
  <si>
    <t>meera.nair56@yahoo.com</t>
  </si>
  <si>
    <t>2023-07-13</t>
  </si>
  <si>
    <t>neha.gupta28@outlook.com</t>
  </si>
  <si>
    <t>meera.reddy1@yahoo.com</t>
  </si>
  <si>
    <t>kabir.joshi18@outlook.com</t>
  </si>
  <si>
    <t>kabir.gupta3@yahoo.com</t>
  </si>
  <si>
    <t>pooja.kapoor74@gmail.com</t>
  </si>
  <si>
    <t>aarav.reddy18@outlook.com</t>
  </si>
  <si>
    <t>2022-09-20</t>
  </si>
  <si>
    <t>neha.gupta39@gmail.com</t>
  </si>
  <si>
    <t>neha.gupta93@outlook.com</t>
  </si>
  <si>
    <t>2023-08-14</t>
  </si>
  <si>
    <t>aisha.reddy13@yahoo.com</t>
  </si>
  <si>
    <t>ananya.joshi8@outlook.com</t>
  </si>
  <si>
    <t>riya.nair99@gmail.com</t>
  </si>
  <si>
    <t>rahul.sharma6@outlook.com</t>
  </si>
  <si>
    <t>rohan.kapoor20@gmail.com</t>
  </si>
  <si>
    <t>sara.joshi12@gmail.com</t>
  </si>
  <si>
    <t>kavya.nair44@gmail.com</t>
  </si>
  <si>
    <t>neha.sharma34@gmail.com</t>
  </si>
  <si>
    <t>pooja.nair98@gmail.com</t>
  </si>
  <si>
    <t>pooja.gupta84@yahoo.com</t>
  </si>
  <si>
    <t>ishaan.joshi32@gmail.com</t>
  </si>
  <si>
    <t>kabir.nair12@gmail.com</t>
  </si>
  <si>
    <t>riya.iyer42@outlook.com</t>
  </si>
  <si>
    <t>kabir.mehta57@yahoo.com</t>
  </si>
  <si>
    <t>karan.sharma26@yahoo.com</t>
  </si>
  <si>
    <t>aisha.patel32@yahoo.com</t>
  </si>
  <si>
    <t>kabir.sharma40@outlook.com</t>
  </si>
  <si>
    <t>ananya.iyer28@gmail.com</t>
  </si>
  <si>
    <t>pooja.reddy89@yahoo.com</t>
  </si>
  <si>
    <t>rahul.joshi6@outlook.com</t>
  </si>
  <si>
    <t>aarav.khan35@gmail.com</t>
  </si>
  <si>
    <t>ananya.patel35@yahoo.com</t>
  </si>
  <si>
    <t>Diya Sharma</t>
  </si>
  <si>
    <t>diya.sharma50@gmail.com</t>
  </si>
  <si>
    <t>2023-05-12</t>
  </si>
  <si>
    <t>pooja.patel77@yahoo.com</t>
  </si>
  <si>
    <t>2023-04-14</t>
  </si>
  <si>
    <t>aditya.gupta72@yahoo.com</t>
  </si>
  <si>
    <t>aarav.gupta43@outlook.com</t>
  </si>
  <si>
    <t>aisha.sharma46@outlook.com</t>
  </si>
  <si>
    <t>isha.kapoor81@outlook.com</t>
  </si>
  <si>
    <t>ananya.kapoor20@outlook.com</t>
  </si>
  <si>
    <t>aisha.patel67@yahoo.com</t>
  </si>
  <si>
    <t>2022-06-06</t>
  </si>
  <si>
    <t>rahul.gupta55@outlook.com</t>
  </si>
  <si>
    <t>sara.kapoor84@gmail.com</t>
  </si>
  <si>
    <t>aditya.khan18@outlook.com</t>
  </si>
  <si>
    <t>varun.mehta72@yahoo.com</t>
  </si>
  <si>
    <t>aditya.iyer94@gmail.com</t>
  </si>
  <si>
    <t>riya.nair96@yahoo.com</t>
  </si>
  <si>
    <t>2022-05-15</t>
  </si>
  <si>
    <t>aisha.gupta24@gmail.com</t>
  </si>
  <si>
    <t>2022-08-25</t>
  </si>
  <si>
    <t>neha.joshi77@gmail.com</t>
  </si>
  <si>
    <t>aarav.iyer18@yahoo.com</t>
  </si>
  <si>
    <t>meera.mehta63@outlook.com</t>
  </si>
  <si>
    <t>aditya.gupta53@gmail.com</t>
  </si>
  <si>
    <t>riya.gupta26@gmail.com</t>
  </si>
  <si>
    <t>aditya.reddy63@yahoo.com</t>
  </si>
  <si>
    <t>2023-02-19</t>
  </si>
  <si>
    <t>sara.gupta6@yahoo.com</t>
  </si>
  <si>
    <t>meera.nair77@yahoo.com</t>
  </si>
  <si>
    <t>ishaan.patel6@gmail.com</t>
  </si>
  <si>
    <t>ananya.kapoor98@yahoo.com</t>
  </si>
  <si>
    <t>2023-02-12</t>
  </si>
  <si>
    <t>arjun.khan39@outlook.com</t>
  </si>
  <si>
    <t>Aisha Nair</t>
  </si>
  <si>
    <t>aisha.nair7@yahoo.com</t>
  </si>
  <si>
    <t>2023-05-28</t>
  </si>
  <si>
    <t>karan.reddy15@gmail.com</t>
  </si>
  <si>
    <t>rahul.nair4@gmail.com</t>
  </si>
  <si>
    <t>neha.gupta33@outlook.com</t>
  </si>
  <si>
    <t>vivaan.patel82@outlook.com</t>
  </si>
  <si>
    <t>ishaan.nair79@gmail.com</t>
  </si>
  <si>
    <t>pooja.nair43@yahoo.com</t>
  </si>
  <si>
    <t>aditya.mehta54@outlook.com</t>
  </si>
  <si>
    <t>sara.khan16@gmail.com</t>
  </si>
  <si>
    <t>aarav.joshi2@outlook.com</t>
  </si>
  <si>
    <t>2022-01-06</t>
  </si>
  <si>
    <t>sara.kapoor78@outlook.com</t>
  </si>
  <si>
    <t>arjun.joshi59@outlook.com</t>
  </si>
  <si>
    <t>diya.joshi32@yahoo.com</t>
  </si>
  <si>
    <t>neha.kapoor7@gmail.com</t>
  </si>
  <si>
    <t>2022-05-29</t>
  </si>
  <si>
    <t>aarav.iyer5@yahoo.com</t>
  </si>
  <si>
    <t>meera.patel54@gmail.com</t>
  </si>
  <si>
    <t>2023-09-02</t>
  </si>
  <si>
    <t>kabir.joshi74@yahoo.com</t>
  </si>
  <si>
    <t>karan.joshi12@outlook.com</t>
  </si>
  <si>
    <t>meera.nair98@outlook.com</t>
  </si>
  <si>
    <t>kabir.reddy89@outlook.com</t>
  </si>
  <si>
    <t>pooja.nair90@gmail.com</t>
  </si>
  <si>
    <t>vivaan.joshi68@gmail.com</t>
  </si>
  <si>
    <t>neha.khan41@outlook.com</t>
  </si>
  <si>
    <t>aisha.joshi67@yahoo.com</t>
  </si>
  <si>
    <t>sara.mehta91@outlook.com</t>
  </si>
  <si>
    <t>2023-04-22</t>
  </si>
  <si>
    <t>aarav.patel81@gmail.com</t>
  </si>
  <si>
    <t>varun.nair43@outlook.com</t>
  </si>
  <si>
    <t>2022-10-16</t>
  </si>
  <si>
    <t>aarav.gupta33@gmail.com</t>
  </si>
  <si>
    <t>2022-11-28</t>
  </si>
  <si>
    <t>kavya.kapoor99@gmail.com</t>
  </si>
  <si>
    <t>rohan.iyer79@gmail.com</t>
  </si>
  <si>
    <t>arjun.iyer87@outlook.com</t>
  </si>
  <si>
    <t>ananya.mehta81@outlook.com</t>
  </si>
  <si>
    <t>sara.nair67@outlook.com</t>
  </si>
  <si>
    <t>2022-08-02</t>
  </si>
  <si>
    <t>pooja.kapoor74@yahoo.com</t>
  </si>
  <si>
    <t>meera.patel4@outlook.com</t>
  </si>
  <si>
    <t>pooja.mehta50@gmail.com</t>
  </si>
  <si>
    <t>kabir.iyer35@outlook.com</t>
  </si>
  <si>
    <t>2023-04-08</t>
  </si>
  <si>
    <t>2022-02-08</t>
  </si>
  <si>
    <t>aisha.patel26@gmail.com</t>
  </si>
  <si>
    <t>pooja.sharma65@gmail.com</t>
  </si>
  <si>
    <t>rohan.reddy40@outlook.com</t>
  </si>
  <si>
    <t>vivaan.kapoor27@yahoo.com</t>
  </si>
  <si>
    <t>karan.nair15@gmail.com</t>
  </si>
  <si>
    <t>2022-03-31</t>
  </si>
  <si>
    <t>ananya.joshi43@outlook.com</t>
  </si>
  <si>
    <t>vivaan.kapoor96@outlook.com</t>
  </si>
  <si>
    <t>varun.khan42@gmail.com</t>
  </si>
  <si>
    <t>2022-11-23</t>
  </si>
  <si>
    <t>kabir.khan99@outlook.com</t>
  </si>
  <si>
    <t>kabir.mehta15@gmail.com</t>
  </si>
  <si>
    <t>arjun.kapoor41@outlook.com</t>
  </si>
  <si>
    <t>kabir.joshi10@outlook.com</t>
  </si>
  <si>
    <t>pooja.reddy4@outlook.com</t>
  </si>
  <si>
    <t>vivaan.nair55@outlook.com</t>
  </si>
  <si>
    <t>varun.joshi79@outlook.com</t>
  </si>
  <si>
    <t>meera.gupta69@gmail.com</t>
  </si>
  <si>
    <t>2023-04-25</t>
  </si>
  <si>
    <t>neha.mehta13@outlook.com</t>
  </si>
  <si>
    <t>sara.reddy19@yahoo.com</t>
  </si>
  <si>
    <t>2023-11-13</t>
  </si>
  <si>
    <t>meera.nair43@outlook.com</t>
  </si>
  <si>
    <t>sara.sharma15@outlook.com</t>
  </si>
  <si>
    <t>2022-12-23</t>
  </si>
  <si>
    <t>sara.mehta78@yahoo.com</t>
  </si>
  <si>
    <t>ishaan.patel42@yahoo.com</t>
  </si>
  <si>
    <t>kabir.kapoor76@outlook.com</t>
  </si>
  <si>
    <t>varun.gupta62@outlook.com</t>
  </si>
  <si>
    <t>rohan.gupta56@outlook.com</t>
  </si>
  <si>
    <t>pooja.gupta86@gmail.com</t>
  </si>
  <si>
    <t>diya.joshi42@yahoo.com</t>
  </si>
  <si>
    <t>2023-02-20</t>
  </si>
  <si>
    <t>karan.mehta9@yahoo.com</t>
  </si>
  <si>
    <t>2023-05-22</t>
  </si>
  <si>
    <t>varun.nair83@yahoo.com</t>
  </si>
  <si>
    <t>vivaan.gupta75@yahoo.com</t>
  </si>
  <si>
    <t>2023-06-29</t>
  </si>
  <si>
    <t>aditya.mehta38@outlook.com</t>
  </si>
  <si>
    <t>2022-11-21</t>
  </si>
  <si>
    <t>isha.gupta39@yahoo.com</t>
  </si>
  <si>
    <t>riya.iyer2@yahoo.com</t>
  </si>
  <si>
    <t>2023-01-14</t>
  </si>
  <si>
    <t>aisha.khan71@gmail.com</t>
  </si>
  <si>
    <t>ishaan.iyer4@gmail.com</t>
  </si>
  <si>
    <t>neha.nair92@outlook.com</t>
  </si>
  <si>
    <t>riya.nair85@gmail.com</t>
  </si>
  <si>
    <t>aisha.gupta47@outlook.com</t>
  </si>
  <si>
    <t>kabir.mehta10@yahoo.com</t>
  </si>
  <si>
    <t>aditya.reddy18@gmail.com</t>
  </si>
  <si>
    <t>2023-09-11</t>
  </si>
  <si>
    <t>rahul.reddy55@yahoo.com</t>
  </si>
  <si>
    <t>karan.kapoor58@outlook.com</t>
  </si>
  <si>
    <t>2023-09-12</t>
  </si>
  <si>
    <t>isha.mehta1@yahoo.com</t>
  </si>
  <si>
    <t>isha.kapoor70@yahoo.com</t>
  </si>
  <si>
    <t>ananya.sharma91@outlook.com</t>
  </si>
  <si>
    <t>varun.reddy19@yahoo.com</t>
  </si>
  <si>
    <t>sara.kapoor79@gmail.com</t>
  </si>
  <si>
    <t>karan.patel70@yahoo.com</t>
  </si>
  <si>
    <t>neha.sharma2@outlook.com</t>
  </si>
  <si>
    <t>pooja.reddy54@outlook.com</t>
  </si>
  <si>
    <t>kavya.mehta96@outlook.com</t>
  </si>
  <si>
    <t>ananya.reddy74@gmail.com</t>
  </si>
  <si>
    <t>kabir.khan36@outlook.com</t>
  </si>
  <si>
    <t>ananya.patel76@yahoo.com</t>
  </si>
  <si>
    <t>karan.mehta5@outlook.com</t>
  </si>
  <si>
    <t>2022-06-07</t>
  </si>
  <si>
    <t>aditya.joshi64@outlook.com</t>
  </si>
  <si>
    <t>isha.reddy22@gmail.com</t>
  </si>
  <si>
    <t>ananya.khan7@gmail.com</t>
  </si>
  <si>
    <t>riya.reddy96@yahoo.com</t>
  </si>
  <si>
    <t>rahul.nair19@yahoo.com</t>
  </si>
  <si>
    <t>ananya.khan49@yahoo.com</t>
  </si>
  <si>
    <t>pooja.sharma82@outlook.com</t>
  </si>
  <si>
    <t>neha.khan35@gmail.com</t>
  </si>
  <si>
    <t>neha.nair96@gmail.com</t>
  </si>
  <si>
    <t>ishaan.iyer41@yahoo.com</t>
  </si>
  <si>
    <t>aarav.patel13@yahoo.com</t>
  </si>
  <si>
    <t>karan.iyer33@gmail.com</t>
  </si>
  <si>
    <t>aarav.joshi77@yahoo.com</t>
  </si>
  <si>
    <t>varun.patel12@yahoo.com</t>
  </si>
  <si>
    <t>rahul.joshi15@yahoo.com</t>
  </si>
  <si>
    <t>kabir.khan10@yahoo.com</t>
  </si>
  <si>
    <t>kavya.nair99@outlook.com</t>
  </si>
  <si>
    <t>aisha.patel49@outlook.com</t>
  </si>
  <si>
    <t>ananya.khan23@outlook.com</t>
  </si>
  <si>
    <t>karan.gupta23@yahoo.com</t>
  </si>
  <si>
    <t>2023-03-18</t>
  </si>
  <si>
    <t>diya.mehta28@yahoo.com</t>
  </si>
  <si>
    <t>2022-02-05</t>
  </si>
  <si>
    <t>karan.khan10@gmail.com</t>
  </si>
  <si>
    <t>sara.sharma84@yahoo.com</t>
  </si>
  <si>
    <t>2022-06-05</t>
  </si>
  <si>
    <t>aarav.nair90@outlook.com</t>
  </si>
  <si>
    <t>2023-05-18</t>
  </si>
  <si>
    <t>neha.sharma62@outlook.com</t>
  </si>
  <si>
    <t>diya.kapoor50@yahoo.com</t>
  </si>
  <si>
    <t>diya.joshi43@yahoo.com</t>
  </si>
  <si>
    <t>riya.sharma12@outlook.com</t>
  </si>
  <si>
    <t>diya.reddy83@gmail.com</t>
  </si>
  <si>
    <t>ishaan.sharma25@outlook.com</t>
  </si>
  <si>
    <t>diya.iyer81@outlook.com</t>
  </si>
  <si>
    <t>2022-01-26</t>
  </si>
  <si>
    <t>aditya.sharma93@yahoo.com</t>
  </si>
  <si>
    <t>karan.nair83@outlook.com</t>
  </si>
  <si>
    <t>pooja.reddy44@gmail.com</t>
  </si>
  <si>
    <t>ananya.nair84@yahoo.com</t>
  </si>
  <si>
    <t>2023-08-17</t>
  </si>
  <si>
    <t>pooja.mehta30@gmail.com</t>
  </si>
  <si>
    <t>aditya.reddy61@yahoo.com</t>
  </si>
  <si>
    <t>arjun.mehta81@gmail.com</t>
  </si>
  <si>
    <t>diya.reddy76@gmail.com</t>
  </si>
  <si>
    <t>vivaan.reddy29@gmail.com</t>
  </si>
  <si>
    <t>rahul.iyer52@outlook.com</t>
  </si>
  <si>
    <t>varun.kapoor28@gmail.com</t>
  </si>
  <si>
    <t>rohan.patel19@outlook.com</t>
  </si>
  <si>
    <t>2023-03-26</t>
  </si>
  <si>
    <t>rohan.kapoor32@yahoo.com</t>
  </si>
  <si>
    <t>aditya.patel79@outlook.com</t>
  </si>
  <si>
    <t>aarav.reddy1@gmail.com</t>
  </si>
  <si>
    <t>varun.khan89@gmail.com</t>
  </si>
  <si>
    <t>aditya.khan53@gmail.com</t>
  </si>
  <si>
    <t>varun.sharma92@outlook.com</t>
  </si>
  <si>
    <t>2022-01-05</t>
  </si>
  <si>
    <t>kabir.iyer72@gmail.com</t>
  </si>
  <si>
    <t>vivaan.kapoor47@yahoo.com</t>
  </si>
  <si>
    <t>karan.gupta25@gmail.com</t>
  </si>
  <si>
    <t>karan.reddy86@gmail.com</t>
  </si>
  <si>
    <t>2023-03-22</t>
  </si>
  <si>
    <t>rohan.khan33@outlook.com</t>
  </si>
  <si>
    <t>2022-02-23</t>
  </si>
  <si>
    <t>ananya.patel69@gmail.com</t>
  </si>
  <si>
    <t>aarav.reddy10@gmail.com</t>
  </si>
  <si>
    <t>neha.joshi26@yahoo.com</t>
  </si>
  <si>
    <t>isha.patel13@gmail.com</t>
  </si>
  <si>
    <t>isha.nair61@yahoo.com</t>
  </si>
  <si>
    <t>2022-08-10</t>
  </si>
  <si>
    <t>ananya.nair79@outlook.com</t>
  </si>
  <si>
    <t>rahul.iyer93@gmail.com</t>
  </si>
  <si>
    <t>kavya.gupta5@yahoo.com</t>
  </si>
  <si>
    <t>kabir.mehta59@outlook.com</t>
  </si>
  <si>
    <t>rohan.gupta21@yahoo.com</t>
  </si>
  <si>
    <t>varun.kapoor12@outlook.com</t>
  </si>
  <si>
    <t>2023-04-19</t>
  </si>
  <si>
    <t>isha.joshi36@gmail.com</t>
  </si>
  <si>
    <t>isha.gupta75@gmail.com</t>
  </si>
  <si>
    <t>varun.sharma6@outlook.com</t>
  </si>
  <si>
    <t>rahul.kapoor90@gmail.com</t>
  </si>
  <si>
    <t>sara.gupta97@gmail.com</t>
  </si>
  <si>
    <t>2022-10-30</t>
  </si>
  <si>
    <t>isha.mehta31@yahoo.com</t>
  </si>
  <si>
    <t>aarav.reddy21@yahoo.com</t>
  </si>
  <si>
    <t>neha.joshi60@gmail.com</t>
  </si>
  <si>
    <t>aisha.iyer91@yahoo.com</t>
  </si>
  <si>
    <t>vivaan.nair68@gmail.com</t>
  </si>
  <si>
    <t>riya.khan70@yahoo.com</t>
  </si>
  <si>
    <t>2022-02-26</t>
  </si>
  <si>
    <t>vivaan.joshi66@yahoo.com</t>
  </si>
  <si>
    <t>ananya.patel60@yahoo.com</t>
  </si>
  <si>
    <t>rohan.iyer72@yahoo.com</t>
  </si>
  <si>
    <t>2022-12-09</t>
  </si>
  <si>
    <t>ishaan.gupta31@yahoo.com</t>
  </si>
  <si>
    <t>karan.joshi97@yahoo.com</t>
  </si>
  <si>
    <t>2023-05-31</t>
  </si>
  <si>
    <t>rohan.iyer88@outlook.com</t>
  </si>
  <si>
    <t>ananya.patel58@outlook.com</t>
  </si>
  <si>
    <t>karan.kapoor38@outlook.com</t>
  </si>
  <si>
    <t>diya.gupta11@outlook.com</t>
  </si>
  <si>
    <t>kabir.patel36@gmail.com</t>
  </si>
  <si>
    <t>2022-07-29</t>
  </si>
  <si>
    <t>karan.mehta67@yahoo.com</t>
  </si>
  <si>
    <t>kabir.nair17@outlook.com</t>
  </si>
  <si>
    <t>riya.reddy3@outlook.com</t>
  </si>
  <si>
    <t>vivaan.sharma67@yahoo.com</t>
  </si>
  <si>
    <t>riya.joshi83@outlook.com</t>
  </si>
  <si>
    <t>2023-07-16</t>
  </si>
  <si>
    <t>neha.kapoor57@outlook.com</t>
  </si>
  <si>
    <t>neha.mehta22@outlook.com</t>
  </si>
  <si>
    <t>karan.iyer19@outlook.com</t>
  </si>
  <si>
    <t>sara.mehta92@yahoo.com</t>
  </si>
  <si>
    <t>aisha.mehta20@gmail.com</t>
  </si>
  <si>
    <t>vivaan.sharma17@outlook.com</t>
  </si>
  <si>
    <t>meera.mehta91@gmail.com</t>
  </si>
  <si>
    <t>meera.mehta70@gmail.com</t>
  </si>
  <si>
    <t>2023-05-27</t>
  </si>
  <si>
    <t>diya.sharma99@gmail.com</t>
  </si>
  <si>
    <t>meera.mehta65@outlook.com</t>
  </si>
  <si>
    <t>2023-08-11</t>
  </si>
  <si>
    <t>sara.khan86@gmail.com</t>
  </si>
  <si>
    <t>meera.patel6@gmail.com</t>
  </si>
  <si>
    <t>kabir.sharma29@outlook.com</t>
  </si>
  <si>
    <t>2023-09-15</t>
  </si>
  <si>
    <t>diya.iyer83@gmail.com</t>
  </si>
  <si>
    <t>kabir.gupta69@outlook.com</t>
  </si>
  <si>
    <t>ishaan.nair41@yahoo.com</t>
  </si>
  <si>
    <t>rohan.nair48@outlook.com</t>
  </si>
  <si>
    <t>2022-12-26</t>
  </si>
  <si>
    <t>ananya.khan40@outlook.com</t>
  </si>
  <si>
    <t>arjun.reddy57@outlook.com</t>
  </si>
  <si>
    <t>rahul.nair77@gmail.com</t>
  </si>
  <si>
    <t>2023-06-22</t>
  </si>
  <si>
    <t>arjun.khan43@gmail.com</t>
  </si>
  <si>
    <t>2023-10-17</t>
  </si>
  <si>
    <t>diya.sharma35@outlook.com</t>
  </si>
  <si>
    <t>ishaan.reddy97@gmail.com</t>
  </si>
  <si>
    <t>aditya.nair63@gmail.com</t>
  </si>
  <si>
    <t>neha.khan95@outlook.com</t>
  </si>
  <si>
    <t>aarav.sharma39@yahoo.com</t>
  </si>
  <si>
    <t>diya.khan63@yahoo.com</t>
  </si>
  <si>
    <t>aarav.patel64@gmail.com</t>
  </si>
  <si>
    <t>2023-03-23</t>
  </si>
  <si>
    <t>neha.reddy34@yahoo.com</t>
  </si>
  <si>
    <t>diya.iyer3@outlook.com</t>
  </si>
  <si>
    <t>2022-11-24</t>
  </si>
  <si>
    <t>varun.sharma60@yahoo.com</t>
  </si>
  <si>
    <t>rohan.mehta47@outlook.com</t>
  </si>
  <si>
    <t>2023-06-27</t>
  </si>
  <si>
    <t>ananya.khan82@gmail.com</t>
  </si>
  <si>
    <t>aditya.patel70@outlook.com</t>
  </si>
  <si>
    <t>kavya.khan13@yahoo.com</t>
  </si>
  <si>
    <t>aisha.sharma37@outlook.com</t>
  </si>
  <si>
    <t>2022-04-15</t>
  </si>
  <si>
    <t>riya.iyer28@gmail.com</t>
  </si>
  <si>
    <t>arjun.kapoor69@yahoo.com</t>
  </si>
  <si>
    <t>rahul.reddy17@gmail.com</t>
  </si>
  <si>
    <t>meera.khan18@outlook.com</t>
  </si>
  <si>
    <t>aisha.khan29@gmail.com</t>
  </si>
  <si>
    <t>arjun.khan17@gmail.com</t>
  </si>
  <si>
    <t>diya.patel97@outlook.com</t>
  </si>
  <si>
    <t>arjun.patel66@yahoo.com</t>
  </si>
  <si>
    <t>karan.patel9@outlook.com</t>
  </si>
  <si>
    <t>vivaan.patel76@gmail.com</t>
  </si>
  <si>
    <t>rohan.sharma96@outlook.com</t>
  </si>
  <si>
    <t>meera.mehta94@yahoo.com</t>
  </si>
  <si>
    <t>2022-04-12</t>
  </si>
  <si>
    <t>ishaan.joshi75@gmail.com</t>
  </si>
  <si>
    <t>arjun.khan1@yahoo.com</t>
  </si>
  <si>
    <t>arjun.kapoor47@yahoo.com</t>
  </si>
  <si>
    <t>karan.patel49@outlook.com</t>
  </si>
  <si>
    <t>ishaan.gupta98@outlook.com</t>
  </si>
  <si>
    <t>karan.patel64@outlook.com</t>
  </si>
  <si>
    <t>pooja.sharma64@gmail.com</t>
  </si>
  <si>
    <t>kavya.reddy88@outlook.com</t>
  </si>
  <si>
    <t>2023-03-15</t>
  </si>
  <si>
    <t>ishaan.nair25@gmail.com</t>
  </si>
  <si>
    <t>meera.mehta63@yahoo.com</t>
  </si>
  <si>
    <t>rahul.reddy87@gmail.com</t>
  </si>
  <si>
    <t>aditya.nair14@yahoo.com</t>
  </si>
  <si>
    <t>vivaan.iyer26@yahoo.com</t>
  </si>
  <si>
    <t>2023-03-11</t>
  </si>
  <si>
    <t>diya.gupta93@outlook.com</t>
  </si>
  <si>
    <t>2023-10-22</t>
  </si>
  <si>
    <t>neha.joshi52@outlook.com</t>
  </si>
  <si>
    <t>neha.nair36@gmail.com</t>
  </si>
  <si>
    <t>diya.patel64@gmail.com</t>
  </si>
  <si>
    <t>aarav.patel9@outlook.com</t>
  </si>
  <si>
    <t>aditya.nair42@gmail.com</t>
  </si>
  <si>
    <t>neha.joshi85@yahoo.com</t>
  </si>
  <si>
    <t>sara.gupta64@outlook.com</t>
  </si>
  <si>
    <t>pooja.iyer70@gmail.com</t>
  </si>
  <si>
    <t>rahul.patel41@outlook.com</t>
  </si>
  <si>
    <t>sara.sharma72@yahoo.com</t>
  </si>
  <si>
    <t>aisha.reddy40@yahoo.com</t>
  </si>
  <si>
    <t>sara.patel63@yahoo.com</t>
  </si>
  <si>
    <t>sara.kapoor65@gmail.com</t>
  </si>
  <si>
    <t>kavya.reddy79@yahoo.com</t>
  </si>
  <si>
    <t>kavya.iyer76@gmail.com</t>
  </si>
  <si>
    <t>2023-08-21</t>
  </si>
  <si>
    <t>rohan.iyer4@yahoo.com</t>
  </si>
  <si>
    <t>ProductID</t>
  </si>
  <si>
    <t>ProductName</t>
  </si>
  <si>
    <t>Category</t>
  </si>
  <si>
    <t>Price</t>
  </si>
  <si>
    <t>Jacket</t>
  </si>
  <si>
    <t>Clothing</t>
  </si>
  <si>
    <t>Air Fryer</t>
  </si>
  <si>
    <t>Home</t>
  </si>
  <si>
    <t>Yoga Pants</t>
  </si>
  <si>
    <t>Samsung Galaxy S22</t>
  </si>
  <si>
    <t>Electronics</t>
  </si>
  <si>
    <t>Women Dress</t>
  </si>
  <si>
    <t>Sneakers</t>
  </si>
  <si>
    <t>Body Lotion</t>
  </si>
  <si>
    <t>Beauty</t>
  </si>
  <si>
    <t>Bluetooth Speaker</t>
  </si>
  <si>
    <t>Shampoo</t>
  </si>
  <si>
    <t>Face Cream</t>
  </si>
  <si>
    <t>iPhone 14</t>
  </si>
  <si>
    <t>Coffee Maker</t>
  </si>
  <si>
    <t>Desk Lamp</t>
  </si>
  <si>
    <t>Lipstick</t>
  </si>
  <si>
    <t>Perfume</t>
  </si>
  <si>
    <t>Sony Headphones</t>
  </si>
  <si>
    <t>Water Bottle</t>
  </si>
  <si>
    <t>Jeans</t>
  </si>
  <si>
    <t>Office Chair</t>
  </si>
  <si>
    <t>Hair Dryer</t>
  </si>
  <si>
    <t>Vacuum Cleaner</t>
  </si>
  <si>
    <t>HP Laptop</t>
  </si>
  <si>
    <t>Dell Laptop</t>
  </si>
  <si>
    <t>OrderID</t>
  </si>
  <si>
    <t>OrderDate</t>
  </si>
  <si>
    <t>Quantity</t>
  </si>
  <si>
    <t>Discount</t>
  </si>
  <si>
    <t>PaymentMethod</t>
  </si>
  <si>
    <t>2024-05-10</t>
  </si>
  <si>
    <t>Wallet</t>
  </si>
  <si>
    <t>2023-05-14</t>
  </si>
  <si>
    <t>COD</t>
  </si>
  <si>
    <t>2024-03-25</t>
  </si>
  <si>
    <t>Credit Card</t>
  </si>
  <si>
    <t>2023-12-30</t>
  </si>
  <si>
    <t>Debit Card</t>
  </si>
  <si>
    <t>2024-03-22</t>
  </si>
  <si>
    <t>2024-04-07</t>
  </si>
  <si>
    <t>UPI</t>
  </si>
  <si>
    <t>2023-06-10</t>
  </si>
  <si>
    <t>2024-01-27</t>
  </si>
  <si>
    <t>2024-01-19</t>
  </si>
  <si>
    <t>2023-04-03</t>
  </si>
  <si>
    <t>2023-12-13</t>
  </si>
  <si>
    <t>2023-12-15</t>
  </si>
  <si>
    <t>2023-03-08</t>
  </si>
  <si>
    <t>2024-02-13</t>
  </si>
  <si>
    <t>2023-12-07</t>
  </si>
  <si>
    <t>2023-09-08</t>
  </si>
  <si>
    <t>2024-02-20</t>
  </si>
  <si>
    <t>2024-02-21</t>
  </si>
  <si>
    <t>2024-01-06</t>
  </si>
  <si>
    <t>2024-01-18</t>
  </si>
  <si>
    <t>2023-10-01</t>
  </si>
  <si>
    <t>2024-03-20</t>
  </si>
  <si>
    <t>2024-03-07</t>
  </si>
  <si>
    <t>2023-01-12</t>
  </si>
  <si>
    <t>2024-05-08</t>
  </si>
  <si>
    <t>2024-02-29</t>
  </si>
  <si>
    <t>2024-01-13</t>
  </si>
  <si>
    <t>2024-01-01</t>
  </si>
  <si>
    <t>2024-04-02</t>
  </si>
  <si>
    <t>2023-01-11</t>
  </si>
  <si>
    <t>2023-06-26</t>
  </si>
  <si>
    <t>2024-02-12</t>
  </si>
  <si>
    <t>2024-03-27</t>
  </si>
  <si>
    <t>2024-02-28</t>
  </si>
  <si>
    <t>2024-02-06</t>
  </si>
  <si>
    <t>2024-04-03</t>
  </si>
  <si>
    <t>2023-12-28</t>
  </si>
  <si>
    <t>2024-05-14</t>
  </si>
  <si>
    <t>2024-02-26</t>
  </si>
  <si>
    <t>2023-03-27</t>
  </si>
  <si>
    <t>2024-05-11</t>
  </si>
  <si>
    <t>2023-03-19</t>
  </si>
  <si>
    <t>2024-02-15</t>
  </si>
  <si>
    <t>2024-05-02</t>
  </si>
  <si>
    <t>2024-04-10</t>
  </si>
  <si>
    <t>2024-03-30</t>
  </si>
  <si>
    <t>2023-12-24</t>
  </si>
  <si>
    <t>2024-01-07</t>
  </si>
  <si>
    <t>2023-05-26</t>
  </si>
  <si>
    <t>2024-03-02</t>
  </si>
  <si>
    <t>2024-01-10</t>
  </si>
  <si>
    <t>2024-03-08</t>
  </si>
  <si>
    <t>2023-12-22</t>
  </si>
  <si>
    <t>2024-03-31</t>
  </si>
  <si>
    <t>2024-03-21</t>
  </si>
  <si>
    <t>2024-04-05</t>
  </si>
  <si>
    <t>2024-05-05</t>
  </si>
  <si>
    <t>2024-03-19</t>
  </si>
  <si>
    <t>2024-05-07</t>
  </si>
  <si>
    <t>2024-02-18</t>
  </si>
  <si>
    <t>2023-10-29</t>
  </si>
  <si>
    <t>2023-04-04</t>
  </si>
  <si>
    <t>2024-05-01</t>
  </si>
  <si>
    <t>2023-08-26</t>
  </si>
  <si>
    <t>2023-01-01</t>
  </si>
  <si>
    <t>2024-01-14</t>
  </si>
  <si>
    <t>2024-04-06</t>
  </si>
  <si>
    <t>2024-04-01</t>
  </si>
  <si>
    <t>2024-05-12</t>
  </si>
  <si>
    <t>2023-04-01</t>
  </si>
  <si>
    <t>2024-01-16</t>
  </si>
  <si>
    <t>2024-04-08</t>
  </si>
  <si>
    <t>2023-04-10</t>
  </si>
  <si>
    <t>2024-01-09</t>
  </si>
  <si>
    <t>2024-04-25</t>
  </si>
  <si>
    <t>2023-08-27</t>
  </si>
  <si>
    <t>2024-03-28</t>
  </si>
  <si>
    <t>2024-04-15</t>
  </si>
  <si>
    <t>2024-03-26</t>
  </si>
  <si>
    <t>2024-03-06</t>
  </si>
  <si>
    <t>2024-02-11</t>
  </si>
  <si>
    <t>2023-11-17</t>
  </si>
  <si>
    <t>2023-10-14</t>
  </si>
  <si>
    <t>2024-02-08</t>
  </si>
  <si>
    <t>2024-05-06</t>
  </si>
  <si>
    <t>2024-03-29</t>
  </si>
  <si>
    <t>2024-02-07</t>
  </si>
  <si>
    <t>2024-03-12</t>
  </si>
  <si>
    <t>2023-04-12</t>
  </si>
  <si>
    <t>2023-12-05</t>
  </si>
  <si>
    <t>2024-03-11</t>
  </si>
  <si>
    <t>2024-01-08</t>
  </si>
  <si>
    <t>2023-12-31</t>
  </si>
  <si>
    <t>2023-11-29</t>
  </si>
  <si>
    <t>2023-07-29</t>
  </si>
  <si>
    <t>2024-01-17</t>
  </si>
  <si>
    <t>2024-01-30</t>
  </si>
  <si>
    <t>2024-04-29</t>
  </si>
  <si>
    <t>2023-04-27</t>
  </si>
  <si>
    <t>2023-08-19</t>
  </si>
  <si>
    <t>2024-02-19</t>
  </si>
  <si>
    <t>2023-08-03</t>
  </si>
  <si>
    <t>2023-06-16</t>
  </si>
  <si>
    <t>2024-04-17</t>
  </si>
  <si>
    <t>2023-03-29</t>
  </si>
  <si>
    <t>2023-01-21</t>
  </si>
  <si>
    <t>2024-04-11</t>
  </si>
  <si>
    <t>2023-07-21</t>
  </si>
  <si>
    <t>2024-01-26</t>
  </si>
  <si>
    <t>2024-01-22</t>
  </si>
  <si>
    <t>2023-01-23</t>
  </si>
  <si>
    <t>2023-02-04</t>
  </si>
  <si>
    <t>2024-03-05</t>
  </si>
  <si>
    <t>2023-12-23</t>
  </si>
  <si>
    <t>2023-12-20</t>
  </si>
  <si>
    <t>2024-04-23</t>
  </si>
  <si>
    <t>2023-07-19</t>
  </si>
  <si>
    <t>2023-12-03</t>
  </si>
  <si>
    <t>2023-12-14</t>
  </si>
  <si>
    <t>2023-12-27</t>
  </si>
  <si>
    <t>2024-01-24</t>
  </si>
  <si>
    <t>2024-01-23</t>
  </si>
  <si>
    <t>2024-02-10</t>
  </si>
  <si>
    <t>2024-03-09</t>
  </si>
  <si>
    <t>2023-08-15</t>
  </si>
  <si>
    <t>2023-02-05</t>
  </si>
  <si>
    <t>2024-03-01</t>
  </si>
  <si>
    <t>2024-01-05</t>
  </si>
  <si>
    <t>2024-01-12</t>
  </si>
  <si>
    <t>2024-04-18</t>
  </si>
  <si>
    <t>2023-09-18</t>
  </si>
  <si>
    <t>2023-05-07</t>
  </si>
  <si>
    <t>2024-05-13</t>
  </si>
  <si>
    <t>2024-01-11</t>
  </si>
  <si>
    <t>2024-02-02</t>
  </si>
  <si>
    <t>2024-04-21</t>
  </si>
  <si>
    <t>2024-02-01</t>
  </si>
  <si>
    <t>2024-04-26</t>
  </si>
  <si>
    <t>2023-01-09</t>
  </si>
  <si>
    <t>2023-11-21</t>
  </si>
  <si>
    <t>2024-05-09</t>
  </si>
  <si>
    <t>2023-10-21</t>
  </si>
  <si>
    <t>2024-03-04</t>
  </si>
  <si>
    <t>2024-03-10</t>
  </si>
  <si>
    <t>2024-02-22</t>
  </si>
  <si>
    <t>2024-04-04</t>
  </si>
  <si>
    <t>2023-12-19</t>
  </si>
  <si>
    <t>2024-02-03</t>
  </si>
  <si>
    <t>2023-03-04</t>
  </si>
  <si>
    <t>2024-02-23</t>
  </si>
  <si>
    <t>2024-02-14</t>
  </si>
  <si>
    <t>2024-05-15</t>
  </si>
  <si>
    <t>2023-01-24</t>
  </si>
  <si>
    <t>2023-09-28</t>
  </si>
  <si>
    <t>2024-04-28</t>
  </si>
  <si>
    <t>2023-09-05</t>
  </si>
  <si>
    <t>2024-04-30</t>
  </si>
  <si>
    <t>2024-01-20</t>
  </si>
  <si>
    <t>2024-01-28</t>
  </si>
  <si>
    <t>2023-07-06</t>
  </si>
  <si>
    <t>2024-05-04</t>
  </si>
  <si>
    <t>2024-02-04</t>
  </si>
  <si>
    <t>2024-04-19</t>
  </si>
  <si>
    <t>2024-04-12</t>
  </si>
  <si>
    <t>2024-04-16</t>
  </si>
  <si>
    <t>2024-04-14</t>
  </si>
  <si>
    <t>2023-12-06</t>
  </si>
  <si>
    <t>2024-02-09</t>
  </si>
  <si>
    <t>2024-01-29</t>
  </si>
  <si>
    <t>2023-12-16</t>
  </si>
  <si>
    <t>2024-01-15</t>
  </si>
  <si>
    <t>2024-03-23</t>
  </si>
  <si>
    <t>2024-04-24</t>
  </si>
  <si>
    <t>2023-12-08</t>
  </si>
  <si>
    <t>2024-02-05</t>
  </si>
  <si>
    <t>2023-12-11</t>
  </si>
  <si>
    <t>2023-01-08</t>
  </si>
  <si>
    <t>2024-02-24</t>
  </si>
  <si>
    <t>2023-07-12</t>
  </si>
  <si>
    <t>2024-03-13</t>
  </si>
  <si>
    <t>2024-05-03</t>
  </si>
  <si>
    <t>2023-07-23</t>
  </si>
  <si>
    <t>2024-01-21</t>
  </si>
  <si>
    <t>2023-12-10</t>
  </si>
  <si>
    <t>2024-01-25</t>
  </si>
  <si>
    <t>2023-12-29</t>
  </si>
  <si>
    <t>2024-04-13</t>
  </si>
  <si>
    <t>2024-04-09</t>
  </si>
  <si>
    <t>2024-03-18</t>
  </si>
  <si>
    <t>2024-01-04</t>
  </si>
  <si>
    <t>2023-01-18</t>
  </si>
  <si>
    <t>2024-03-14</t>
  </si>
  <si>
    <t>2024-01-02</t>
  </si>
  <si>
    <t>2023-01-16</t>
  </si>
  <si>
    <t>2024-04-20</t>
  </si>
  <si>
    <t>2023-12-26</t>
  </si>
  <si>
    <t>2023-05-23</t>
  </si>
  <si>
    <t>2024-03-17</t>
  </si>
  <si>
    <t>2023-05-29</t>
  </si>
  <si>
    <t>2023-12-25</t>
  </si>
  <si>
    <t>2024-02-16</t>
  </si>
  <si>
    <t>2023-12-09</t>
  </si>
  <si>
    <t>2023-02-02</t>
  </si>
  <si>
    <t>2024-03-15</t>
  </si>
  <si>
    <t>2023-12-17</t>
  </si>
  <si>
    <t>2024-02-25</t>
  </si>
  <si>
    <t>2023-11-25</t>
  </si>
  <si>
    <t>2024-01-31</t>
  </si>
  <si>
    <t>2023-11-28</t>
  </si>
  <si>
    <t>2024-03-03</t>
  </si>
  <si>
    <t>2023-12-04</t>
  </si>
  <si>
    <t>2023-12-12</t>
  </si>
  <si>
    <t>2024-02-27</t>
  </si>
  <si>
    <t>2024-04-22</t>
  </si>
  <si>
    <t>2023-02-08</t>
  </si>
  <si>
    <t>2024-02-17</t>
  </si>
  <si>
    <t>2024-01-03</t>
  </si>
  <si>
    <t>2023-10-31</t>
  </si>
  <si>
    <t>2024-04-27</t>
  </si>
  <si>
    <t>2023-09-17</t>
  </si>
  <si>
    <t>2024-03-16</t>
  </si>
  <si>
    <t>2023-12-18</t>
  </si>
  <si>
    <t>CampaignID</t>
  </si>
  <si>
    <t>Channel</t>
  </si>
  <si>
    <t>Spend</t>
  </si>
  <si>
    <t>CampaignDate</t>
  </si>
  <si>
    <t>Instagram Ads</t>
  </si>
  <si>
    <t>Email Campaign</t>
  </si>
  <si>
    <t>Google Ads</t>
  </si>
  <si>
    <t>Influencer</t>
  </si>
  <si>
    <t>YouTube Ads</t>
  </si>
  <si>
    <t>ProductPrice</t>
  </si>
  <si>
    <t>Revenue</t>
  </si>
  <si>
    <t>OrderYear</t>
  </si>
  <si>
    <t>OrderMonth</t>
  </si>
  <si>
    <t>Total Revenue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</si>
  <si>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</si>
  <si>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</si>
  <si>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</si>
  <si>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</si>
  <si>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</si>
  <si>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</si>
  <si>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</si>
  <si>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</si>
  <si>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</si>
  <si>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</si>
  <si>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</si>
  <si>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</si>
  <si>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</si>
  <si>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</si>
  <si>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</si>
  <si>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OrderID</t>
  </si>
  <si>
    <t>Customers with 1 orders</t>
  </si>
  <si>
    <t>Customers with 2+ orders</t>
  </si>
  <si>
    <t>Total Customers</t>
  </si>
  <si>
    <t>Customer Retention Rate</t>
  </si>
  <si>
    <t>Repeat Customers</t>
  </si>
  <si>
    <t>Average Order Value (AOV)</t>
  </si>
  <si>
    <t>Customer Lifetime Value (CLV)</t>
  </si>
  <si>
    <t>Total Marketing Spend</t>
  </si>
  <si>
    <t>ROI</t>
  </si>
  <si>
    <t>Sum of Spend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</si>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</sst>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3">
    <dxf>
      <numFmt numFmtId="1" formatCode="0"/>
    </dxf>
    <dxf>
      <numFmt numFmtId="1" formatCode="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Rentention &amp; Revenue Analysis.xlsx]Pivot2!PivotTable2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Pivot2!$B$4:$B$16</c:f>
              <c:numCache>
                <c:formatCode>0</c:formatCode>
                <c:ptCount val="12"/>
                <c:pt idx="0">
                  <c:v>246235.13800000006</c:v>
                </c:pt>
                <c:pt idx="1">
                  <c:v>254496.64199999988</c:v>
                </c:pt>
                <c:pt idx="2">
                  <c:v>307982.13900000026</c:v>
                </c:pt>
                <c:pt idx="3">
                  <c:v>263117.4549999999</c:v>
                </c:pt>
                <c:pt idx="4">
                  <c:v>239784.84649999993</c:v>
                </c:pt>
                <c:pt idx="5">
                  <c:v>144005.93249999997</c:v>
                </c:pt>
                <c:pt idx="6">
                  <c:v>151472.22450000001</c:v>
                </c:pt>
                <c:pt idx="7">
                  <c:v>137549.84950000001</c:v>
                </c:pt>
                <c:pt idx="8">
                  <c:v>145019.65449999998</c:v>
                </c:pt>
                <c:pt idx="9">
                  <c:v>157066.4739999999</c:v>
                </c:pt>
                <c:pt idx="10">
                  <c:v>108722.84850000002</c:v>
                </c:pt>
                <c:pt idx="11">
                  <c:v>146680.71399999995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5-4184-907F-FE13F5F97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617983"/>
        <c:axId val="684622303"/>
      </c:lineChart>
      <c:catAx>
        <c:axId val="68461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22303"/>
        <c:crosses val="autoZero"/>
        <c:auto val="1"/>
        <c:lblAlgn val="ctr"/>
        <c:lblOffset val="100"/>
        <c:noMultiLvlLbl val="0"/>
      </c:catAx>
      <c:valAx>
        <c:axId val="68462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1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937260</xdr:colOff>
      <xdr:row>1</xdr:row>
      <xdr:rowOff>152400</xdr:rowOff>
    </xdr:from>
    <xdr:to>
      <xdr:col>7</xdr:col>
      <xdr:colOff>175260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E8CFC-90BA-1492-CA0D-335A52FCC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" refreshedDate="46134.505266087966" createdVersion="8" refreshedVersion="8" minRefreshableVersion="3" recordCount="2079" xr:uid="{36A51FF8-7B11-4C3C-A033-EB2BF7170396}">
  <cacheSource type="worksheet">
    <worksheetSource name="Orders"/>
  </cacheSource>
  <cacheFields count="12">
    <cacheField name="OrderID" numFmtId="0">
      <sharedItems containsSemiMixedTypes="0" containsString="0" containsNumber="1" containsInteger="1" minValue="1" maxValue="2079"/>
    </cacheField>
    <cacheField name="CustomerID" numFmtId="0">
      <sharedItems containsSemiMixedTypes="0" containsString="0" containsNumber="1" containsInteger="1" minValue="1" maxValue="1200" count="1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ProductID" numFmtId="0">
      <sharedItems containsSemiMixedTypes="0" containsString="0" containsNumber="1" containsInteger="1" minValue="1" maxValue="80"/>
    </cacheField>
    <cacheField name="OrderDate" numFmtId="0">
      <sharedItems/>
    </cacheField>
    <cacheField name="OrderYear" numFmtId="0">
      <sharedItems containsSemiMixedTypes="0" containsString="0" containsNumber="1" containsInteger="1" minValue="2023" maxValue="2024"/>
    </cacheField>
    <cacheField name="OrderMonth" numFmtId="0">
      <sharedItems count="12">
        <s v="May"/>
        <s v="Mar"/>
        <s v="Dec"/>
        <s v="Apr"/>
        <s v="Jun"/>
        <s v="Jan"/>
        <s v="Aug"/>
        <s v="Jul"/>
        <s v="Sep"/>
        <s v="Feb"/>
        <s v="Oct"/>
        <s v="Nov"/>
      </sharedItems>
    </cacheField>
    <cacheField name="Quantity" numFmtId="0">
      <sharedItems containsSemiMixedTypes="0" containsString="0" containsNumber="1" containsInteger="1" minValue="1" maxValue="3"/>
    </cacheField>
    <cacheField name="ProductPrice" numFmtId="0">
      <sharedItems containsSemiMixedTypes="0" containsString="0" containsNumber="1" minValue="43.26" maxValue="1189.73"/>
    </cacheField>
    <cacheField name="Discount" numFmtId="0">
      <sharedItems containsSemiMixedTypes="0" containsString="0" containsNumber="1" containsInteger="1" minValue="0" maxValue="20"/>
    </cacheField>
    <cacheField name="Revenue" numFmtId="0">
      <sharedItems containsSemiMixedTypes="0" containsString="0" containsNumber="1" minValue="34.607999999999997" maxValue="3569.19"/>
    </cacheField>
    <cacheField name="PaymentMethod" numFmtId="0">
      <sharedItems/>
    </cacheField>
    <cacheField name="Category" numFmtId="0">
      <sharedItems count="4">
        <s v="Clothing"/>
        <s v="Home"/>
        <s v="Electronics"/>
        <s v="Beau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" refreshedDate="46134.526392708336" createdVersion="8" refreshedVersion="8" minRefreshableVersion="3" recordCount="100" xr:uid="{1EF514C2-9C5A-493A-8032-41C45F4F95F9}">
  <cacheSource type="worksheet">
    <worksheetSource name="Marketing"/>
  </cacheSource>
  <cacheFields count="4">
    <cacheField name="CampaignID" numFmtId="0">
      <sharedItems containsSemiMixedTypes="0" containsString="0" containsNumber="1" containsInteger="1" minValue="1" maxValue="100"/>
    </cacheField>
    <cacheField name="Channel" numFmtId="0">
      <sharedItems count="5">
        <s v="Instagram Ads"/>
        <s v="Email Campaign"/>
        <s v="Google Ads"/>
        <s v="Influencer"/>
        <s v="YouTube Ads"/>
      </sharedItems>
    </cacheField>
    <cacheField name="Spend" numFmtId="0">
      <sharedItems containsSemiMixedTypes="0" containsString="0" containsNumber="1" minValue="1325.31" maxValue="19986.330000000002"/>
    </cacheField>
    <cacheField name="Campaign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9">
  <r>
    <n v="1"/>
    <x v="0"/>
    <n v="17"/>
    <s v="2024-05-10"/>
    <n v="2024"/>
    <x v="0"/>
    <n v="3"/>
    <n v="695.6"/>
    <n v="0"/>
    <n v="2086.8000000000002"/>
    <s v="Wallet"/>
    <x v="0"/>
  </r>
  <r>
    <n v="2"/>
    <x v="1"/>
    <n v="23"/>
    <s v="2023-05-14"/>
    <n v="2023"/>
    <x v="0"/>
    <n v="1"/>
    <n v="258.08"/>
    <n v="20"/>
    <n v="206.464"/>
    <s v="COD"/>
    <x v="1"/>
  </r>
  <r>
    <n v="3"/>
    <x v="2"/>
    <n v="44"/>
    <s v="2024-03-25"/>
    <n v="2024"/>
    <x v="1"/>
    <n v="2"/>
    <n v="1038"/>
    <n v="5"/>
    <n v="1972.1999999999998"/>
    <s v="Credit Card"/>
    <x v="1"/>
  </r>
  <r>
    <n v="4"/>
    <x v="3"/>
    <n v="41"/>
    <s v="2023-12-30"/>
    <n v="2023"/>
    <x v="2"/>
    <n v="3"/>
    <n v="554.80999999999995"/>
    <n v="15"/>
    <n v="1414.7654999999997"/>
    <s v="Debit Card"/>
    <x v="1"/>
  </r>
  <r>
    <n v="5"/>
    <x v="4"/>
    <n v="34"/>
    <s v="2023-03-01"/>
    <n v="2023"/>
    <x v="1"/>
    <n v="2"/>
    <n v="523.98"/>
    <n v="0"/>
    <n v="1047.96"/>
    <s v="Debit Card"/>
    <x v="1"/>
  </r>
  <r>
    <n v="6"/>
    <x v="5"/>
    <n v="64"/>
    <s v="2024-03-22"/>
    <n v="2024"/>
    <x v="1"/>
    <n v="2"/>
    <n v="567.71"/>
    <n v="10"/>
    <n v="1021.878"/>
    <s v="COD"/>
    <x v="0"/>
  </r>
  <r>
    <n v="7"/>
    <x v="6"/>
    <n v="37"/>
    <s v="2024-04-07"/>
    <n v="2024"/>
    <x v="3"/>
    <n v="2"/>
    <n v="968.87"/>
    <n v="20"/>
    <n v="1550.192"/>
    <s v="UPI"/>
    <x v="1"/>
  </r>
  <r>
    <n v="8"/>
    <x v="7"/>
    <n v="67"/>
    <s v="2023-06-10"/>
    <n v="2023"/>
    <x v="4"/>
    <n v="2"/>
    <n v="258.35000000000002"/>
    <n v="5"/>
    <n v="490.86500000000001"/>
    <s v="UPI"/>
    <x v="2"/>
  </r>
  <r>
    <n v="9"/>
    <x v="8"/>
    <n v="63"/>
    <s v="2024-01-27"/>
    <n v="2024"/>
    <x v="5"/>
    <n v="1"/>
    <n v="309.79000000000002"/>
    <n v="20"/>
    <n v="247.83200000000002"/>
    <s v="COD"/>
    <x v="2"/>
  </r>
  <r>
    <n v="10"/>
    <x v="9"/>
    <n v="7"/>
    <s v="2023-04-07"/>
    <n v="2023"/>
    <x v="3"/>
    <n v="1"/>
    <n v="97.29"/>
    <n v="0"/>
    <n v="97.29"/>
    <s v="Debit Card"/>
    <x v="3"/>
  </r>
  <r>
    <n v="11"/>
    <x v="10"/>
    <n v="24"/>
    <s v="2023-01-19"/>
    <n v="2023"/>
    <x v="5"/>
    <n v="2"/>
    <n v="1019.85"/>
    <n v="10"/>
    <n v="1835.73"/>
    <s v="Debit Card"/>
    <x v="3"/>
  </r>
  <r>
    <n v="12"/>
    <x v="11"/>
    <n v="60"/>
    <s v="2023-08-12"/>
    <n v="2023"/>
    <x v="6"/>
    <n v="1"/>
    <n v="830.49"/>
    <n v="15"/>
    <n v="705.91650000000004"/>
    <s v="Credit Card"/>
    <x v="0"/>
  </r>
  <r>
    <n v="13"/>
    <x v="12"/>
    <n v="57"/>
    <s v="2023-07-02"/>
    <n v="2023"/>
    <x v="7"/>
    <n v="3"/>
    <n v="768.03"/>
    <n v="20"/>
    <n v="1843.2720000000002"/>
    <s v="COD"/>
    <x v="2"/>
  </r>
  <r>
    <n v="14"/>
    <x v="13"/>
    <n v="59"/>
    <s v="2023-09-10"/>
    <n v="2023"/>
    <x v="8"/>
    <n v="1"/>
    <n v="782.33"/>
    <n v="5"/>
    <n v="743.21349999999995"/>
    <s v="Credit Card"/>
    <x v="0"/>
  </r>
  <r>
    <n v="15"/>
    <x v="14"/>
    <n v="45"/>
    <s v="2023-02-17"/>
    <n v="2023"/>
    <x v="9"/>
    <n v="1"/>
    <n v="609.05999999999995"/>
    <n v="10"/>
    <n v="548.154"/>
    <s v="Debit Card"/>
    <x v="3"/>
  </r>
  <r>
    <n v="16"/>
    <x v="15"/>
    <n v="22"/>
    <s v="2024-01-19"/>
    <n v="2024"/>
    <x v="5"/>
    <n v="3"/>
    <n v="373.43"/>
    <n v="10"/>
    <n v="1008.261"/>
    <s v="Wallet"/>
    <x v="3"/>
  </r>
  <r>
    <n v="17"/>
    <x v="16"/>
    <n v="75"/>
    <s v="2023-04-19"/>
    <n v="2023"/>
    <x v="3"/>
    <n v="3"/>
    <n v="390.41"/>
    <n v="0"/>
    <n v="1171.23"/>
    <s v="Wallet"/>
    <x v="2"/>
  </r>
  <r>
    <n v="18"/>
    <x v="17"/>
    <n v="74"/>
    <s v="2023-04-03"/>
    <n v="2023"/>
    <x v="3"/>
    <n v="2"/>
    <n v="1034.31"/>
    <n v="0"/>
    <n v="2068.62"/>
    <s v="Debit Card"/>
    <x v="2"/>
  </r>
  <r>
    <n v="19"/>
    <x v="18"/>
    <n v="64"/>
    <s v="2023-12-13"/>
    <n v="2023"/>
    <x v="2"/>
    <n v="1"/>
    <n v="567.71"/>
    <n v="10"/>
    <n v="510.93900000000002"/>
    <s v="Credit Card"/>
    <x v="0"/>
  </r>
  <r>
    <n v="20"/>
    <x v="19"/>
    <n v="37"/>
    <s v="2023-12-15"/>
    <n v="2023"/>
    <x v="2"/>
    <n v="3"/>
    <n v="968.87"/>
    <n v="0"/>
    <n v="2906.61"/>
    <s v="COD"/>
    <x v="1"/>
  </r>
  <r>
    <n v="21"/>
    <x v="20"/>
    <n v="48"/>
    <s v="2023-10-30"/>
    <n v="2023"/>
    <x v="10"/>
    <n v="1"/>
    <n v="1125.8499999999999"/>
    <n v="10"/>
    <n v="1013.265"/>
    <s v="Debit Card"/>
    <x v="0"/>
  </r>
  <r>
    <n v="22"/>
    <x v="21"/>
    <n v="4"/>
    <s v="2023-02-11"/>
    <n v="2023"/>
    <x v="9"/>
    <n v="2"/>
    <n v="800.26"/>
    <n v="15"/>
    <n v="1360.442"/>
    <s v="COD"/>
    <x v="2"/>
  </r>
  <r>
    <n v="23"/>
    <x v="22"/>
    <n v="35"/>
    <s v="2023-11-01"/>
    <n v="2023"/>
    <x v="11"/>
    <n v="3"/>
    <n v="958.87"/>
    <n v="0"/>
    <n v="2876.61"/>
    <s v="UPI"/>
    <x v="0"/>
  </r>
  <r>
    <n v="24"/>
    <x v="23"/>
    <n v="6"/>
    <s v="2023-12-02"/>
    <n v="2023"/>
    <x v="2"/>
    <n v="3"/>
    <n v="719.19"/>
    <n v="15"/>
    <n v="1833.9345000000001"/>
    <s v="UPI"/>
    <x v="0"/>
  </r>
  <r>
    <n v="25"/>
    <x v="24"/>
    <n v="73"/>
    <s v="2023-03-08"/>
    <n v="2023"/>
    <x v="1"/>
    <n v="1"/>
    <n v="943.04"/>
    <n v="0"/>
    <n v="943.04"/>
    <s v="UPI"/>
    <x v="1"/>
  </r>
  <r>
    <n v="26"/>
    <x v="25"/>
    <n v="42"/>
    <s v="2024-02-13"/>
    <n v="2024"/>
    <x v="9"/>
    <n v="1"/>
    <n v="233.11"/>
    <n v="0"/>
    <n v="233.11"/>
    <s v="Wallet"/>
    <x v="1"/>
  </r>
  <r>
    <n v="27"/>
    <x v="26"/>
    <n v="78"/>
    <s v="2023-07-15"/>
    <n v="2023"/>
    <x v="7"/>
    <n v="1"/>
    <n v="795.77"/>
    <n v="15"/>
    <n v="676.40449999999998"/>
    <s v="UPI"/>
    <x v="3"/>
  </r>
  <r>
    <n v="28"/>
    <x v="27"/>
    <n v="23"/>
    <s v="2023-05-03"/>
    <n v="2023"/>
    <x v="0"/>
    <n v="2"/>
    <n v="258.08"/>
    <n v="0"/>
    <n v="516.16"/>
    <s v="Credit Card"/>
    <x v="1"/>
  </r>
  <r>
    <n v="29"/>
    <x v="28"/>
    <n v="27"/>
    <s v="2023-03-25"/>
    <n v="2023"/>
    <x v="1"/>
    <n v="2"/>
    <n v="76.09"/>
    <n v="15"/>
    <n v="129.35300000000001"/>
    <s v="UPI"/>
    <x v="0"/>
  </r>
  <r>
    <n v="30"/>
    <x v="29"/>
    <n v="20"/>
    <s v="2023-03-03"/>
    <n v="2023"/>
    <x v="1"/>
    <n v="2"/>
    <n v="613.27"/>
    <n v="15"/>
    <n v="1042.559"/>
    <s v="COD"/>
    <x v="1"/>
  </r>
  <r>
    <n v="31"/>
    <x v="30"/>
    <n v="40"/>
    <s v="2024-04-07"/>
    <n v="2024"/>
    <x v="3"/>
    <n v="3"/>
    <n v="316.49"/>
    <n v="20"/>
    <n v="759.57600000000002"/>
    <s v="Debit Card"/>
    <x v="1"/>
  </r>
  <r>
    <n v="32"/>
    <x v="31"/>
    <n v="46"/>
    <s v="2023-12-07"/>
    <n v="2023"/>
    <x v="2"/>
    <n v="1"/>
    <n v="1155.3"/>
    <n v="10"/>
    <n v="1039.77"/>
    <s v="Wallet"/>
    <x v="3"/>
  </r>
  <r>
    <n v="33"/>
    <x v="32"/>
    <n v="26"/>
    <s v="2023-09-08"/>
    <n v="2023"/>
    <x v="8"/>
    <n v="2"/>
    <n v="272.61"/>
    <n v="15"/>
    <n v="463.43700000000001"/>
    <s v="COD"/>
    <x v="1"/>
  </r>
  <r>
    <n v="34"/>
    <x v="33"/>
    <n v="35"/>
    <s v="2023-10-16"/>
    <n v="2023"/>
    <x v="10"/>
    <n v="3"/>
    <n v="958.87"/>
    <n v="15"/>
    <n v="2445.1185"/>
    <s v="Credit Card"/>
    <x v="0"/>
  </r>
  <r>
    <n v="35"/>
    <x v="34"/>
    <n v="55"/>
    <s v="2024-02-20"/>
    <n v="2024"/>
    <x v="9"/>
    <n v="2"/>
    <n v="1016.06"/>
    <n v="20"/>
    <n v="1625.6959999999999"/>
    <s v="Debit Card"/>
    <x v="0"/>
  </r>
  <r>
    <n v="36"/>
    <x v="35"/>
    <n v="56"/>
    <s v="2023-11-19"/>
    <n v="2023"/>
    <x v="11"/>
    <n v="2"/>
    <n v="396.01"/>
    <n v="0"/>
    <n v="792.02"/>
    <s v="Credit Card"/>
    <x v="1"/>
  </r>
  <r>
    <n v="37"/>
    <x v="36"/>
    <n v="66"/>
    <s v="2023-06-24"/>
    <n v="2023"/>
    <x v="4"/>
    <n v="2"/>
    <n v="783.37"/>
    <n v="5"/>
    <n v="1488.403"/>
    <s v="Debit Card"/>
    <x v="1"/>
  </r>
  <r>
    <n v="38"/>
    <x v="37"/>
    <n v="64"/>
    <s v="2023-09-27"/>
    <n v="2023"/>
    <x v="8"/>
    <n v="3"/>
    <n v="567.71"/>
    <n v="20"/>
    <n v="1362.5040000000001"/>
    <s v="Credit Card"/>
    <x v="0"/>
  </r>
  <r>
    <n v="39"/>
    <x v="38"/>
    <n v="38"/>
    <s v="2023-08-28"/>
    <n v="2023"/>
    <x v="6"/>
    <n v="2"/>
    <n v="802.88"/>
    <n v="0"/>
    <n v="1605.76"/>
    <s v="COD"/>
    <x v="1"/>
  </r>
  <r>
    <n v="40"/>
    <x v="39"/>
    <n v="39"/>
    <s v="2023-03-18"/>
    <n v="2023"/>
    <x v="1"/>
    <n v="1"/>
    <n v="256.08999999999997"/>
    <n v="10"/>
    <n v="230.48099999999999"/>
    <s v="Debit Card"/>
    <x v="0"/>
  </r>
  <r>
    <n v="41"/>
    <x v="40"/>
    <n v="67"/>
    <s v="2023-08-07"/>
    <n v="2023"/>
    <x v="6"/>
    <n v="2"/>
    <n v="258.35000000000002"/>
    <n v="20"/>
    <n v="413.36000000000007"/>
    <s v="Credit Card"/>
    <x v="2"/>
  </r>
  <r>
    <n v="42"/>
    <x v="41"/>
    <n v="71"/>
    <s v="2023-02-09"/>
    <n v="2023"/>
    <x v="9"/>
    <n v="1"/>
    <n v="780.27"/>
    <n v="20"/>
    <n v="624.21600000000001"/>
    <s v="Credit Card"/>
    <x v="2"/>
  </r>
  <r>
    <n v="43"/>
    <x v="42"/>
    <n v="66"/>
    <s v="2023-08-06"/>
    <n v="2023"/>
    <x v="6"/>
    <n v="2"/>
    <n v="783.37"/>
    <n v="0"/>
    <n v="1566.74"/>
    <s v="COD"/>
    <x v="1"/>
  </r>
  <r>
    <n v="44"/>
    <x v="43"/>
    <n v="73"/>
    <s v="2024-02-21"/>
    <n v="2024"/>
    <x v="9"/>
    <n v="2"/>
    <n v="943.04"/>
    <n v="10"/>
    <n v="1697.472"/>
    <s v="UPI"/>
    <x v="1"/>
  </r>
  <r>
    <n v="45"/>
    <x v="44"/>
    <n v="75"/>
    <s v="2023-02-11"/>
    <n v="2023"/>
    <x v="9"/>
    <n v="3"/>
    <n v="390.41"/>
    <n v="0"/>
    <n v="1171.23"/>
    <s v="Credit Card"/>
    <x v="2"/>
  </r>
  <r>
    <n v="46"/>
    <x v="45"/>
    <n v="60"/>
    <s v="2023-04-02"/>
    <n v="2023"/>
    <x v="3"/>
    <n v="1"/>
    <n v="830.49"/>
    <n v="15"/>
    <n v="705.91650000000004"/>
    <s v="Credit Card"/>
    <x v="0"/>
  </r>
  <r>
    <n v="47"/>
    <x v="46"/>
    <n v="11"/>
    <s v="2023-08-02"/>
    <n v="2023"/>
    <x v="6"/>
    <n v="3"/>
    <n v="1038.77"/>
    <n v="10"/>
    <n v="2804.6790000000001"/>
    <s v="UPI"/>
    <x v="3"/>
  </r>
  <r>
    <n v="48"/>
    <x v="47"/>
    <n v="76"/>
    <s v="2024-01-06"/>
    <n v="2024"/>
    <x v="5"/>
    <n v="2"/>
    <n v="1043.26"/>
    <n v="15"/>
    <n v="1773.5419999999999"/>
    <s v="Wallet"/>
    <x v="0"/>
  </r>
  <r>
    <n v="49"/>
    <x v="48"/>
    <n v="34"/>
    <s v="2023-06-24"/>
    <n v="2023"/>
    <x v="4"/>
    <n v="1"/>
    <n v="523.98"/>
    <n v="5"/>
    <n v="497.78100000000001"/>
    <s v="Debit Card"/>
    <x v="1"/>
  </r>
  <r>
    <n v="50"/>
    <x v="49"/>
    <n v="11"/>
    <s v="2024-01-18"/>
    <n v="2024"/>
    <x v="5"/>
    <n v="3"/>
    <n v="1038.77"/>
    <n v="10"/>
    <n v="2804.6790000000001"/>
    <s v="Credit Card"/>
    <x v="3"/>
  </r>
  <r>
    <n v="51"/>
    <x v="50"/>
    <n v="56"/>
    <s v="2023-10-01"/>
    <n v="2023"/>
    <x v="10"/>
    <n v="1"/>
    <n v="396.01"/>
    <n v="0"/>
    <n v="396.01"/>
    <s v="COD"/>
    <x v="1"/>
  </r>
  <r>
    <n v="52"/>
    <x v="51"/>
    <n v="15"/>
    <s v="2023-01-07"/>
    <n v="2023"/>
    <x v="5"/>
    <n v="1"/>
    <n v="1183.2"/>
    <n v="15"/>
    <n v="1005.72"/>
    <s v="COD"/>
    <x v="2"/>
  </r>
  <r>
    <n v="53"/>
    <x v="52"/>
    <n v="52"/>
    <s v="2024-03-20"/>
    <n v="2024"/>
    <x v="1"/>
    <n v="3"/>
    <n v="256.76"/>
    <n v="20"/>
    <n v="616.22400000000005"/>
    <s v="COD"/>
    <x v="1"/>
  </r>
  <r>
    <n v="54"/>
    <x v="53"/>
    <n v="39"/>
    <s v="2023-11-13"/>
    <n v="2023"/>
    <x v="11"/>
    <n v="3"/>
    <n v="256.08999999999997"/>
    <n v="10"/>
    <n v="691.44299999999998"/>
    <s v="COD"/>
    <x v="0"/>
  </r>
  <r>
    <n v="55"/>
    <x v="54"/>
    <n v="39"/>
    <s v="2023-02-14"/>
    <n v="2023"/>
    <x v="9"/>
    <n v="1"/>
    <n v="256.08999999999997"/>
    <n v="5"/>
    <n v="243.28549999999996"/>
    <s v="Credit Card"/>
    <x v="0"/>
  </r>
  <r>
    <n v="56"/>
    <x v="55"/>
    <n v="25"/>
    <s v="2023-02-27"/>
    <n v="2023"/>
    <x v="9"/>
    <n v="1"/>
    <n v="1011.65"/>
    <n v="5"/>
    <n v="961.06749999999988"/>
    <s v="Credit Card"/>
    <x v="2"/>
  </r>
  <r>
    <n v="57"/>
    <x v="56"/>
    <n v="27"/>
    <s v="2023-09-04"/>
    <n v="2023"/>
    <x v="8"/>
    <n v="3"/>
    <n v="76.09"/>
    <n v="5"/>
    <n v="216.85650000000001"/>
    <s v="Debit Card"/>
    <x v="0"/>
  </r>
  <r>
    <n v="58"/>
    <x v="57"/>
    <n v="56"/>
    <s v="2024-03-07"/>
    <n v="2024"/>
    <x v="1"/>
    <n v="3"/>
    <n v="396.01"/>
    <n v="20"/>
    <n v="950.42399999999998"/>
    <s v="Debit Card"/>
    <x v="1"/>
  </r>
  <r>
    <n v="59"/>
    <x v="58"/>
    <n v="12"/>
    <s v="2023-06-04"/>
    <n v="2023"/>
    <x v="4"/>
    <n v="2"/>
    <n v="627.41999999999996"/>
    <n v="5"/>
    <n v="1192.098"/>
    <s v="COD"/>
    <x v="3"/>
  </r>
  <r>
    <n v="60"/>
    <x v="59"/>
    <n v="55"/>
    <s v="2023-01-12"/>
    <n v="2023"/>
    <x v="5"/>
    <n v="1"/>
    <n v="1016.06"/>
    <n v="5"/>
    <n v="965.25699999999995"/>
    <s v="Debit Card"/>
    <x v="0"/>
  </r>
  <r>
    <n v="61"/>
    <x v="60"/>
    <n v="57"/>
    <s v="2024-05-08"/>
    <n v="2024"/>
    <x v="0"/>
    <n v="2"/>
    <n v="768.03"/>
    <n v="15"/>
    <n v="1305.6509999999998"/>
    <s v="Credit Card"/>
    <x v="2"/>
  </r>
  <r>
    <n v="62"/>
    <x v="61"/>
    <n v="58"/>
    <s v="2023-10-27"/>
    <n v="2023"/>
    <x v="10"/>
    <n v="1"/>
    <n v="334.98"/>
    <n v="5"/>
    <n v="318.23099999999999"/>
    <s v="UPI"/>
    <x v="1"/>
  </r>
  <r>
    <n v="63"/>
    <x v="62"/>
    <n v="73"/>
    <s v="2024-02-29"/>
    <n v="2024"/>
    <x v="9"/>
    <n v="2"/>
    <n v="943.04"/>
    <n v="0"/>
    <n v="1886.08"/>
    <s v="UPI"/>
    <x v="1"/>
  </r>
  <r>
    <n v="64"/>
    <x v="63"/>
    <n v="2"/>
    <s v="2023-02-22"/>
    <n v="2023"/>
    <x v="9"/>
    <n v="3"/>
    <n v="427.27"/>
    <n v="15"/>
    <n v="1089.5384999999999"/>
    <s v="COD"/>
    <x v="1"/>
  </r>
  <r>
    <n v="65"/>
    <x v="64"/>
    <n v="64"/>
    <s v="2024-01-13"/>
    <n v="2024"/>
    <x v="5"/>
    <n v="3"/>
    <n v="567.71"/>
    <n v="20"/>
    <n v="1362.5040000000001"/>
    <s v="Wallet"/>
    <x v="0"/>
  </r>
  <r>
    <n v="66"/>
    <x v="65"/>
    <n v="38"/>
    <s v="2023-01-19"/>
    <n v="2023"/>
    <x v="5"/>
    <n v="2"/>
    <n v="802.88"/>
    <n v="15"/>
    <n v="1364.896"/>
    <s v="COD"/>
    <x v="1"/>
  </r>
  <r>
    <n v="67"/>
    <x v="66"/>
    <n v="66"/>
    <s v="2023-10-30"/>
    <n v="2023"/>
    <x v="10"/>
    <n v="3"/>
    <n v="783.37"/>
    <n v="20"/>
    <n v="1880.0880000000002"/>
    <s v="COD"/>
    <x v="1"/>
  </r>
  <r>
    <n v="68"/>
    <x v="67"/>
    <n v="30"/>
    <s v="2024-01-01"/>
    <n v="2024"/>
    <x v="5"/>
    <n v="1"/>
    <n v="866.89"/>
    <n v="20"/>
    <n v="693.51200000000006"/>
    <s v="Credit Card"/>
    <x v="2"/>
  </r>
  <r>
    <n v="69"/>
    <x v="68"/>
    <n v="55"/>
    <s v="2023-10-23"/>
    <n v="2023"/>
    <x v="10"/>
    <n v="2"/>
    <n v="1016.06"/>
    <n v="20"/>
    <n v="1625.6959999999999"/>
    <s v="Credit Card"/>
    <x v="0"/>
  </r>
  <r>
    <n v="70"/>
    <x v="69"/>
    <n v="35"/>
    <s v="2024-04-02"/>
    <n v="2024"/>
    <x v="3"/>
    <n v="3"/>
    <n v="958.87"/>
    <n v="15"/>
    <n v="2445.1185"/>
    <s v="COD"/>
    <x v="0"/>
  </r>
  <r>
    <n v="71"/>
    <x v="70"/>
    <n v="15"/>
    <s v="2023-09-11"/>
    <n v="2023"/>
    <x v="8"/>
    <n v="3"/>
    <n v="1183.2"/>
    <n v="10"/>
    <n v="3194.6400000000003"/>
    <s v="COD"/>
    <x v="2"/>
  </r>
  <r>
    <n v="72"/>
    <x v="71"/>
    <n v="56"/>
    <s v="2023-01-11"/>
    <n v="2023"/>
    <x v="5"/>
    <n v="1"/>
    <n v="396.01"/>
    <n v="10"/>
    <n v="356.40899999999999"/>
    <s v="Debit Card"/>
    <x v="1"/>
  </r>
  <r>
    <n v="73"/>
    <x v="72"/>
    <n v="61"/>
    <s v="2023-06-26"/>
    <n v="2023"/>
    <x v="4"/>
    <n v="2"/>
    <n v="498.92"/>
    <n v="5"/>
    <n v="947.94799999999998"/>
    <s v="Wallet"/>
    <x v="0"/>
  </r>
  <r>
    <n v="74"/>
    <x v="73"/>
    <n v="29"/>
    <s v="2023-10-28"/>
    <n v="2023"/>
    <x v="10"/>
    <n v="3"/>
    <n v="757"/>
    <n v="10"/>
    <n v="2043.9"/>
    <s v="Wallet"/>
    <x v="0"/>
  </r>
  <r>
    <n v="75"/>
    <x v="74"/>
    <n v="60"/>
    <s v="2023-03-09"/>
    <n v="2023"/>
    <x v="1"/>
    <n v="2"/>
    <n v="830.49"/>
    <n v="15"/>
    <n v="1411.8330000000001"/>
    <s v="COD"/>
    <x v="0"/>
  </r>
  <r>
    <n v="76"/>
    <x v="75"/>
    <n v="47"/>
    <s v="2024-02-12"/>
    <n v="2024"/>
    <x v="9"/>
    <n v="2"/>
    <n v="1126.96"/>
    <n v="5"/>
    <n v="2141.2240000000002"/>
    <s v="Wallet"/>
    <x v="3"/>
  </r>
  <r>
    <n v="77"/>
    <x v="76"/>
    <n v="27"/>
    <s v="2023-05-25"/>
    <n v="2023"/>
    <x v="0"/>
    <n v="3"/>
    <n v="76.09"/>
    <n v="0"/>
    <n v="228.27"/>
    <s v="COD"/>
    <x v="0"/>
  </r>
  <r>
    <n v="78"/>
    <x v="77"/>
    <n v="17"/>
    <s v="2023-03-30"/>
    <n v="2023"/>
    <x v="1"/>
    <n v="1"/>
    <n v="695.6"/>
    <n v="5"/>
    <n v="660.81999999999994"/>
    <s v="Wallet"/>
    <x v="0"/>
  </r>
  <r>
    <n v="79"/>
    <x v="78"/>
    <n v="63"/>
    <s v="2023-02-21"/>
    <n v="2023"/>
    <x v="9"/>
    <n v="2"/>
    <n v="309.79000000000002"/>
    <n v="15"/>
    <n v="526.64300000000003"/>
    <s v="UPI"/>
    <x v="2"/>
  </r>
  <r>
    <n v="80"/>
    <x v="79"/>
    <n v="31"/>
    <s v="2023-04-18"/>
    <n v="2023"/>
    <x v="3"/>
    <n v="3"/>
    <n v="131.79"/>
    <n v="0"/>
    <n v="395.37"/>
    <s v="Credit Card"/>
    <x v="3"/>
  </r>
  <r>
    <n v="81"/>
    <x v="80"/>
    <n v="46"/>
    <s v="2024-03-27"/>
    <n v="2024"/>
    <x v="1"/>
    <n v="2"/>
    <n v="1155.3"/>
    <n v="10"/>
    <n v="2079.54"/>
    <s v="Debit Card"/>
    <x v="3"/>
  </r>
  <r>
    <n v="82"/>
    <x v="81"/>
    <n v="23"/>
    <s v="2024-02-28"/>
    <n v="2024"/>
    <x v="9"/>
    <n v="3"/>
    <n v="258.08"/>
    <n v="0"/>
    <n v="774.24"/>
    <s v="Credit Card"/>
    <x v="1"/>
  </r>
  <r>
    <n v="83"/>
    <x v="82"/>
    <n v="44"/>
    <s v="2023-08-09"/>
    <n v="2023"/>
    <x v="6"/>
    <n v="1"/>
    <n v="1038"/>
    <n v="20"/>
    <n v="830.40000000000009"/>
    <s v="Debit Card"/>
    <x v="1"/>
  </r>
  <r>
    <n v="84"/>
    <x v="83"/>
    <n v="16"/>
    <s v="2023-10-15"/>
    <n v="2023"/>
    <x v="10"/>
    <n v="1"/>
    <n v="693.02"/>
    <n v="15"/>
    <n v="589.06700000000001"/>
    <s v="UPI"/>
    <x v="1"/>
  </r>
  <r>
    <n v="85"/>
    <x v="84"/>
    <n v="44"/>
    <s v="2024-02-06"/>
    <n v="2024"/>
    <x v="9"/>
    <n v="2"/>
    <n v="1038"/>
    <n v="0"/>
    <n v="2076"/>
    <s v="Wallet"/>
    <x v="1"/>
  </r>
  <r>
    <n v="86"/>
    <x v="85"/>
    <n v="35"/>
    <s v="2024-04-03"/>
    <n v="2024"/>
    <x v="3"/>
    <n v="1"/>
    <n v="958.87"/>
    <n v="20"/>
    <n v="767.096"/>
    <s v="Wallet"/>
    <x v="0"/>
  </r>
  <r>
    <n v="87"/>
    <x v="86"/>
    <n v="14"/>
    <s v="2023-12-28"/>
    <n v="2023"/>
    <x v="2"/>
    <n v="1"/>
    <n v="574.25"/>
    <n v="15"/>
    <n v="488.11250000000001"/>
    <s v="COD"/>
    <x v="3"/>
  </r>
  <r>
    <n v="88"/>
    <x v="87"/>
    <n v="15"/>
    <s v="2024-05-14"/>
    <n v="2024"/>
    <x v="0"/>
    <n v="1"/>
    <n v="1183.2"/>
    <n v="20"/>
    <n v="946.56000000000006"/>
    <s v="Wallet"/>
    <x v="2"/>
  </r>
  <r>
    <n v="89"/>
    <x v="88"/>
    <n v="14"/>
    <s v="2024-02-26"/>
    <n v="2024"/>
    <x v="9"/>
    <n v="3"/>
    <n v="574.25"/>
    <n v="0"/>
    <n v="1722.75"/>
    <s v="Wallet"/>
    <x v="3"/>
  </r>
  <r>
    <n v="90"/>
    <x v="89"/>
    <n v="14"/>
    <s v="2023-03-27"/>
    <n v="2023"/>
    <x v="1"/>
    <n v="3"/>
    <n v="574.25"/>
    <n v="0"/>
    <n v="1722.75"/>
    <s v="Debit Card"/>
    <x v="3"/>
  </r>
  <r>
    <n v="91"/>
    <x v="90"/>
    <n v="47"/>
    <s v="2023-03-22"/>
    <n v="2023"/>
    <x v="1"/>
    <n v="3"/>
    <n v="1126.96"/>
    <n v="10"/>
    <n v="3042.7920000000004"/>
    <s v="COD"/>
    <x v="3"/>
  </r>
  <r>
    <n v="92"/>
    <x v="91"/>
    <n v="65"/>
    <s v="2023-09-13"/>
    <n v="2023"/>
    <x v="8"/>
    <n v="3"/>
    <n v="1189.73"/>
    <n v="0"/>
    <n v="3569.19"/>
    <s v="Debit Card"/>
    <x v="1"/>
  </r>
  <r>
    <n v="93"/>
    <x v="92"/>
    <n v="47"/>
    <s v="2023-06-21"/>
    <n v="2023"/>
    <x v="4"/>
    <n v="1"/>
    <n v="1126.96"/>
    <n v="0"/>
    <n v="1126.96"/>
    <s v="Debit Card"/>
    <x v="3"/>
  </r>
  <r>
    <n v="94"/>
    <x v="93"/>
    <n v="57"/>
    <s v="2024-05-11"/>
    <n v="2024"/>
    <x v="0"/>
    <n v="2"/>
    <n v="768.03"/>
    <n v="0"/>
    <n v="1536.06"/>
    <s v="Debit Card"/>
    <x v="2"/>
  </r>
  <r>
    <n v="95"/>
    <x v="94"/>
    <n v="61"/>
    <s v="2023-06-24"/>
    <n v="2023"/>
    <x v="4"/>
    <n v="2"/>
    <n v="498.92"/>
    <n v="20"/>
    <n v="798.27200000000005"/>
    <s v="Debit Card"/>
    <x v="0"/>
  </r>
  <r>
    <n v="96"/>
    <x v="95"/>
    <n v="11"/>
    <s v="2023-05-17"/>
    <n v="2023"/>
    <x v="0"/>
    <n v="2"/>
    <n v="1038.77"/>
    <n v="15"/>
    <n v="1765.9089999999999"/>
    <s v="UPI"/>
    <x v="3"/>
  </r>
  <r>
    <n v="97"/>
    <x v="96"/>
    <n v="32"/>
    <s v="2023-03-19"/>
    <n v="2023"/>
    <x v="1"/>
    <n v="3"/>
    <n v="342.57"/>
    <n v="15"/>
    <n v="873.55349999999999"/>
    <s v="Debit Card"/>
    <x v="0"/>
  </r>
  <r>
    <n v="98"/>
    <x v="97"/>
    <n v="18"/>
    <s v="2024-02-15"/>
    <n v="2024"/>
    <x v="9"/>
    <n v="2"/>
    <n v="138.07"/>
    <n v="15"/>
    <n v="234.71899999999999"/>
    <s v="COD"/>
    <x v="1"/>
  </r>
  <r>
    <n v="99"/>
    <x v="98"/>
    <n v="59"/>
    <s v="2024-05-02"/>
    <n v="2024"/>
    <x v="0"/>
    <n v="3"/>
    <n v="782.33"/>
    <n v="10"/>
    <n v="2112.2910000000002"/>
    <s v="Credit Card"/>
    <x v="0"/>
  </r>
  <r>
    <n v="100"/>
    <x v="99"/>
    <n v="57"/>
    <s v="2023-03-16"/>
    <n v="2023"/>
    <x v="1"/>
    <n v="1"/>
    <n v="768.03"/>
    <n v="20"/>
    <n v="614.42399999999998"/>
    <s v="Credit Card"/>
    <x v="2"/>
  </r>
  <r>
    <n v="101"/>
    <x v="100"/>
    <n v="11"/>
    <s v="2023-06-23"/>
    <n v="2023"/>
    <x v="4"/>
    <n v="2"/>
    <n v="1038.77"/>
    <n v="15"/>
    <n v="1765.9089999999999"/>
    <s v="Debit Card"/>
    <x v="3"/>
  </r>
  <r>
    <n v="102"/>
    <x v="101"/>
    <n v="56"/>
    <s v="2023-02-01"/>
    <n v="2023"/>
    <x v="9"/>
    <n v="2"/>
    <n v="396.01"/>
    <n v="0"/>
    <n v="792.02"/>
    <s v="Debit Card"/>
    <x v="1"/>
  </r>
  <r>
    <n v="103"/>
    <x v="102"/>
    <n v="74"/>
    <s v="2023-01-30"/>
    <n v="2023"/>
    <x v="5"/>
    <n v="3"/>
    <n v="1034.31"/>
    <n v="20"/>
    <n v="2482.3440000000001"/>
    <s v="UPI"/>
    <x v="2"/>
  </r>
  <r>
    <n v="104"/>
    <x v="103"/>
    <n v="54"/>
    <s v="2023-07-25"/>
    <n v="2023"/>
    <x v="7"/>
    <n v="3"/>
    <n v="900.79"/>
    <n v="20"/>
    <n v="2161.8960000000002"/>
    <s v="UPI"/>
    <x v="2"/>
  </r>
  <r>
    <n v="105"/>
    <x v="104"/>
    <n v="41"/>
    <s v="2024-04-10"/>
    <n v="2024"/>
    <x v="3"/>
    <n v="2"/>
    <n v="554.80999999999995"/>
    <n v="0"/>
    <n v="1109.6199999999999"/>
    <s v="UPI"/>
    <x v="1"/>
  </r>
  <r>
    <n v="106"/>
    <x v="105"/>
    <n v="68"/>
    <s v="2023-11-09"/>
    <n v="2023"/>
    <x v="11"/>
    <n v="1"/>
    <n v="180.99"/>
    <n v="15"/>
    <n v="153.8415"/>
    <s v="COD"/>
    <x v="0"/>
  </r>
  <r>
    <n v="107"/>
    <x v="106"/>
    <n v="27"/>
    <s v="2024-03-30"/>
    <n v="2024"/>
    <x v="1"/>
    <n v="3"/>
    <n v="76.09"/>
    <n v="20"/>
    <n v="182.61600000000001"/>
    <s v="Wallet"/>
    <x v="0"/>
  </r>
  <r>
    <n v="108"/>
    <x v="107"/>
    <n v="57"/>
    <s v="2023-12-24"/>
    <n v="2023"/>
    <x v="2"/>
    <n v="2"/>
    <n v="768.03"/>
    <n v="15"/>
    <n v="1305.6509999999998"/>
    <s v="Debit Card"/>
    <x v="2"/>
  </r>
  <r>
    <n v="109"/>
    <x v="108"/>
    <n v="39"/>
    <s v="2023-02-13"/>
    <n v="2023"/>
    <x v="9"/>
    <n v="1"/>
    <n v="256.08999999999997"/>
    <n v="20"/>
    <n v="204.87199999999999"/>
    <s v="UPI"/>
    <x v="0"/>
  </r>
  <r>
    <n v="110"/>
    <x v="109"/>
    <n v="50"/>
    <s v="2024-01-07"/>
    <n v="2024"/>
    <x v="5"/>
    <n v="3"/>
    <n v="1122.8699999999999"/>
    <n v="5"/>
    <n v="3200.1794999999997"/>
    <s v="Wallet"/>
    <x v="1"/>
  </r>
  <r>
    <n v="111"/>
    <x v="110"/>
    <n v="70"/>
    <s v="2023-05-26"/>
    <n v="2023"/>
    <x v="0"/>
    <n v="1"/>
    <n v="797.23"/>
    <n v="0"/>
    <n v="797.23"/>
    <s v="Wallet"/>
    <x v="0"/>
  </r>
  <r>
    <n v="112"/>
    <x v="111"/>
    <n v="71"/>
    <s v="2023-06-09"/>
    <n v="2023"/>
    <x v="4"/>
    <n v="3"/>
    <n v="780.27"/>
    <n v="10"/>
    <n v="2106.7289999999998"/>
    <s v="Debit Card"/>
    <x v="2"/>
  </r>
  <r>
    <n v="113"/>
    <x v="112"/>
    <n v="3"/>
    <s v="2023-01-15"/>
    <n v="2023"/>
    <x v="5"/>
    <n v="3"/>
    <n v="506.08"/>
    <n v="20"/>
    <n v="1214.5920000000001"/>
    <s v="UPI"/>
    <x v="0"/>
  </r>
  <r>
    <n v="114"/>
    <x v="113"/>
    <n v="31"/>
    <s v="2024-03-02"/>
    <n v="2024"/>
    <x v="1"/>
    <n v="2"/>
    <n v="131.79"/>
    <n v="15"/>
    <n v="224.04299999999998"/>
    <s v="Wallet"/>
    <x v="3"/>
  </r>
  <r>
    <n v="115"/>
    <x v="114"/>
    <n v="15"/>
    <s v="2024-01-10"/>
    <n v="2024"/>
    <x v="5"/>
    <n v="1"/>
    <n v="1183.2"/>
    <n v="10"/>
    <n v="1064.8800000000001"/>
    <s v="UPI"/>
    <x v="2"/>
  </r>
  <r>
    <n v="116"/>
    <x v="115"/>
    <n v="65"/>
    <s v="2023-07-01"/>
    <n v="2023"/>
    <x v="7"/>
    <n v="1"/>
    <n v="1189.73"/>
    <n v="0"/>
    <n v="1189.73"/>
    <s v="Credit Card"/>
    <x v="1"/>
  </r>
  <r>
    <n v="117"/>
    <x v="116"/>
    <n v="58"/>
    <s v="2023-06-02"/>
    <n v="2023"/>
    <x v="4"/>
    <n v="3"/>
    <n v="334.98"/>
    <n v="0"/>
    <n v="1004.94"/>
    <s v="COD"/>
    <x v="1"/>
  </r>
  <r>
    <n v="118"/>
    <x v="117"/>
    <n v="44"/>
    <s v="2023-05-01"/>
    <n v="2023"/>
    <x v="0"/>
    <n v="3"/>
    <n v="1038"/>
    <n v="20"/>
    <n v="2491.2000000000003"/>
    <s v="Wallet"/>
    <x v="1"/>
  </r>
  <r>
    <n v="119"/>
    <x v="118"/>
    <n v="69"/>
    <s v="2024-03-08"/>
    <n v="2024"/>
    <x v="1"/>
    <n v="3"/>
    <n v="951.81"/>
    <n v="5"/>
    <n v="2712.6584999999995"/>
    <s v="UPI"/>
    <x v="0"/>
  </r>
  <r>
    <n v="120"/>
    <x v="119"/>
    <n v="39"/>
    <s v="2023-05-26"/>
    <n v="2023"/>
    <x v="0"/>
    <n v="3"/>
    <n v="256.08999999999997"/>
    <n v="20"/>
    <n v="614.61599999999999"/>
    <s v="Debit Card"/>
    <x v="0"/>
  </r>
  <r>
    <n v="121"/>
    <x v="120"/>
    <n v="49"/>
    <s v="2023-09-24"/>
    <n v="2023"/>
    <x v="8"/>
    <n v="3"/>
    <n v="974.54"/>
    <n v="5"/>
    <n v="2777.4389999999999"/>
    <s v="Credit Card"/>
    <x v="1"/>
  </r>
  <r>
    <n v="122"/>
    <x v="121"/>
    <n v="42"/>
    <s v="2023-09-22"/>
    <n v="2023"/>
    <x v="8"/>
    <n v="3"/>
    <n v="233.11"/>
    <n v="5"/>
    <n v="664.36350000000004"/>
    <s v="UPI"/>
    <x v="1"/>
  </r>
  <r>
    <n v="123"/>
    <x v="122"/>
    <n v="59"/>
    <s v="2023-02-20"/>
    <n v="2023"/>
    <x v="9"/>
    <n v="1"/>
    <n v="782.33"/>
    <n v="15"/>
    <n v="664.98050000000001"/>
    <s v="COD"/>
    <x v="0"/>
  </r>
  <r>
    <n v="124"/>
    <x v="123"/>
    <n v="11"/>
    <s v="2023-02-17"/>
    <n v="2023"/>
    <x v="9"/>
    <n v="1"/>
    <n v="1038.77"/>
    <n v="15"/>
    <n v="882.95449999999994"/>
    <s v="Debit Card"/>
    <x v="3"/>
  </r>
  <r>
    <n v="125"/>
    <x v="124"/>
    <n v="61"/>
    <s v="2023-04-20"/>
    <n v="2023"/>
    <x v="3"/>
    <n v="2"/>
    <n v="498.92"/>
    <n v="0"/>
    <n v="997.84"/>
    <s v="UPI"/>
    <x v="0"/>
  </r>
  <r>
    <n v="126"/>
    <x v="125"/>
    <n v="68"/>
    <s v="2023-07-26"/>
    <n v="2023"/>
    <x v="7"/>
    <n v="3"/>
    <n v="180.99"/>
    <n v="20"/>
    <n v="434.37600000000003"/>
    <s v="Wallet"/>
    <x v="0"/>
  </r>
  <r>
    <n v="127"/>
    <x v="126"/>
    <n v="51"/>
    <s v="2024-03-22"/>
    <n v="2024"/>
    <x v="1"/>
    <n v="2"/>
    <n v="759.57"/>
    <n v="20"/>
    <n v="1215.3120000000001"/>
    <s v="COD"/>
    <x v="3"/>
  </r>
  <r>
    <n v="128"/>
    <x v="127"/>
    <n v="55"/>
    <s v="2023-08-14"/>
    <n v="2023"/>
    <x v="6"/>
    <n v="3"/>
    <n v="1016.06"/>
    <n v="15"/>
    <n v="2590.953"/>
    <s v="COD"/>
    <x v="0"/>
  </r>
  <r>
    <n v="129"/>
    <x v="128"/>
    <n v="21"/>
    <s v="2023-03-15"/>
    <n v="2023"/>
    <x v="1"/>
    <n v="3"/>
    <n v="420.66"/>
    <n v="5"/>
    <n v="1198.8809999999999"/>
    <s v="COD"/>
    <x v="3"/>
  </r>
  <r>
    <n v="130"/>
    <x v="129"/>
    <n v="59"/>
    <s v="2023-03-08"/>
    <n v="2023"/>
    <x v="1"/>
    <n v="3"/>
    <n v="782.33"/>
    <n v="20"/>
    <n v="1877.5920000000003"/>
    <s v="Wallet"/>
    <x v="0"/>
  </r>
  <r>
    <n v="131"/>
    <x v="130"/>
    <n v="16"/>
    <s v="2023-12-22"/>
    <n v="2023"/>
    <x v="2"/>
    <n v="1"/>
    <n v="693.02"/>
    <n v="15"/>
    <n v="589.06700000000001"/>
    <s v="COD"/>
    <x v="1"/>
  </r>
  <r>
    <n v="132"/>
    <x v="131"/>
    <n v="5"/>
    <s v="2024-01-18"/>
    <n v="2024"/>
    <x v="5"/>
    <n v="1"/>
    <n v="296.85000000000002"/>
    <n v="20"/>
    <n v="237.48000000000002"/>
    <s v="UPI"/>
    <x v="0"/>
  </r>
  <r>
    <n v="133"/>
    <x v="132"/>
    <n v="16"/>
    <s v="2023-11-05"/>
    <n v="2023"/>
    <x v="11"/>
    <n v="2"/>
    <n v="693.02"/>
    <n v="0"/>
    <n v="1386.04"/>
    <s v="Credit Card"/>
    <x v="1"/>
  </r>
  <r>
    <n v="134"/>
    <x v="133"/>
    <n v="48"/>
    <s v="2023-10-20"/>
    <n v="2023"/>
    <x v="10"/>
    <n v="2"/>
    <n v="1125.8499999999999"/>
    <n v="0"/>
    <n v="2251.6999999999998"/>
    <s v="Wallet"/>
    <x v="0"/>
  </r>
  <r>
    <n v="135"/>
    <x v="134"/>
    <n v="20"/>
    <s v="2023-03-02"/>
    <n v="2023"/>
    <x v="1"/>
    <n v="2"/>
    <n v="613.27"/>
    <n v="10"/>
    <n v="1103.886"/>
    <s v="UPI"/>
    <x v="1"/>
  </r>
  <r>
    <n v="136"/>
    <x v="135"/>
    <n v="39"/>
    <s v="2023-05-31"/>
    <n v="2023"/>
    <x v="0"/>
    <n v="2"/>
    <n v="256.08999999999997"/>
    <n v="0"/>
    <n v="512.17999999999995"/>
    <s v="Debit Card"/>
    <x v="0"/>
  </r>
  <r>
    <n v="137"/>
    <x v="136"/>
    <n v="19"/>
    <s v="2024-02-06"/>
    <n v="2024"/>
    <x v="9"/>
    <n v="3"/>
    <n v="262.97000000000003"/>
    <n v="15"/>
    <n v="670.57350000000008"/>
    <s v="Credit Card"/>
    <x v="3"/>
  </r>
  <r>
    <n v="138"/>
    <x v="137"/>
    <n v="40"/>
    <s v="2024-03-31"/>
    <n v="2024"/>
    <x v="1"/>
    <n v="2"/>
    <n v="316.49"/>
    <n v="5"/>
    <n v="601.33100000000002"/>
    <s v="Debit Card"/>
    <x v="1"/>
  </r>
  <r>
    <n v="139"/>
    <x v="138"/>
    <n v="63"/>
    <s v="2023-01-02"/>
    <n v="2023"/>
    <x v="5"/>
    <n v="1"/>
    <n v="309.79000000000002"/>
    <n v="20"/>
    <n v="247.83200000000002"/>
    <s v="UPI"/>
    <x v="2"/>
  </r>
  <r>
    <n v="140"/>
    <x v="139"/>
    <n v="9"/>
    <s v="2024-03-21"/>
    <n v="2024"/>
    <x v="1"/>
    <n v="1"/>
    <n v="43.26"/>
    <n v="15"/>
    <n v="36.771000000000001"/>
    <s v="COD"/>
    <x v="2"/>
  </r>
  <r>
    <n v="141"/>
    <x v="140"/>
    <n v="74"/>
    <s v="2023-06-08"/>
    <n v="2023"/>
    <x v="4"/>
    <n v="3"/>
    <n v="1034.31"/>
    <n v="15"/>
    <n v="2637.4904999999999"/>
    <s v="UPI"/>
    <x v="2"/>
  </r>
  <r>
    <n v="142"/>
    <x v="141"/>
    <n v="49"/>
    <s v="2023-09-01"/>
    <n v="2023"/>
    <x v="8"/>
    <n v="3"/>
    <n v="974.54"/>
    <n v="20"/>
    <n v="2338.8960000000002"/>
    <s v="Debit Card"/>
    <x v="1"/>
  </r>
  <r>
    <n v="143"/>
    <x v="142"/>
    <n v="18"/>
    <s v="2023-09-16"/>
    <n v="2023"/>
    <x v="8"/>
    <n v="3"/>
    <n v="138.07"/>
    <n v="15"/>
    <n v="352.07849999999996"/>
    <s v="COD"/>
    <x v="1"/>
  </r>
  <r>
    <n v="144"/>
    <x v="143"/>
    <n v="58"/>
    <s v="2023-03-18"/>
    <n v="2023"/>
    <x v="1"/>
    <n v="3"/>
    <n v="334.98"/>
    <n v="10"/>
    <n v="904.44600000000003"/>
    <s v="Credit Card"/>
    <x v="1"/>
  </r>
  <r>
    <n v="145"/>
    <x v="144"/>
    <n v="80"/>
    <s v="2023-12-07"/>
    <n v="2023"/>
    <x v="2"/>
    <n v="3"/>
    <n v="1014.45"/>
    <n v="15"/>
    <n v="2586.8475000000003"/>
    <s v="COD"/>
    <x v="3"/>
  </r>
  <r>
    <n v="146"/>
    <x v="145"/>
    <n v="30"/>
    <s v="2024-04-05"/>
    <n v="2024"/>
    <x v="3"/>
    <n v="2"/>
    <n v="866.89"/>
    <n v="10"/>
    <n v="1560.402"/>
    <s v="Wallet"/>
    <x v="2"/>
  </r>
  <r>
    <n v="147"/>
    <x v="146"/>
    <n v="6"/>
    <s v="2024-05-05"/>
    <n v="2024"/>
    <x v="0"/>
    <n v="3"/>
    <n v="719.19"/>
    <n v="15"/>
    <n v="1833.9345000000001"/>
    <s v="UPI"/>
    <x v="0"/>
  </r>
  <r>
    <n v="148"/>
    <x v="147"/>
    <n v="12"/>
    <s v="2024-03-19"/>
    <n v="2024"/>
    <x v="1"/>
    <n v="1"/>
    <n v="627.41999999999996"/>
    <n v="0"/>
    <n v="627.41999999999996"/>
    <s v="Wallet"/>
    <x v="3"/>
  </r>
  <r>
    <n v="149"/>
    <x v="148"/>
    <n v="40"/>
    <s v="2023-10-15"/>
    <n v="2023"/>
    <x v="10"/>
    <n v="3"/>
    <n v="316.49"/>
    <n v="0"/>
    <n v="949.47"/>
    <s v="Wallet"/>
    <x v="1"/>
  </r>
  <r>
    <n v="150"/>
    <x v="149"/>
    <n v="11"/>
    <s v="2023-04-09"/>
    <n v="2023"/>
    <x v="3"/>
    <n v="3"/>
    <n v="1038.77"/>
    <n v="20"/>
    <n v="2493.0480000000002"/>
    <s v="Wallet"/>
    <x v="3"/>
  </r>
  <r>
    <n v="151"/>
    <x v="150"/>
    <n v="7"/>
    <s v="2024-05-05"/>
    <n v="2024"/>
    <x v="0"/>
    <n v="3"/>
    <n v="97.29"/>
    <n v="20"/>
    <n v="233.49600000000001"/>
    <s v="Debit Card"/>
    <x v="3"/>
  </r>
  <r>
    <n v="152"/>
    <x v="151"/>
    <n v="61"/>
    <s v="2023-09-15"/>
    <n v="2023"/>
    <x v="8"/>
    <n v="1"/>
    <n v="498.92"/>
    <n v="0"/>
    <n v="498.92"/>
    <s v="Wallet"/>
    <x v="0"/>
  </r>
  <r>
    <n v="153"/>
    <x v="152"/>
    <n v="24"/>
    <s v="2024-05-07"/>
    <n v="2024"/>
    <x v="0"/>
    <n v="1"/>
    <n v="1019.85"/>
    <n v="10"/>
    <n v="917.86500000000001"/>
    <s v="Debit Card"/>
    <x v="3"/>
  </r>
  <r>
    <n v="154"/>
    <x v="153"/>
    <n v="32"/>
    <s v="2024-02-29"/>
    <n v="2024"/>
    <x v="9"/>
    <n v="3"/>
    <n v="342.57"/>
    <n v="20"/>
    <n v="822.16800000000012"/>
    <s v="COD"/>
    <x v="0"/>
  </r>
  <r>
    <n v="155"/>
    <x v="154"/>
    <n v="11"/>
    <s v="2024-02-18"/>
    <n v="2024"/>
    <x v="9"/>
    <n v="3"/>
    <n v="1038.77"/>
    <n v="20"/>
    <n v="2493.0480000000002"/>
    <s v="UPI"/>
    <x v="3"/>
  </r>
  <r>
    <n v="156"/>
    <x v="155"/>
    <n v="52"/>
    <s v="2023-10-29"/>
    <n v="2023"/>
    <x v="10"/>
    <n v="1"/>
    <n v="256.76"/>
    <n v="15"/>
    <n v="218.24599999999998"/>
    <s v="Credit Card"/>
    <x v="1"/>
  </r>
  <r>
    <n v="157"/>
    <x v="156"/>
    <n v="44"/>
    <s v="2023-08-12"/>
    <n v="2023"/>
    <x v="6"/>
    <n v="1"/>
    <n v="1038"/>
    <n v="15"/>
    <n v="882.3"/>
    <s v="Credit Card"/>
    <x v="1"/>
  </r>
  <r>
    <n v="158"/>
    <x v="157"/>
    <n v="68"/>
    <s v="2023-06-12"/>
    <n v="2023"/>
    <x v="4"/>
    <n v="2"/>
    <n v="180.99"/>
    <n v="10"/>
    <n v="325.78200000000004"/>
    <s v="Credit Card"/>
    <x v="0"/>
  </r>
  <r>
    <n v="159"/>
    <x v="158"/>
    <n v="15"/>
    <s v="2023-02-20"/>
    <n v="2023"/>
    <x v="9"/>
    <n v="3"/>
    <n v="1183.2"/>
    <n v="5"/>
    <n v="3372.1200000000003"/>
    <s v="UPI"/>
    <x v="2"/>
  </r>
  <r>
    <n v="160"/>
    <x v="159"/>
    <n v="19"/>
    <s v="2023-04-04"/>
    <n v="2023"/>
    <x v="3"/>
    <n v="2"/>
    <n v="262.97000000000003"/>
    <n v="0"/>
    <n v="525.94000000000005"/>
    <s v="Debit Card"/>
    <x v="3"/>
  </r>
  <r>
    <n v="161"/>
    <x v="160"/>
    <n v="40"/>
    <s v="2024-05-02"/>
    <n v="2024"/>
    <x v="0"/>
    <n v="2"/>
    <n v="316.49"/>
    <n v="5"/>
    <n v="601.33100000000002"/>
    <s v="Credit Card"/>
    <x v="1"/>
  </r>
  <r>
    <n v="162"/>
    <x v="161"/>
    <n v="79"/>
    <s v="2024-05-07"/>
    <n v="2024"/>
    <x v="0"/>
    <n v="2"/>
    <n v="488.34"/>
    <n v="5"/>
    <n v="927.84599999999989"/>
    <s v="Credit Card"/>
    <x v="2"/>
  </r>
  <r>
    <n v="163"/>
    <x v="162"/>
    <n v="8"/>
    <s v="2023-06-02"/>
    <n v="2023"/>
    <x v="4"/>
    <n v="2"/>
    <n v="155.08000000000001"/>
    <n v="0"/>
    <n v="310.16000000000003"/>
    <s v="UPI"/>
    <x v="0"/>
  </r>
  <r>
    <n v="164"/>
    <x v="163"/>
    <n v="19"/>
    <s v="2023-07-31"/>
    <n v="2023"/>
    <x v="7"/>
    <n v="2"/>
    <n v="262.97000000000003"/>
    <n v="10"/>
    <n v="473.34600000000006"/>
    <s v="COD"/>
    <x v="3"/>
  </r>
  <r>
    <n v="165"/>
    <x v="164"/>
    <n v="16"/>
    <s v="2023-01-27"/>
    <n v="2023"/>
    <x v="5"/>
    <n v="1"/>
    <n v="693.02"/>
    <n v="5"/>
    <n v="658.36899999999991"/>
    <s v="Wallet"/>
    <x v="1"/>
  </r>
  <r>
    <n v="166"/>
    <x v="165"/>
    <n v="76"/>
    <s v="2023-05-02"/>
    <n v="2023"/>
    <x v="0"/>
    <n v="2"/>
    <n v="1043.26"/>
    <n v="20"/>
    <n v="1669.2160000000001"/>
    <s v="Wallet"/>
    <x v="0"/>
  </r>
  <r>
    <n v="167"/>
    <x v="166"/>
    <n v="50"/>
    <s v="2024-05-01"/>
    <n v="2024"/>
    <x v="0"/>
    <n v="1"/>
    <n v="1122.8699999999999"/>
    <n v="10"/>
    <n v="1010.583"/>
    <s v="Credit Card"/>
    <x v="1"/>
  </r>
  <r>
    <n v="168"/>
    <x v="167"/>
    <n v="41"/>
    <s v="2023-08-26"/>
    <n v="2023"/>
    <x v="6"/>
    <n v="3"/>
    <n v="554.80999999999995"/>
    <n v="15"/>
    <n v="1414.7654999999997"/>
    <s v="Credit Card"/>
    <x v="1"/>
  </r>
  <r>
    <n v="169"/>
    <x v="168"/>
    <n v="62"/>
    <s v="2023-01-15"/>
    <n v="2023"/>
    <x v="5"/>
    <n v="2"/>
    <n v="196.96"/>
    <n v="5"/>
    <n v="374.22399999999999"/>
    <s v="Credit Card"/>
    <x v="2"/>
  </r>
  <r>
    <n v="170"/>
    <x v="169"/>
    <n v="35"/>
    <s v="2023-10-11"/>
    <n v="2023"/>
    <x v="10"/>
    <n v="3"/>
    <n v="958.87"/>
    <n v="0"/>
    <n v="2876.61"/>
    <s v="Debit Card"/>
    <x v="0"/>
  </r>
  <r>
    <n v="171"/>
    <x v="170"/>
    <n v="72"/>
    <s v="2023-11-30"/>
    <n v="2023"/>
    <x v="11"/>
    <n v="1"/>
    <n v="1157.27"/>
    <n v="10"/>
    <n v="1041.5430000000001"/>
    <s v="Wallet"/>
    <x v="2"/>
  </r>
  <r>
    <n v="172"/>
    <x v="171"/>
    <n v="53"/>
    <s v="2023-08-17"/>
    <n v="2023"/>
    <x v="6"/>
    <n v="1"/>
    <n v="194.34"/>
    <n v="20"/>
    <n v="155.47200000000001"/>
    <s v="Debit Card"/>
    <x v="1"/>
  </r>
  <r>
    <n v="173"/>
    <x v="172"/>
    <n v="19"/>
    <s v="2023-07-11"/>
    <n v="2023"/>
    <x v="7"/>
    <n v="3"/>
    <n v="262.97000000000003"/>
    <n v="5"/>
    <n v="749.46450000000004"/>
    <s v="Debit Card"/>
    <x v="3"/>
  </r>
  <r>
    <n v="174"/>
    <x v="173"/>
    <n v="69"/>
    <s v="2024-05-02"/>
    <n v="2024"/>
    <x v="0"/>
    <n v="2"/>
    <n v="951.81"/>
    <n v="20"/>
    <n v="1522.896"/>
    <s v="COD"/>
    <x v="0"/>
  </r>
  <r>
    <n v="175"/>
    <x v="174"/>
    <n v="6"/>
    <s v="2023-01-01"/>
    <n v="2023"/>
    <x v="5"/>
    <n v="2"/>
    <n v="719.19"/>
    <n v="20"/>
    <n v="1150.7040000000002"/>
    <s v="UPI"/>
    <x v="0"/>
  </r>
  <r>
    <n v="176"/>
    <x v="175"/>
    <n v="22"/>
    <s v="2023-01-01"/>
    <n v="2023"/>
    <x v="5"/>
    <n v="1"/>
    <n v="373.43"/>
    <n v="15"/>
    <n v="317.41550000000001"/>
    <s v="UPI"/>
    <x v="3"/>
  </r>
  <r>
    <n v="177"/>
    <x v="176"/>
    <n v="77"/>
    <s v="2023-05-09"/>
    <n v="2023"/>
    <x v="0"/>
    <n v="3"/>
    <n v="1078.19"/>
    <n v="15"/>
    <n v="2749.3845000000001"/>
    <s v="UPI"/>
    <x v="1"/>
  </r>
  <r>
    <n v="178"/>
    <x v="177"/>
    <n v="28"/>
    <s v="2023-10-27"/>
    <n v="2023"/>
    <x v="10"/>
    <n v="3"/>
    <n v="494.39"/>
    <n v="10"/>
    <n v="1334.8530000000001"/>
    <s v="Credit Card"/>
    <x v="3"/>
  </r>
  <r>
    <n v="179"/>
    <x v="178"/>
    <n v="21"/>
    <s v="2024-01-14"/>
    <n v="2024"/>
    <x v="5"/>
    <n v="3"/>
    <n v="420.66"/>
    <n v="20"/>
    <n v="1009.5840000000001"/>
    <s v="Credit Card"/>
    <x v="3"/>
  </r>
  <r>
    <n v="180"/>
    <x v="179"/>
    <n v="39"/>
    <s v="2023-02-15"/>
    <n v="2023"/>
    <x v="9"/>
    <n v="2"/>
    <n v="256.08999999999997"/>
    <n v="0"/>
    <n v="512.17999999999995"/>
    <s v="Debit Card"/>
    <x v="0"/>
  </r>
  <r>
    <n v="181"/>
    <x v="180"/>
    <n v="72"/>
    <s v="2023-05-24"/>
    <n v="2023"/>
    <x v="0"/>
    <n v="2"/>
    <n v="1157.27"/>
    <n v="5"/>
    <n v="2198.8129999999996"/>
    <s v="Wallet"/>
    <x v="2"/>
  </r>
  <r>
    <n v="182"/>
    <x v="181"/>
    <n v="65"/>
    <s v="2024-05-05"/>
    <n v="2024"/>
    <x v="0"/>
    <n v="2"/>
    <n v="1189.73"/>
    <n v="10"/>
    <n v="2141.5140000000001"/>
    <s v="UPI"/>
    <x v="1"/>
  </r>
  <r>
    <n v="183"/>
    <x v="182"/>
    <n v="58"/>
    <s v="2023-05-20"/>
    <n v="2023"/>
    <x v="0"/>
    <n v="1"/>
    <n v="334.98"/>
    <n v="10"/>
    <n v="301.48200000000003"/>
    <s v="UPI"/>
    <x v="1"/>
  </r>
  <r>
    <n v="184"/>
    <x v="183"/>
    <n v="27"/>
    <s v="2023-08-24"/>
    <n v="2023"/>
    <x v="6"/>
    <n v="3"/>
    <n v="76.09"/>
    <n v="10"/>
    <n v="205.44300000000001"/>
    <s v="Credit Card"/>
    <x v="0"/>
  </r>
  <r>
    <n v="185"/>
    <x v="184"/>
    <n v="18"/>
    <s v="2023-11-27"/>
    <n v="2023"/>
    <x v="11"/>
    <n v="1"/>
    <n v="138.07"/>
    <n v="20"/>
    <n v="110.456"/>
    <s v="COD"/>
    <x v="1"/>
  </r>
  <r>
    <n v="186"/>
    <x v="185"/>
    <n v="1"/>
    <s v="2024-04-06"/>
    <n v="2024"/>
    <x v="3"/>
    <n v="1"/>
    <n v="469.08"/>
    <n v="5"/>
    <n v="445.62599999999998"/>
    <s v="COD"/>
    <x v="0"/>
  </r>
  <r>
    <n v="187"/>
    <x v="186"/>
    <n v="72"/>
    <s v="2024-04-03"/>
    <n v="2024"/>
    <x v="3"/>
    <n v="3"/>
    <n v="1157.27"/>
    <n v="15"/>
    <n v="2951.0384999999997"/>
    <s v="COD"/>
    <x v="2"/>
  </r>
  <r>
    <n v="188"/>
    <x v="187"/>
    <n v="69"/>
    <s v="2023-02-11"/>
    <n v="2023"/>
    <x v="9"/>
    <n v="3"/>
    <n v="951.81"/>
    <n v="0"/>
    <n v="2855.43"/>
    <s v="Wallet"/>
    <x v="0"/>
  </r>
  <r>
    <n v="189"/>
    <x v="188"/>
    <n v="4"/>
    <s v="2024-04-01"/>
    <n v="2024"/>
    <x v="3"/>
    <n v="3"/>
    <n v="800.26"/>
    <n v="15"/>
    <n v="2040.6629999999998"/>
    <s v="Credit Card"/>
    <x v="2"/>
  </r>
  <r>
    <n v="190"/>
    <x v="189"/>
    <n v="46"/>
    <s v="2024-05-12"/>
    <n v="2024"/>
    <x v="0"/>
    <n v="2"/>
    <n v="1155.3"/>
    <n v="20"/>
    <n v="1848.48"/>
    <s v="UPI"/>
    <x v="3"/>
  </r>
  <r>
    <n v="191"/>
    <x v="190"/>
    <n v="50"/>
    <s v="2023-04-01"/>
    <n v="2023"/>
    <x v="3"/>
    <n v="3"/>
    <n v="1122.8699999999999"/>
    <n v="0"/>
    <n v="3368.6099999999997"/>
    <s v="Credit Card"/>
    <x v="1"/>
  </r>
  <r>
    <n v="192"/>
    <x v="191"/>
    <n v="60"/>
    <s v="2023-07-09"/>
    <n v="2023"/>
    <x v="7"/>
    <n v="1"/>
    <n v="830.49"/>
    <n v="15"/>
    <n v="705.91650000000004"/>
    <s v="Credit Card"/>
    <x v="0"/>
  </r>
  <r>
    <n v="193"/>
    <x v="192"/>
    <n v="29"/>
    <s v="2024-01-16"/>
    <n v="2024"/>
    <x v="5"/>
    <n v="1"/>
    <n v="757"/>
    <n v="10"/>
    <n v="681.30000000000007"/>
    <s v="UPI"/>
    <x v="0"/>
  </r>
  <r>
    <n v="194"/>
    <x v="193"/>
    <n v="25"/>
    <s v="2023-02-16"/>
    <n v="2023"/>
    <x v="9"/>
    <n v="3"/>
    <n v="1011.65"/>
    <n v="10"/>
    <n v="2731.4549999999999"/>
    <s v="Debit Card"/>
    <x v="2"/>
  </r>
  <r>
    <n v="195"/>
    <x v="194"/>
    <n v="30"/>
    <s v="2023-09-10"/>
    <n v="2023"/>
    <x v="8"/>
    <n v="2"/>
    <n v="866.89"/>
    <n v="0"/>
    <n v="1733.78"/>
    <s v="UPI"/>
    <x v="2"/>
  </r>
  <r>
    <n v="196"/>
    <x v="195"/>
    <n v="64"/>
    <s v="2024-04-08"/>
    <n v="2024"/>
    <x v="3"/>
    <n v="3"/>
    <n v="567.71"/>
    <n v="20"/>
    <n v="1362.5040000000001"/>
    <s v="Debit Card"/>
    <x v="0"/>
  </r>
  <r>
    <n v="197"/>
    <x v="196"/>
    <n v="1"/>
    <s v="2023-04-11"/>
    <n v="2023"/>
    <x v="3"/>
    <n v="3"/>
    <n v="469.08"/>
    <n v="15"/>
    <n v="1196.154"/>
    <s v="Credit Card"/>
    <x v="0"/>
  </r>
  <r>
    <n v="198"/>
    <x v="197"/>
    <n v="36"/>
    <s v="2023-10-19"/>
    <n v="2023"/>
    <x v="10"/>
    <n v="3"/>
    <n v="992.01"/>
    <n v="15"/>
    <n v="2529.6254999999996"/>
    <s v="Debit Card"/>
    <x v="3"/>
  </r>
  <r>
    <n v="199"/>
    <x v="198"/>
    <n v="71"/>
    <s v="2023-04-10"/>
    <n v="2023"/>
    <x v="3"/>
    <n v="3"/>
    <n v="780.27"/>
    <n v="20"/>
    <n v="1872.6480000000001"/>
    <s v="Wallet"/>
    <x v="2"/>
  </r>
  <r>
    <n v="200"/>
    <x v="199"/>
    <n v="73"/>
    <s v="2023-03-31"/>
    <n v="2023"/>
    <x v="1"/>
    <n v="1"/>
    <n v="943.04"/>
    <n v="20"/>
    <n v="754.43200000000002"/>
    <s v="Debit Card"/>
    <x v="1"/>
  </r>
  <r>
    <n v="201"/>
    <x v="200"/>
    <n v="9"/>
    <s v="2023-03-07"/>
    <n v="2023"/>
    <x v="1"/>
    <n v="2"/>
    <n v="43.26"/>
    <n v="20"/>
    <n v="69.215999999999994"/>
    <s v="Debit Card"/>
    <x v="2"/>
  </r>
  <r>
    <n v="202"/>
    <x v="201"/>
    <n v="67"/>
    <s v="2024-01-09"/>
    <n v="2024"/>
    <x v="5"/>
    <n v="2"/>
    <n v="258.35000000000002"/>
    <n v="5"/>
    <n v="490.86500000000001"/>
    <s v="Credit Card"/>
    <x v="2"/>
  </r>
  <r>
    <n v="203"/>
    <x v="202"/>
    <n v="69"/>
    <s v="2023-11-11"/>
    <n v="2023"/>
    <x v="11"/>
    <n v="2"/>
    <n v="951.81"/>
    <n v="20"/>
    <n v="1522.896"/>
    <s v="COD"/>
    <x v="0"/>
  </r>
  <r>
    <n v="204"/>
    <x v="203"/>
    <n v="1"/>
    <s v="2024-04-25"/>
    <n v="2024"/>
    <x v="3"/>
    <n v="2"/>
    <n v="469.08"/>
    <n v="0"/>
    <n v="938.16"/>
    <s v="UPI"/>
    <x v="0"/>
  </r>
  <r>
    <n v="205"/>
    <x v="204"/>
    <n v="56"/>
    <s v="2024-03-08"/>
    <n v="2024"/>
    <x v="1"/>
    <n v="2"/>
    <n v="396.01"/>
    <n v="10"/>
    <n v="712.81799999999998"/>
    <s v="Credit Card"/>
    <x v="1"/>
  </r>
  <r>
    <n v="206"/>
    <x v="205"/>
    <n v="67"/>
    <s v="2023-08-27"/>
    <n v="2023"/>
    <x v="6"/>
    <n v="2"/>
    <n v="258.35000000000002"/>
    <n v="10"/>
    <n v="465.03000000000003"/>
    <s v="Wallet"/>
    <x v="2"/>
  </r>
  <r>
    <n v="207"/>
    <x v="206"/>
    <n v="6"/>
    <s v="2024-03-28"/>
    <n v="2024"/>
    <x v="1"/>
    <n v="3"/>
    <n v="719.19"/>
    <n v="5"/>
    <n v="2049.6914999999999"/>
    <s v="Credit Card"/>
    <x v="0"/>
  </r>
  <r>
    <n v="208"/>
    <x v="207"/>
    <n v="36"/>
    <s v="2024-04-15"/>
    <n v="2024"/>
    <x v="3"/>
    <n v="2"/>
    <n v="992.01"/>
    <n v="20"/>
    <n v="1587.2160000000001"/>
    <s v="COD"/>
    <x v="3"/>
  </r>
  <r>
    <n v="209"/>
    <x v="208"/>
    <n v="41"/>
    <s v="2023-01-03"/>
    <n v="2023"/>
    <x v="5"/>
    <n v="2"/>
    <n v="554.80999999999995"/>
    <n v="5"/>
    <n v="1054.1389999999999"/>
    <s v="UPI"/>
    <x v="1"/>
  </r>
  <r>
    <n v="210"/>
    <x v="209"/>
    <n v="11"/>
    <s v="2024-03-26"/>
    <n v="2024"/>
    <x v="1"/>
    <n v="3"/>
    <n v="1038.77"/>
    <n v="0"/>
    <n v="3116.31"/>
    <s v="Debit Card"/>
    <x v="3"/>
  </r>
  <r>
    <n v="211"/>
    <x v="210"/>
    <n v="55"/>
    <s v="2024-05-05"/>
    <n v="2024"/>
    <x v="0"/>
    <n v="1"/>
    <n v="1016.06"/>
    <n v="5"/>
    <n v="965.25699999999995"/>
    <s v="Debit Card"/>
    <x v="0"/>
  </r>
  <r>
    <n v="212"/>
    <x v="211"/>
    <n v="22"/>
    <s v="2023-06-18"/>
    <n v="2023"/>
    <x v="4"/>
    <n v="2"/>
    <n v="373.43"/>
    <n v="0"/>
    <n v="746.86"/>
    <s v="Credit Card"/>
    <x v="3"/>
  </r>
  <r>
    <n v="213"/>
    <x v="212"/>
    <n v="4"/>
    <s v="2023-09-03"/>
    <n v="2023"/>
    <x v="8"/>
    <n v="2"/>
    <n v="800.26"/>
    <n v="0"/>
    <n v="1600.52"/>
    <s v="Wallet"/>
    <x v="2"/>
  </r>
  <r>
    <n v="214"/>
    <x v="213"/>
    <n v="43"/>
    <s v="2024-03-06"/>
    <n v="2024"/>
    <x v="1"/>
    <n v="2"/>
    <n v="760.86"/>
    <n v="5"/>
    <n v="1445.634"/>
    <s v="Credit Card"/>
    <x v="2"/>
  </r>
  <r>
    <n v="215"/>
    <x v="214"/>
    <n v="61"/>
    <s v="2023-05-03"/>
    <n v="2023"/>
    <x v="0"/>
    <n v="2"/>
    <n v="498.92"/>
    <n v="0"/>
    <n v="997.84"/>
    <s v="UPI"/>
    <x v="0"/>
  </r>
  <r>
    <n v="216"/>
    <x v="215"/>
    <n v="67"/>
    <s v="2024-02-11"/>
    <n v="2024"/>
    <x v="9"/>
    <n v="1"/>
    <n v="258.35000000000002"/>
    <n v="0"/>
    <n v="258.35000000000002"/>
    <s v="Wallet"/>
    <x v="2"/>
  </r>
  <r>
    <n v="217"/>
    <x v="216"/>
    <n v="80"/>
    <s v="2023-08-13"/>
    <n v="2023"/>
    <x v="6"/>
    <n v="1"/>
    <n v="1014.45"/>
    <n v="15"/>
    <n v="862.28250000000003"/>
    <s v="Wallet"/>
    <x v="3"/>
  </r>
  <r>
    <n v="218"/>
    <x v="217"/>
    <n v="16"/>
    <s v="2023-02-13"/>
    <n v="2023"/>
    <x v="9"/>
    <n v="1"/>
    <n v="693.02"/>
    <n v="0"/>
    <n v="693.02"/>
    <s v="COD"/>
    <x v="1"/>
  </r>
  <r>
    <n v="219"/>
    <x v="218"/>
    <n v="41"/>
    <s v="2024-03-31"/>
    <n v="2024"/>
    <x v="1"/>
    <n v="3"/>
    <n v="554.80999999999995"/>
    <n v="0"/>
    <n v="1664.4299999999998"/>
    <s v="Debit Card"/>
    <x v="1"/>
  </r>
  <r>
    <n v="220"/>
    <x v="219"/>
    <n v="8"/>
    <s v="2024-04-15"/>
    <n v="2024"/>
    <x v="3"/>
    <n v="2"/>
    <n v="155.08000000000001"/>
    <n v="0"/>
    <n v="310.16000000000003"/>
    <s v="UPI"/>
    <x v="0"/>
  </r>
  <r>
    <n v="221"/>
    <x v="220"/>
    <n v="79"/>
    <s v="2023-11-17"/>
    <n v="2023"/>
    <x v="11"/>
    <n v="2"/>
    <n v="488.34"/>
    <n v="0"/>
    <n v="976.68"/>
    <s v="Credit Card"/>
    <x v="2"/>
  </r>
  <r>
    <n v="222"/>
    <x v="221"/>
    <n v="8"/>
    <s v="2023-10-14"/>
    <n v="2023"/>
    <x v="10"/>
    <n v="1"/>
    <n v="155.08000000000001"/>
    <n v="10"/>
    <n v="139.572"/>
    <s v="COD"/>
    <x v="0"/>
  </r>
  <r>
    <n v="223"/>
    <x v="222"/>
    <n v="52"/>
    <s v="2023-02-19"/>
    <n v="2023"/>
    <x v="9"/>
    <n v="3"/>
    <n v="256.76"/>
    <n v="15"/>
    <n v="654.73799999999994"/>
    <s v="Debit Card"/>
    <x v="1"/>
  </r>
  <r>
    <n v="224"/>
    <x v="223"/>
    <n v="77"/>
    <s v="2024-02-08"/>
    <n v="2024"/>
    <x v="9"/>
    <n v="3"/>
    <n v="1078.19"/>
    <n v="20"/>
    <n v="2587.6560000000004"/>
    <s v="Credit Card"/>
    <x v="1"/>
  </r>
  <r>
    <n v="225"/>
    <x v="224"/>
    <n v="59"/>
    <s v="2023-07-16"/>
    <n v="2023"/>
    <x v="7"/>
    <n v="2"/>
    <n v="782.33"/>
    <n v="15"/>
    <n v="1329.961"/>
    <s v="Wallet"/>
    <x v="0"/>
  </r>
  <r>
    <n v="226"/>
    <x v="225"/>
    <n v="80"/>
    <s v="2023-02-21"/>
    <n v="2023"/>
    <x v="9"/>
    <n v="2"/>
    <n v="1014.45"/>
    <n v="0"/>
    <n v="2028.9"/>
    <s v="COD"/>
    <x v="3"/>
  </r>
  <r>
    <n v="227"/>
    <x v="226"/>
    <n v="67"/>
    <s v="2023-06-18"/>
    <n v="2023"/>
    <x v="4"/>
    <n v="3"/>
    <n v="258.35000000000002"/>
    <n v="5"/>
    <n v="736.29750000000001"/>
    <s v="Credit Card"/>
    <x v="2"/>
  </r>
  <r>
    <n v="228"/>
    <x v="227"/>
    <n v="14"/>
    <s v="2023-01-07"/>
    <n v="2023"/>
    <x v="5"/>
    <n v="3"/>
    <n v="574.25"/>
    <n v="0"/>
    <n v="1722.75"/>
    <s v="Wallet"/>
    <x v="3"/>
  </r>
  <r>
    <n v="229"/>
    <x v="228"/>
    <n v="25"/>
    <s v="2024-04-08"/>
    <n v="2024"/>
    <x v="3"/>
    <n v="3"/>
    <n v="1011.65"/>
    <n v="5"/>
    <n v="2883.2024999999999"/>
    <s v="Wallet"/>
    <x v="2"/>
  </r>
  <r>
    <n v="230"/>
    <x v="229"/>
    <n v="33"/>
    <s v="2023-07-01"/>
    <n v="2023"/>
    <x v="7"/>
    <n v="2"/>
    <n v="965.4"/>
    <n v="15"/>
    <n v="1641.1799999999998"/>
    <s v="Wallet"/>
    <x v="3"/>
  </r>
  <r>
    <n v="231"/>
    <x v="230"/>
    <n v="57"/>
    <s v="2023-04-06"/>
    <n v="2023"/>
    <x v="3"/>
    <n v="1"/>
    <n v="768.03"/>
    <n v="5"/>
    <n v="729.62849999999992"/>
    <s v="Credit Card"/>
    <x v="2"/>
  </r>
  <r>
    <n v="232"/>
    <x v="231"/>
    <n v="8"/>
    <s v="2023-03-07"/>
    <n v="2023"/>
    <x v="1"/>
    <n v="2"/>
    <n v="155.08000000000001"/>
    <n v="20"/>
    <n v="248.12800000000004"/>
    <s v="COD"/>
    <x v="0"/>
  </r>
  <r>
    <n v="233"/>
    <x v="232"/>
    <n v="66"/>
    <s v="2024-05-06"/>
    <n v="2024"/>
    <x v="0"/>
    <n v="3"/>
    <n v="783.37"/>
    <n v="10"/>
    <n v="2115.0990000000002"/>
    <s v="UPI"/>
    <x v="1"/>
  </r>
  <r>
    <n v="234"/>
    <x v="233"/>
    <n v="75"/>
    <s v="2024-03-29"/>
    <n v="2024"/>
    <x v="1"/>
    <n v="3"/>
    <n v="390.41"/>
    <n v="5"/>
    <n v="1112.6685"/>
    <s v="Debit Card"/>
    <x v="2"/>
  </r>
  <r>
    <n v="235"/>
    <x v="234"/>
    <n v="61"/>
    <s v="2023-06-08"/>
    <n v="2023"/>
    <x v="4"/>
    <n v="3"/>
    <n v="498.92"/>
    <n v="10"/>
    <n v="1347.0840000000001"/>
    <s v="UPI"/>
    <x v="0"/>
  </r>
  <r>
    <n v="236"/>
    <x v="235"/>
    <n v="48"/>
    <s v="2024-05-11"/>
    <n v="2024"/>
    <x v="0"/>
    <n v="1"/>
    <n v="1125.8499999999999"/>
    <n v="20"/>
    <n v="900.68"/>
    <s v="Wallet"/>
    <x v="0"/>
  </r>
  <r>
    <n v="237"/>
    <x v="236"/>
    <n v="19"/>
    <s v="2023-01-30"/>
    <n v="2023"/>
    <x v="5"/>
    <n v="1"/>
    <n v="262.97000000000003"/>
    <n v="20"/>
    <n v="210.37600000000003"/>
    <s v="Wallet"/>
    <x v="3"/>
  </r>
  <r>
    <n v="238"/>
    <x v="237"/>
    <n v="7"/>
    <s v="2023-08-05"/>
    <n v="2023"/>
    <x v="6"/>
    <n v="2"/>
    <n v="97.29"/>
    <n v="5"/>
    <n v="184.851"/>
    <s v="Debit Card"/>
    <x v="3"/>
  </r>
  <r>
    <n v="239"/>
    <x v="238"/>
    <n v="26"/>
    <s v="2024-02-07"/>
    <n v="2024"/>
    <x v="9"/>
    <n v="1"/>
    <n v="272.61"/>
    <n v="10"/>
    <n v="245.34900000000002"/>
    <s v="Debit Card"/>
    <x v="1"/>
  </r>
  <r>
    <n v="240"/>
    <x v="239"/>
    <n v="61"/>
    <s v="2023-12-22"/>
    <n v="2023"/>
    <x v="2"/>
    <n v="3"/>
    <n v="498.92"/>
    <n v="15"/>
    <n v="1272.2459999999999"/>
    <s v="Wallet"/>
    <x v="0"/>
  </r>
  <r>
    <n v="241"/>
    <x v="240"/>
    <n v="43"/>
    <s v="2024-03-12"/>
    <n v="2024"/>
    <x v="1"/>
    <n v="3"/>
    <n v="760.86"/>
    <n v="20"/>
    <n v="1826.0640000000001"/>
    <s v="UPI"/>
    <x v="2"/>
  </r>
  <r>
    <n v="242"/>
    <x v="241"/>
    <n v="79"/>
    <s v="2023-06-03"/>
    <n v="2023"/>
    <x v="4"/>
    <n v="2"/>
    <n v="488.34"/>
    <n v="10"/>
    <n v="879.01199999999994"/>
    <s v="Debit Card"/>
    <x v="2"/>
  </r>
  <r>
    <n v="243"/>
    <x v="242"/>
    <n v="14"/>
    <s v="2023-08-21"/>
    <n v="2023"/>
    <x v="6"/>
    <n v="1"/>
    <n v="574.25"/>
    <n v="15"/>
    <n v="488.11250000000001"/>
    <s v="Debit Card"/>
    <x v="3"/>
  </r>
  <r>
    <n v="244"/>
    <x v="243"/>
    <n v="1"/>
    <s v="2023-11-24"/>
    <n v="2023"/>
    <x v="11"/>
    <n v="1"/>
    <n v="469.08"/>
    <n v="5"/>
    <n v="445.62599999999998"/>
    <s v="COD"/>
    <x v="0"/>
  </r>
  <r>
    <n v="245"/>
    <x v="244"/>
    <n v="80"/>
    <s v="2023-04-20"/>
    <n v="2023"/>
    <x v="3"/>
    <n v="1"/>
    <n v="1014.45"/>
    <n v="15"/>
    <n v="862.28250000000003"/>
    <s v="UPI"/>
    <x v="3"/>
  </r>
  <r>
    <n v="246"/>
    <x v="245"/>
    <n v="49"/>
    <s v="2023-04-16"/>
    <n v="2023"/>
    <x v="3"/>
    <n v="2"/>
    <n v="974.54"/>
    <n v="5"/>
    <n v="1851.6259999999997"/>
    <s v="Credit Card"/>
    <x v="1"/>
  </r>
  <r>
    <n v="247"/>
    <x v="246"/>
    <n v="47"/>
    <s v="2023-01-06"/>
    <n v="2023"/>
    <x v="5"/>
    <n v="1"/>
    <n v="1126.96"/>
    <n v="10"/>
    <n v="1014.264"/>
    <s v="Credit Card"/>
    <x v="3"/>
  </r>
  <r>
    <n v="248"/>
    <x v="247"/>
    <n v="72"/>
    <s v="2023-02-28"/>
    <n v="2023"/>
    <x v="9"/>
    <n v="1"/>
    <n v="1157.27"/>
    <n v="10"/>
    <n v="1041.5430000000001"/>
    <s v="COD"/>
    <x v="2"/>
  </r>
  <r>
    <n v="249"/>
    <x v="248"/>
    <n v="25"/>
    <s v="2023-11-20"/>
    <n v="2023"/>
    <x v="11"/>
    <n v="3"/>
    <n v="1011.65"/>
    <n v="10"/>
    <n v="2731.4549999999999"/>
    <s v="Credit Card"/>
    <x v="2"/>
  </r>
  <r>
    <n v="250"/>
    <x v="249"/>
    <n v="4"/>
    <s v="2023-04-12"/>
    <n v="2023"/>
    <x v="3"/>
    <n v="1"/>
    <n v="800.26"/>
    <n v="10"/>
    <n v="720.23400000000004"/>
    <s v="Debit Card"/>
    <x v="2"/>
  </r>
  <r>
    <n v="251"/>
    <x v="250"/>
    <n v="29"/>
    <s v="2024-03-29"/>
    <n v="2024"/>
    <x v="1"/>
    <n v="2"/>
    <n v="757"/>
    <n v="5"/>
    <n v="1438.3"/>
    <s v="UPI"/>
    <x v="0"/>
  </r>
  <r>
    <n v="252"/>
    <x v="251"/>
    <n v="71"/>
    <s v="2023-05-06"/>
    <n v="2023"/>
    <x v="0"/>
    <n v="1"/>
    <n v="780.27"/>
    <n v="5"/>
    <n v="741.25649999999996"/>
    <s v="Credit Card"/>
    <x v="2"/>
  </r>
  <r>
    <n v="253"/>
    <x v="252"/>
    <n v="23"/>
    <s v="2024-03-07"/>
    <n v="2024"/>
    <x v="1"/>
    <n v="2"/>
    <n v="258.08"/>
    <n v="0"/>
    <n v="516.16"/>
    <s v="Credit Card"/>
    <x v="1"/>
  </r>
  <r>
    <n v="254"/>
    <x v="253"/>
    <n v="18"/>
    <s v="2023-07-14"/>
    <n v="2023"/>
    <x v="7"/>
    <n v="3"/>
    <n v="138.07"/>
    <n v="0"/>
    <n v="414.21"/>
    <s v="UPI"/>
    <x v="1"/>
  </r>
  <r>
    <n v="255"/>
    <x v="254"/>
    <n v="27"/>
    <s v="2023-06-06"/>
    <n v="2023"/>
    <x v="4"/>
    <n v="2"/>
    <n v="76.09"/>
    <n v="5"/>
    <n v="144.571"/>
    <s v="UPI"/>
    <x v="0"/>
  </r>
  <r>
    <n v="256"/>
    <x v="255"/>
    <n v="48"/>
    <s v="2023-12-05"/>
    <n v="2023"/>
    <x v="2"/>
    <n v="1"/>
    <n v="1125.8499999999999"/>
    <n v="20"/>
    <n v="900.68"/>
    <s v="Wallet"/>
    <x v="0"/>
  </r>
  <r>
    <n v="257"/>
    <x v="256"/>
    <n v="56"/>
    <s v="2024-03-25"/>
    <n v="2024"/>
    <x v="1"/>
    <n v="3"/>
    <n v="396.01"/>
    <n v="0"/>
    <n v="1188.03"/>
    <s v="Credit Card"/>
    <x v="1"/>
  </r>
  <r>
    <n v="258"/>
    <x v="257"/>
    <n v="19"/>
    <s v="2024-03-27"/>
    <n v="2024"/>
    <x v="1"/>
    <n v="1"/>
    <n v="262.97000000000003"/>
    <n v="5"/>
    <n v="249.82150000000001"/>
    <s v="Debit Card"/>
    <x v="3"/>
  </r>
  <r>
    <n v="259"/>
    <x v="258"/>
    <n v="69"/>
    <s v="2023-07-13"/>
    <n v="2023"/>
    <x v="7"/>
    <n v="3"/>
    <n v="951.81"/>
    <n v="10"/>
    <n v="2569.8869999999997"/>
    <s v="UPI"/>
    <x v="0"/>
  </r>
  <r>
    <n v="260"/>
    <x v="259"/>
    <n v="77"/>
    <s v="2023-08-08"/>
    <n v="2023"/>
    <x v="6"/>
    <n v="3"/>
    <n v="1078.19"/>
    <n v="5"/>
    <n v="3072.8415"/>
    <s v="Credit Card"/>
    <x v="1"/>
  </r>
  <r>
    <n v="261"/>
    <x v="260"/>
    <n v="79"/>
    <s v="2023-10-28"/>
    <n v="2023"/>
    <x v="10"/>
    <n v="1"/>
    <n v="488.34"/>
    <n v="20"/>
    <n v="390.67200000000003"/>
    <s v="UPI"/>
    <x v="2"/>
  </r>
  <r>
    <n v="262"/>
    <x v="261"/>
    <n v="20"/>
    <s v="2023-06-17"/>
    <n v="2023"/>
    <x v="4"/>
    <n v="1"/>
    <n v="613.27"/>
    <n v="0"/>
    <n v="613.27"/>
    <s v="UPI"/>
    <x v="1"/>
  </r>
  <r>
    <n v="263"/>
    <x v="262"/>
    <n v="17"/>
    <s v="2024-03-11"/>
    <n v="2024"/>
    <x v="1"/>
    <n v="3"/>
    <n v="695.6"/>
    <n v="20"/>
    <n v="1669.4400000000003"/>
    <s v="COD"/>
    <x v="0"/>
  </r>
  <r>
    <n v="264"/>
    <x v="263"/>
    <n v="27"/>
    <s v="2024-01-08"/>
    <n v="2024"/>
    <x v="5"/>
    <n v="1"/>
    <n v="76.09"/>
    <n v="15"/>
    <n v="64.676500000000004"/>
    <s v="Wallet"/>
    <x v="0"/>
  </r>
  <r>
    <n v="265"/>
    <x v="264"/>
    <n v="9"/>
    <s v="2023-03-27"/>
    <n v="2023"/>
    <x v="1"/>
    <n v="3"/>
    <n v="43.26"/>
    <n v="15"/>
    <n v="110.313"/>
    <s v="Wallet"/>
    <x v="2"/>
  </r>
  <r>
    <n v="266"/>
    <x v="265"/>
    <n v="48"/>
    <s v="2023-09-13"/>
    <n v="2023"/>
    <x v="8"/>
    <n v="3"/>
    <n v="1125.8499999999999"/>
    <n v="15"/>
    <n v="2870.9174999999996"/>
    <s v="Debit Card"/>
    <x v="0"/>
  </r>
  <r>
    <n v="267"/>
    <x v="266"/>
    <n v="42"/>
    <s v="2023-12-31"/>
    <n v="2023"/>
    <x v="2"/>
    <n v="2"/>
    <n v="233.11"/>
    <n v="20"/>
    <n v="372.97600000000006"/>
    <s v="COD"/>
    <x v="1"/>
  </r>
  <r>
    <n v="268"/>
    <x v="267"/>
    <n v="64"/>
    <s v="2023-08-31"/>
    <n v="2023"/>
    <x v="6"/>
    <n v="2"/>
    <n v="567.71"/>
    <n v="20"/>
    <n v="908.33600000000013"/>
    <s v="COD"/>
    <x v="0"/>
  </r>
  <r>
    <n v="269"/>
    <x v="268"/>
    <n v="75"/>
    <s v="2023-11-29"/>
    <n v="2023"/>
    <x v="11"/>
    <n v="1"/>
    <n v="390.41"/>
    <n v="5"/>
    <n v="370.8895"/>
    <s v="Debit Card"/>
    <x v="2"/>
  </r>
  <r>
    <n v="270"/>
    <x v="269"/>
    <n v="26"/>
    <s v="2023-08-20"/>
    <n v="2023"/>
    <x v="6"/>
    <n v="1"/>
    <n v="272.61"/>
    <n v="15"/>
    <n v="231.71850000000001"/>
    <s v="Debit Card"/>
    <x v="1"/>
  </r>
  <r>
    <n v="271"/>
    <x v="270"/>
    <n v="40"/>
    <s v="2023-08-06"/>
    <n v="2023"/>
    <x v="6"/>
    <n v="2"/>
    <n v="316.49"/>
    <n v="20"/>
    <n v="506.38400000000001"/>
    <s v="Debit Card"/>
    <x v="1"/>
  </r>
  <r>
    <n v="272"/>
    <x v="271"/>
    <n v="48"/>
    <s v="2023-05-11"/>
    <n v="2023"/>
    <x v="0"/>
    <n v="3"/>
    <n v="1125.8499999999999"/>
    <n v="0"/>
    <n v="3377.5499999999997"/>
    <s v="Debit Card"/>
    <x v="0"/>
  </r>
  <r>
    <n v="273"/>
    <x v="272"/>
    <n v="11"/>
    <s v="2023-06-01"/>
    <n v="2023"/>
    <x v="4"/>
    <n v="2"/>
    <n v="1038.77"/>
    <n v="20"/>
    <n v="1662.0320000000002"/>
    <s v="UPI"/>
    <x v="3"/>
  </r>
  <r>
    <n v="274"/>
    <x v="273"/>
    <n v="30"/>
    <s v="2023-10-26"/>
    <n v="2023"/>
    <x v="10"/>
    <n v="1"/>
    <n v="866.89"/>
    <n v="15"/>
    <n v="736.85649999999998"/>
    <s v="Wallet"/>
    <x v="2"/>
  </r>
  <r>
    <n v="275"/>
    <x v="274"/>
    <n v="80"/>
    <s v="2023-06-22"/>
    <n v="2023"/>
    <x v="4"/>
    <n v="2"/>
    <n v="1014.45"/>
    <n v="15"/>
    <n v="1724.5650000000001"/>
    <s v="COD"/>
    <x v="3"/>
  </r>
  <r>
    <n v="276"/>
    <x v="275"/>
    <n v="56"/>
    <s v="2023-07-29"/>
    <n v="2023"/>
    <x v="7"/>
    <n v="2"/>
    <n v="396.01"/>
    <n v="15"/>
    <n v="673.21699999999998"/>
    <s v="UPI"/>
    <x v="1"/>
  </r>
  <r>
    <n v="277"/>
    <x v="276"/>
    <n v="35"/>
    <s v="2023-07-15"/>
    <n v="2023"/>
    <x v="7"/>
    <n v="1"/>
    <n v="958.87"/>
    <n v="5"/>
    <n v="910.92649999999992"/>
    <s v="COD"/>
    <x v="0"/>
  </r>
  <r>
    <n v="278"/>
    <x v="277"/>
    <n v="30"/>
    <s v="2023-05-16"/>
    <n v="2023"/>
    <x v="0"/>
    <n v="3"/>
    <n v="866.89"/>
    <n v="0"/>
    <n v="2600.67"/>
    <s v="UPI"/>
    <x v="2"/>
  </r>
  <r>
    <n v="279"/>
    <x v="278"/>
    <n v="11"/>
    <s v="2023-05-31"/>
    <n v="2023"/>
    <x v="0"/>
    <n v="3"/>
    <n v="1038.77"/>
    <n v="20"/>
    <n v="2493.0480000000002"/>
    <s v="Wallet"/>
    <x v="3"/>
  </r>
  <r>
    <n v="280"/>
    <x v="279"/>
    <n v="11"/>
    <s v="2024-02-07"/>
    <n v="2024"/>
    <x v="9"/>
    <n v="2"/>
    <n v="1038.77"/>
    <n v="5"/>
    <n v="1973.6629999999998"/>
    <s v="Credit Card"/>
    <x v="3"/>
  </r>
  <r>
    <n v="281"/>
    <x v="280"/>
    <n v="16"/>
    <s v="2023-02-06"/>
    <n v="2023"/>
    <x v="9"/>
    <n v="2"/>
    <n v="693.02"/>
    <n v="0"/>
    <n v="1386.04"/>
    <s v="Wallet"/>
    <x v="1"/>
  </r>
  <r>
    <n v="282"/>
    <x v="281"/>
    <n v="26"/>
    <s v="2023-06-20"/>
    <n v="2023"/>
    <x v="4"/>
    <n v="1"/>
    <n v="272.61"/>
    <n v="10"/>
    <n v="245.34900000000002"/>
    <s v="UPI"/>
    <x v="1"/>
  </r>
  <r>
    <n v="283"/>
    <x v="282"/>
    <n v="39"/>
    <s v="2024-01-17"/>
    <n v="2024"/>
    <x v="5"/>
    <n v="3"/>
    <n v="256.08999999999997"/>
    <n v="10"/>
    <n v="691.44299999999998"/>
    <s v="Debit Card"/>
    <x v="0"/>
  </r>
  <r>
    <n v="284"/>
    <x v="283"/>
    <n v="78"/>
    <s v="2023-03-12"/>
    <n v="2023"/>
    <x v="1"/>
    <n v="3"/>
    <n v="795.77"/>
    <n v="20"/>
    <n v="1909.848"/>
    <s v="UPI"/>
    <x v="3"/>
  </r>
  <r>
    <n v="285"/>
    <x v="284"/>
    <n v="2"/>
    <s v="2024-01-30"/>
    <n v="2024"/>
    <x v="5"/>
    <n v="2"/>
    <n v="427.27"/>
    <n v="10"/>
    <n v="769.08600000000001"/>
    <s v="UPI"/>
    <x v="1"/>
  </r>
  <r>
    <n v="286"/>
    <x v="285"/>
    <n v="52"/>
    <s v="2024-04-29"/>
    <n v="2024"/>
    <x v="3"/>
    <n v="2"/>
    <n v="256.76"/>
    <n v="20"/>
    <n v="410.81600000000003"/>
    <s v="Credit Card"/>
    <x v="1"/>
  </r>
  <r>
    <n v="287"/>
    <x v="286"/>
    <n v="61"/>
    <s v="2023-12-01"/>
    <n v="2023"/>
    <x v="2"/>
    <n v="3"/>
    <n v="498.92"/>
    <n v="5"/>
    <n v="1421.922"/>
    <s v="COD"/>
    <x v="0"/>
  </r>
  <r>
    <n v="288"/>
    <x v="287"/>
    <n v="30"/>
    <s v="2023-04-27"/>
    <n v="2023"/>
    <x v="3"/>
    <n v="3"/>
    <n v="866.89"/>
    <n v="5"/>
    <n v="2470.6365000000001"/>
    <s v="COD"/>
    <x v="2"/>
  </r>
  <r>
    <n v="289"/>
    <x v="288"/>
    <n v="30"/>
    <s v="2023-09-22"/>
    <n v="2023"/>
    <x v="8"/>
    <n v="3"/>
    <n v="866.89"/>
    <n v="20"/>
    <n v="2080.5360000000001"/>
    <s v="COD"/>
    <x v="2"/>
  </r>
  <r>
    <n v="290"/>
    <x v="289"/>
    <n v="60"/>
    <s v="2023-06-24"/>
    <n v="2023"/>
    <x v="4"/>
    <n v="1"/>
    <n v="830.49"/>
    <n v="10"/>
    <n v="747.44100000000003"/>
    <s v="Debit Card"/>
    <x v="0"/>
  </r>
  <r>
    <n v="291"/>
    <x v="290"/>
    <n v="55"/>
    <s v="2024-01-30"/>
    <n v="2024"/>
    <x v="5"/>
    <n v="3"/>
    <n v="1016.06"/>
    <n v="15"/>
    <n v="2590.953"/>
    <s v="Debit Card"/>
    <x v="0"/>
  </r>
  <r>
    <n v="292"/>
    <x v="291"/>
    <n v="57"/>
    <s v="2023-08-19"/>
    <n v="2023"/>
    <x v="6"/>
    <n v="3"/>
    <n v="768.03"/>
    <n v="0"/>
    <n v="2304.09"/>
    <s v="UPI"/>
    <x v="2"/>
  </r>
  <r>
    <n v="293"/>
    <x v="292"/>
    <n v="18"/>
    <s v="2023-10-23"/>
    <n v="2023"/>
    <x v="10"/>
    <n v="1"/>
    <n v="138.07"/>
    <n v="10"/>
    <n v="124.26299999999999"/>
    <s v="Credit Card"/>
    <x v="1"/>
  </r>
  <r>
    <n v="294"/>
    <x v="293"/>
    <n v="64"/>
    <s v="2024-02-19"/>
    <n v="2024"/>
    <x v="9"/>
    <n v="3"/>
    <n v="567.71"/>
    <n v="10"/>
    <n v="1532.8170000000002"/>
    <s v="UPI"/>
    <x v="0"/>
  </r>
  <r>
    <n v="295"/>
    <x v="294"/>
    <n v="29"/>
    <s v="2023-08-03"/>
    <n v="2023"/>
    <x v="6"/>
    <n v="2"/>
    <n v="757"/>
    <n v="15"/>
    <n v="1286.8999999999999"/>
    <s v="Wallet"/>
    <x v="0"/>
  </r>
  <r>
    <n v="296"/>
    <x v="295"/>
    <n v="39"/>
    <s v="2023-06-16"/>
    <n v="2023"/>
    <x v="4"/>
    <n v="3"/>
    <n v="256.08999999999997"/>
    <n v="0"/>
    <n v="768.27"/>
    <s v="Wallet"/>
    <x v="0"/>
  </r>
  <r>
    <n v="297"/>
    <x v="296"/>
    <n v="5"/>
    <s v="2024-04-17"/>
    <n v="2024"/>
    <x v="3"/>
    <n v="1"/>
    <n v="296.85000000000002"/>
    <n v="5"/>
    <n v="282.00749999999999"/>
    <s v="UPI"/>
    <x v="0"/>
  </r>
  <r>
    <n v="298"/>
    <x v="297"/>
    <n v="73"/>
    <s v="2023-11-19"/>
    <n v="2023"/>
    <x v="11"/>
    <n v="3"/>
    <n v="943.04"/>
    <n v="20"/>
    <n v="2263.2959999999998"/>
    <s v="Wallet"/>
    <x v="1"/>
  </r>
  <r>
    <n v="299"/>
    <x v="298"/>
    <n v="51"/>
    <s v="2023-07-15"/>
    <n v="2023"/>
    <x v="7"/>
    <n v="1"/>
    <n v="759.57"/>
    <n v="15"/>
    <n v="645.6345"/>
    <s v="Credit Card"/>
    <x v="3"/>
  </r>
  <r>
    <n v="300"/>
    <x v="299"/>
    <n v="69"/>
    <s v="2023-07-17"/>
    <n v="2023"/>
    <x v="7"/>
    <n v="1"/>
    <n v="951.81"/>
    <n v="15"/>
    <n v="809.03849999999989"/>
    <s v="Credit Card"/>
    <x v="0"/>
  </r>
  <r>
    <n v="301"/>
    <x v="300"/>
    <n v="43"/>
    <s v="2023-10-19"/>
    <n v="2023"/>
    <x v="10"/>
    <n v="2"/>
    <n v="760.86"/>
    <n v="10"/>
    <n v="1369.548"/>
    <s v="Credit Card"/>
    <x v="2"/>
  </r>
  <r>
    <n v="302"/>
    <x v="301"/>
    <n v="22"/>
    <s v="2023-02-23"/>
    <n v="2023"/>
    <x v="9"/>
    <n v="3"/>
    <n v="373.43"/>
    <n v="20"/>
    <n v="896.23199999999997"/>
    <s v="Debit Card"/>
    <x v="3"/>
  </r>
  <r>
    <n v="303"/>
    <x v="302"/>
    <n v="5"/>
    <s v="2024-02-28"/>
    <n v="2024"/>
    <x v="9"/>
    <n v="3"/>
    <n v="296.85000000000002"/>
    <n v="20"/>
    <n v="712.44"/>
    <s v="COD"/>
    <x v="0"/>
  </r>
  <r>
    <n v="304"/>
    <x v="303"/>
    <n v="4"/>
    <s v="2023-04-06"/>
    <n v="2023"/>
    <x v="3"/>
    <n v="1"/>
    <n v="800.26"/>
    <n v="0"/>
    <n v="800.26"/>
    <s v="COD"/>
    <x v="2"/>
  </r>
  <r>
    <n v="305"/>
    <x v="304"/>
    <n v="37"/>
    <s v="2023-04-16"/>
    <n v="2023"/>
    <x v="3"/>
    <n v="1"/>
    <n v="968.87"/>
    <n v="10"/>
    <n v="871.98300000000006"/>
    <s v="Wallet"/>
    <x v="1"/>
  </r>
  <r>
    <n v="306"/>
    <x v="305"/>
    <n v="9"/>
    <s v="2023-08-21"/>
    <n v="2023"/>
    <x v="6"/>
    <n v="1"/>
    <n v="43.26"/>
    <n v="10"/>
    <n v="38.933999999999997"/>
    <s v="Wallet"/>
    <x v="2"/>
  </r>
  <r>
    <n v="307"/>
    <x v="306"/>
    <n v="2"/>
    <s v="2023-03-29"/>
    <n v="2023"/>
    <x v="1"/>
    <n v="2"/>
    <n v="427.27"/>
    <n v="15"/>
    <n v="726.35899999999992"/>
    <s v="COD"/>
    <x v="1"/>
  </r>
  <r>
    <n v="308"/>
    <x v="307"/>
    <n v="21"/>
    <s v="2023-02-26"/>
    <n v="2023"/>
    <x v="9"/>
    <n v="1"/>
    <n v="420.66"/>
    <n v="20"/>
    <n v="336.52800000000002"/>
    <s v="COD"/>
    <x v="3"/>
  </r>
  <r>
    <n v="309"/>
    <x v="308"/>
    <n v="62"/>
    <s v="2024-01-16"/>
    <n v="2024"/>
    <x v="5"/>
    <n v="1"/>
    <n v="196.96"/>
    <n v="15"/>
    <n v="167.416"/>
    <s v="Debit Card"/>
    <x v="2"/>
  </r>
  <r>
    <n v="310"/>
    <x v="309"/>
    <n v="17"/>
    <s v="2024-03-21"/>
    <n v="2024"/>
    <x v="1"/>
    <n v="1"/>
    <n v="695.6"/>
    <n v="10"/>
    <n v="626.04000000000008"/>
    <s v="COD"/>
    <x v="0"/>
  </r>
  <r>
    <n v="311"/>
    <x v="310"/>
    <n v="61"/>
    <s v="2023-03-23"/>
    <n v="2023"/>
    <x v="1"/>
    <n v="3"/>
    <n v="498.92"/>
    <n v="20"/>
    <n v="1197.4080000000001"/>
    <s v="UPI"/>
    <x v="0"/>
  </r>
  <r>
    <n v="312"/>
    <x v="311"/>
    <n v="76"/>
    <s v="2023-04-14"/>
    <n v="2023"/>
    <x v="3"/>
    <n v="3"/>
    <n v="1043.26"/>
    <n v="15"/>
    <n v="2660.3129999999996"/>
    <s v="UPI"/>
    <x v="0"/>
  </r>
  <r>
    <n v="313"/>
    <x v="312"/>
    <n v="26"/>
    <s v="2023-01-04"/>
    <n v="2023"/>
    <x v="5"/>
    <n v="1"/>
    <n v="272.61"/>
    <n v="15"/>
    <n v="231.71850000000001"/>
    <s v="Credit Card"/>
    <x v="1"/>
  </r>
  <r>
    <n v="314"/>
    <x v="313"/>
    <n v="52"/>
    <s v="2023-11-06"/>
    <n v="2023"/>
    <x v="11"/>
    <n v="1"/>
    <n v="256.76"/>
    <n v="20"/>
    <n v="205.40800000000002"/>
    <s v="UPI"/>
    <x v="1"/>
  </r>
  <r>
    <n v="315"/>
    <x v="314"/>
    <n v="73"/>
    <s v="2024-03-26"/>
    <n v="2024"/>
    <x v="1"/>
    <n v="2"/>
    <n v="943.04"/>
    <n v="15"/>
    <n v="1603.1679999999999"/>
    <s v="COD"/>
    <x v="1"/>
  </r>
  <r>
    <n v="316"/>
    <x v="315"/>
    <n v="74"/>
    <s v="2023-01-21"/>
    <n v="2023"/>
    <x v="5"/>
    <n v="3"/>
    <n v="1034.31"/>
    <n v="0"/>
    <n v="3102.93"/>
    <s v="UPI"/>
    <x v="2"/>
  </r>
  <r>
    <n v="317"/>
    <x v="316"/>
    <n v="59"/>
    <s v="2023-06-27"/>
    <n v="2023"/>
    <x v="4"/>
    <n v="3"/>
    <n v="782.33"/>
    <n v="10"/>
    <n v="2112.2910000000002"/>
    <s v="COD"/>
    <x v="0"/>
  </r>
  <r>
    <n v="318"/>
    <x v="317"/>
    <n v="79"/>
    <s v="2024-02-26"/>
    <n v="2024"/>
    <x v="9"/>
    <n v="1"/>
    <n v="488.34"/>
    <n v="15"/>
    <n v="415.08899999999994"/>
    <s v="Debit Card"/>
    <x v="2"/>
  </r>
  <r>
    <n v="319"/>
    <x v="318"/>
    <n v="23"/>
    <s v="2024-04-05"/>
    <n v="2024"/>
    <x v="3"/>
    <n v="3"/>
    <n v="258.08"/>
    <n v="15"/>
    <n v="658.10400000000004"/>
    <s v="COD"/>
    <x v="1"/>
  </r>
  <r>
    <n v="320"/>
    <x v="319"/>
    <n v="50"/>
    <s v="2024-04-11"/>
    <n v="2024"/>
    <x v="3"/>
    <n v="3"/>
    <n v="1122.8699999999999"/>
    <n v="5"/>
    <n v="3200.1794999999997"/>
    <s v="Wallet"/>
    <x v="1"/>
  </r>
  <r>
    <n v="321"/>
    <x v="320"/>
    <n v="13"/>
    <s v="2023-07-21"/>
    <n v="2023"/>
    <x v="7"/>
    <n v="3"/>
    <n v="334.61"/>
    <n v="0"/>
    <n v="1003.83"/>
    <s v="Debit Card"/>
    <x v="1"/>
  </r>
  <r>
    <n v="322"/>
    <x v="321"/>
    <n v="21"/>
    <s v="2023-05-21"/>
    <n v="2023"/>
    <x v="0"/>
    <n v="3"/>
    <n v="420.66"/>
    <n v="20"/>
    <n v="1009.5840000000001"/>
    <s v="UPI"/>
    <x v="3"/>
  </r>
  <r>
    <n v="323"/>
    <x v="322"/>
    <n v="9"/>
    <s v="2023-12-24"/>
    <n v="2023"/>
    <x v="2"/>
    <n v="3"/>
    <n v="43.26"/>
    <n v="5"/>
    <n v="123.291"/>
    <s v="COD"/>
    <x v="2"/>
  </r>
  <r>
    <n v="324"/>
    <x v="323"/>
    <n v="53"/>
    <s v="2024-01-26"/>
    <n v="2024"/>
    <x v="5"/>
    <n v="3"/>
    <n v="194.34"/>
    <n v="0"/>
    <n v="583.02"/>
    <s v="UPI"/>
    <x v="1"/>
  </r>
  <r>
    <n v="325"/>
    <x v="324"/>
    <n v="10"/>
    <s v="2024-01-22"/>
    <n v="2024"/>
    <x v="5"/>
    <n v="1"/>
    <n v="64.11"/>
    <n v="20"/>
    <n v="51.288000000000004"/>
    <s v="UPI"/>
    <x v="0"/>
  </r>
  <r>
    <n v="326"/>
    <x v="325"/>
    <n v="53"/>
    <s v="2023-08-19"/>
    <n v="2023"/>
    <x v="6"/>
    <n v="1"/>
    <n v="194.34"/>
    <n v="10"/>
    <n v="174.90600000000001"/>
    <s v="Debit Card"/>
    <x v="1"/>
  </r>
  <r>
    <n v="327"/>
    <x v="326"/>
    <n v="65"/>
    <s v="2023-01-23"/>
    <n v="2023"/>
    <x v="5"/>
    <n v="2"/>
    <n v="1189.73"/>
    <n v="0"/>
    <n v="2379.46"/>
    <s v="Credit Card"/>
    <x v="1"/>
  </r>
  <r>
    <n v="328"/>
    <x v="327"/>
    <n v="60"/>
    <s v="2023-07-15"/>
    <n v="2023"/>
    <x v="7"/>
    <n v="2"/>
    <n v="830.49"/>
    <n v="15"/>
    <n v="1411.8330000000001"/>
    <s v="Debit Card"/>
    <x v="0"/>
  </r>
  <r>
    <n v="329"/>
    <x v="328"/>
    <n v="51"/>
    <s v="2023-01-20"/>
    <n v="2023"/>
    <x v="5"/>
    <n v="1"/>
    <n v="759.57"/>
    <n v="10"/>
    <n v="683.61300000000006"/>
    <s v="Credit Card"/>
    <x v="3"/>
  </r>
  <r>
    <n v="330"/>
    <x v="329"/>
    <n v="18"/>
    <s v="2023-06-17"/>
    <n v="2023"/>
    <x v="4"/>
    <n v="3"/>
    <n v="138.07"/>
    <n v="15"/>
    <n v="352.07849999999996"/>
    <s v="COD"/>
    <x v="1"/>
  </r>
  <r>
    <n v="331"/>
    <x v="330"/>
    <n v="60"/>
    <s v="2023-02-04"/>
    <n v="2023"/>
    <x v="9"/>
    <n v="1"/>
    <n v="830.49"/>
    <n v="20"/>
    <n v="664.39200000000005"/>
    <s v="Debit Card"/>
    <x v="0"/>
  </r>
  <r>
    <n v="332"/>
    <x v="331"/>
    <n v="57"/>
    <s v="2023-03-13"/>
    <n v="2023"/>
    <x v="1"/>
    <n v="2"/>
    <n v="768.03"/>
    <n v="10"/>
    <n v="1382.454"/>
    <s v="Debit Card"/>
    <x v="2"/>
  </r>
  <r>
    <n v="333"/>
    <x v="332"/>
    <n v="22"/>
    <s v="2024-03-05"/>
    <n v="2024"/>
    <x v="1"/>
    <n v="1"/>
    <n v="373.43"/>
    <n v="20"/>
    <n v="298.74400000000003"/>
    <s v="Credit Card"/>
    <x v="3"/>
  </r>
  <r>
    <n v="334"/>
    <x v="333"/>
    <n v="23"/>
    <s v="2023-05-31"/>
    <n v="2023"/>
    <x v="0"/>
    <n v="1"/>
    <n v="258.08"/>
    <n v="20"/>
    <n v="206.464"/>
    <s v="COD"/>
    <x v="1"/>
  </r>
  <r>
    <n v="335"/>
    <x v="334"/>
    <n v="22"/>
    <s v="2023-02-09"/>
    <n v="2023"/>
    <x v="9"/>
    <n v="3"/>
    <n v="373.43"/>
    <n v="0"/>
    <n v="1120.29"/>
    <s v="UPI"/>
    <x v="3"/>
  </r>
  <r>
    <n v="336"/>
    <x v="335"/>
    <n v="20"/>
    <s v="2023-08-14"/>
    <n v="2023"/>
    <x v="6"/>
    <n v="2"/>
    <n v="613.27"/>
    <n v="5"/>
    <n v="1165.213"/>
    <s v="Debit Card"/>
    <x v="1"/>
  </r>
  <r>
    <n v="337"/>
    <x v="336"/>
    <n v="5"/>
    <s v="2024-04-02"/>
    <n v="2024"/>
    <x v="3"/>
    <n v="3"/>
    <n v="296.85000000000002"/>
    <n v="20"/>
    <n v="712.44"/>
    <s v="Debit Card"/>
    <x v="0"/>
  </r>
  <r>
    <n v="338"/>
    <x v="337"/>
    <n v="57"/>
    <s v="2023-12-23"/>
    <n v="2023"/>
    <x v="2"/>
    <n v="1"/>
    <n v="768.03"/>
    <n v="20"/>
    <n v="614.42399999999998"/>
    <s v="Credit Card"/>
    <x v="2"/>
  </r>
  <r>
    <n v="339"/>
    <x v="338"/>
    <n v="50"/>
    <s v="2023-12-20"/>
    <n v="2023"/>
    <x v="2"/>
    <n v="2"/>
    <n v="1122.8699999999999"/>
    <n v="15"/>
    <n v="1908.8789999999997"/>
    <s v="Credit Card"/>
    <x v="1"/>
  </r>
  <r>
    <n v="340"/>
    <x v="339"/>
    <n v="77"/>
    <s v="2023-01-03"/>
    <n v="2023"/>
    <x v="5"/>
    <n v="1"/>
    <n v="1078.19"/>
    <n v="15"/>
    <n v="916.4615"/>
    <s v="Debit Card"/>
    <x v="1"/>
  </r>
  <r>
    <n v="341"/>
    <x v="340"/>
    <n v="32"/>
    <s v="2023-07-11"/>
    <n v="2023"/>
    <x v="7"/>
    <n v="1"/>
    <n v="342.57"/>
    <n v="5"/>
    <n v="325.44149999999996"/>
    <s v="Credit Card"/>
    <x v="0"/>
  </r>
  <r>
    <n v="342"/>
    <x v="341"/>
    <n v="3"/>
    <s v="2023-08-04"/>
    <n v="2023"/>
    <x v="6"/>
    <n v="1"/>
    <n v="506.08"/>
    <n v="0"/>
    <n v="506.08"/>
    <s v="UPI"/>
    <x v="0"/>
  </r>
  <r>
    <n v="343"/>
    <x v="342"/>
    <n v="25"/>
    <s v="2023-12-15"/>
    <n v="2023"/>
    <x v="2"/>
    <n v="3"/>
    <n v="1011.65"/>
    <n v="0"/>
    <n v="3034.95"/>
    <s v="Debit Card"/>
    <x v="2"/>
  </r>
  <r>
    <n v="344"/>
    <x v="343"/>
    <n v="13"/>
    <s v="2024-02-13"/>
    <n v="2024"/>
    <x v="9"/>
    <n v="3"/>
    <n v="334.61"/>
    <n v="5"/>
    <n v="953.63850000000002"/>
    <s v="Debit Card"/>
    <x v="1"/>
  </r>
  <r>
    <n v="345"/>
    <x v="344"/>
    <n v="6"/>
    <s v="2023-08-01"/>
    <n v="2023"/>
    <x v="6"/>
    <n v="3"/>
    <n v="719.19"/>
    <n v="0"/>
    <n v="2157.5700000000002"/>
    <s v="UPI"/>
    <x v="0"/>
  </r>
  <r>
    <n v="346"/>
    <x v="345"/>
    <n v="42"/>
    <s v="2023-10-15"/>
    <n v="2023"/>
    <x v="10"/>
    <n v="3"/>
    <n v="233.11"/>
    <n v="5"/>
    <n v="664.36350000000004"/>
    <s v="Wallet"/>
    <x v="1"/>
  </r>
  <r>
    <n v="347"/>
    <x v="346"/>
    <n v="27"/>
    <s v="2024-04-23"/>
    <n v="2024"/>
    <x v="3"/>
    <n v="3"/>
    <n v="76.09"/>
    <n v="15"/>
    <n v="194.02950000000001"/>
    <s v="COD"/>
    <x v="0"/>
  </r>
  <r>
    <n v="348"/>
    <x v="347"/>
    <n v="16"/>
    <s v="2023-04-29"/>
    <n v="2023"/>
    <x v="3"/>
    <n v="1"/>
    <n v="693.02"/>
    <n v="0"/>
    <n v="693.02"/>
    <s v="UPI"/>
    <x v="1"/>
  </r>
  <r>
    <n v="349"/>
    <x v="348"/>
    <n v="42"/>
    <s v="2023-03-30"/>
    <n v="2023"/>
    <x v="1"/>
    <n v="1"/>
    <n v="233.11"/>
    <n v="15"/>
    <n v="198.14350000000002"/>
    <s v="UPI"/>
    <x v="1"/>
  </r>
  <r>
    <n v="350"/>
    <x v="349"/>
    <n v="2"/>
    <s v="2023-07-19"/>
    <n v="2023"/>
    <x v="7"/>
    <n v="1"/>
    <n v="427.27"/>
    <n v="15"/>
    <n v="363.17949999999996"/>
    <s v="Debit Card"/>
    <x v="1"/>
  </r>
  <r>
    <n v="351"/>
    <x v="350"/>
    <n v="9"/>
    <s v="2023-12-03"/>
    <n v="2023"/>
    <x v="2"/>
    <n v="2"/>
    <n v="43.26"/>
    <n v="20"/>
    <n v="69.215999999999994"/>
    <s v="UPI"/>
    <x v="2"/>
  </r>
  <r>
    <n v="352"/>
    <x v="351"/>
    <n v="6"/>
    <s v="2023-02-04"/>
    <n v="2023"/>
    <x v="9"/>
    <n v="1"/>
    <n v="719.19"/>
    <n v="15"/>
    <n v="611.31150000000002"/>
    <s v="UPI"/>
    <x v="0"/>
  </r>
  <r>
    <n v="353"/>
    <x v="352"/>
    <n v="77"/>
    <s v="2023-09-13"/>
    <n v="2023"/>
    <x v="8"/>
    <n v="1"/>
    <n v="1078.19"/>
    <n v="20"/>
    <n v="862.55200000000013"/>
    <s v="Wallet"/>
    <x v="1"/>
  </r>
  <r>
    <n v="354"/>
    <x v="353"/>
    <n v="22"/>
    <s v="2023-05-09"/>
    <n v="2023"/>
    <x v="0"/>
    <n v="1"/>
    <n v="373.43"/>
    <n v="20"/>
    <n v="298.74400000000003"/>
    <s v="UPI"/>
    <x v="3"/>
  </r>
  <r>
    <n v="355"/>
    <x v="354"/>
    <n v="50"/>
    <s v="2023-12-14"/>
    <n v="2023"/>
    <x v="2"/>
    <n v="3"/>
    <n v="1122.8699999999999"/>
    <n v="5"/>
    <n v="3200.1794999999997"/>
    <s v="UPI"/>
    <x v="1"/>
  </r>
  <r>
    <n v="356"/>
    <x v="355"/>
    <n v="23"/>
    <s v="2023-11-22"/>
    <n v="2023"/>
    <x v="11"/>
    <n v="3"/>
    <n v="258.08"/>
    <n v="10"/>
    <n v="696.81600000000003"/>
    <s v="COD"/>
    <x v="1"/>
  </r>
  <r>
    <n v="357"/>
    <x v="356"/>
    <n v="9"/>
    <s v="2023-06-21"/>
    <n v="2023"/>
    <x v="4"/>
    <n v="1"/>
    <n v="43.26"/>
    <n v="20"/>
    <n v="34.607999999999997"/>
    <s v="Wallet"/>
    <x v="2"/>
  </r>
  <r>
    <n v="358"/>
    <x v="357"/>
    <n v="58"/>
    <s v="2023-07-15"/>
    <n v="2023"/>
    <x v="7"/>
    <n v="3"/>
    <n v="334.98"/>
    <n v="5"/>
    <n v="954.69299999999998"/>
    <s v="Wallet"/>
    <x v="1"/>
  </r>
  <r>
    <n v="359"/>
    <x v="358"/>
    <n v="76"/>
    <s v="2023-12-27"/>
    <n v="2023"/>
    <x v="2"/>
    <n v="1"/>
    <n v="1043.26"/>
    <n v="5"/>
    <n v="991.09699999999998"/>
    <s v="Credit Card"/>
    <x v="0"/>
  </r>
  <r>
    <n v="360"/>
    <x v="359"/>
    <n v="79"/>
    <s v="2024-01-24"/>
    <n v="2024"/>
    <x v="5"/>
    <n v="1"/>
    <n v="488.34"/>
    <n v="10"/>
    <n v="439.50599999999997"/>
    <s v="Debit Card"/>
    <x v="2"/>
  </r>
  <r>
    <n v="361"/>
    <x v="360"/>
    <n v="55"/>
    <s v="2024-01-23"/>
    <n v="2024"/>
    <x v="5"/>
    <n v="1"/>
    <n v="1016.06"/>
    <n v="20"/>
    <n v="812.84799999999996"/>
    <s v="Credit Card"/>
    <x v="0"/>
  </r>
  <r>
    <n v="362"/>
    <x v="361"/>
    <n v="8"/>
    <s v="2023-03-12"/>
    <n v="2023"/>
    <x v="1"/>
    <n v="2"/>
    <n v="155.08000000000001"/>
    <n v="15"/>
    <n v="263.63600000000002"/>
    <s v="UPI"/>
    <x v="0"/>
  </r>
  <r>
    <n v="363"/>
    <x v="362"/>
    <n v="26"/>
    <s v="2023-03-19"/>
    <n v="2023"/>
    <x v="1"/>
    <n v="2"/>
    <n v="272.61"/>
    <n v="5"/>
    <n v="517.95899999999995"/>
    <s v="Credit Card"/>
    <x v="1"/>
  </r>
  <r>
    <n v="364"/>
    <x v="363"/>
    <n v="31"/>
    <s v="2024-04-17"/>
    <n v="2024"/>
    <x v="3"/>
    <n v="3"/>
    <n v="131.79"/>
    <n v="20"/>
    <n v="316.29600000000005"/>
    <s v="COD"/>
    <x v="3"/>
  </r>
  <r>
    <n v="365"/>
    <x v="364"/>
    <n v="43"/>
    <s v="2023-03-10"/>
    <n v="2023"/>
    <x v="1"/>
    <n v="2"/>
    <n v="760.86"/>
    <n v="10"/>
    <n v="1369.548"/>
    <s v="Credit Card"/>
    <x v="2"/>
  </r>
  <r>
    <n v="366"/>
    <x v="365"/>
    <n v="67"/>
    <s v="2024-02-10"/>
    <n v="2024"/>
    <x v="9"/>
    <n v="2"/>
    <n v="258.35000000000002"/>
    <n v="10"/>
    <n v="465.03000000000003"/>
    <s v="Credit Card"/>
    <x v="2"/>
  </r>
  <r>
    <n v="367"/>
    <x v="366"/>
    <n v="30"/>
    <s v="2024-03-09"/>
    <n v="2024"/>
    <x v="1"/>
    <n v="3"/>
    <n v="866.89"/>
    <n v="10"/>
    <n v="2340.6030000000001"/>
    <s v="UPI"/>
    <x v="2"/>
  </r>
  <r>
    <n v="368"/>
    <x v="367"/>
    <n v="32"/>
    <s v="2023-04-16"/>
    <n v="2023"/>
    <x v="3"/>
    <n v="3"/>
    <n v="342.57"/>
    <n v="0"/>
    <n v="1027.71"/>
    <s v="Debit Card"/>
    <x v="0"/>
  </r>
  <r>
    <n v="369"/>
    <x v="368"/>
    <n v="29"/>
    <s v="2023-11-08"/>
    <n v="2023"/>
    <x v="11"/>
    <n v="2"/>
    <n v="757"/>
    <n v="20"/>
    <n v="1211.2"/>
    <s v="UPI"/>
    <x v="0"/>
  </r>
  <r>
    <n v="370"/>
    <x v="369"/>
    <n v="24"/>
    <s v="2023-08-15"/>
    <n v="2023"/>
    <x v="6"/>
    <n v="3"/>
    <n v="1019.85"/>
    <n v="0"/>
    <n v="3059.55"/>
    <s v="Credit Card"/>
    <x v="3"/>
  </r>
  <r>
    <n v="371"/>
    <x v="370"/>
    <n v="63"/>
    <s v="2023-02-05"/>
    <n v="2023"/>
    <x v="9"/>
    <n v="1"/>
    <n v="309.79000000000002"/>
    <n v="0"/>
    <n v="309.79000000000002"/>
    <s v="Debit Card"/>
    <x v="2"/>
  </r>
  <r>
    <n v="372"/>
    <x v="371"/>
    <n v="27"/>
    <s v="2023-03-06"/>
    <n v="2023"/>
    <x v="1"/>
    <n v="1"/>
    <n v="76.09"/>
    <n v="5"/>
    <n v="72.285499999999999"/>
    <s v="Wallet"/>
    <x v="0"/>
  </r>
  <r>
    <n v="373"/>
    <x v="372"/>
    <n v="71"/>
    <s v="2024-03-01"/>
    <n v="2024"/>
    <x v="1"/>
    <n v="1"/>
    <n v="780.27"/>
    <n v="5"/>
    <n v="741.25649999999996"/>
    <s v="Wallet"/>
    <x v="2"/>
  </r>
  <r>
    <n v="374"/>
    <x v="373"/>
    <n v="11"/>
    <s v="2023-08-07"/>
    <n v="2023"/>
    <x v="6"/>
    <n v="3"/>
    <n v="1038.77"/>
    <n v="15"/>
    <n v="2648.8634999999999"/>
    <s v="UPI"/>
    <x v="3"/>
  </r>
  <r>
    <n v="375"/>
    <x v="374"/>
    <n v="22"/>
    <s v="2024-01-05"/>
    <n v="2024"/>
    <x v="5"/>
    <n v="1"/>
    <n v="373.43"/>
    <n v="5"/>
    <n v="354.75849999999997"/>
    <s v="COD"/>
    <x v="3"/>
  </r>
  <r>
    <n v="376"/>
    <x v="375"/>
    <n v="23"/>
    <s v="2023-11-07"/>
    <n v="2023"/>
    <x v="11"/>
    <n v="1"/>
    <n v="258.08"/>
    <n v="10"/>
    <n v="232.27199999999999"/>
    <s v="UPI"/>
    <x v="1"/>
  </r>
  <r>
    <n v="377"/>
    <x v="376"/>
    <n v="74"/>
    <s v="2023-08-18"/>
    <n v="2023"/>
    <x v="6"/>
    <n v="3"/>
    <n v="1034.31"/>
    <n v="5"/>
    <n v="2947.7834999999995"/>
    <s v="UPI"/>
    <x v="2"/>
  </r>
  <r>
    <n v="378"/>
    <x v="377"/>
    <n v="62"/>
    <s v="2023-02-10"/>
    <n v="2023"/>
    <x v="9"/>
    <n v="2"/>
    <n v="196.96"/>
    <n v="15"/>
    <n v="334.83199999999999"/>
    <s v="COD"/>
    <x v="2"/>
  </r>
  <r>
    <n v="379"/>
    <x v="378"/>
    <n v="22"/>
    <s v="2023-08-30"/>
    <n v="2023"/>
    <x v="6"/>
    <n v="2"/>
    <n v="373.43"/>
    <n v="15"/>
    <n v="634.83100000000002"/>
    <s v="Wallet"/>
    <x v="3"/>
  </r>
  <r>
    <n v="380"/>
    <x v="379"/>
    <n v="79"/>
    <s v="2024-01-12"/>
    <n v="2024"/>
    <x v="5"/>
    <n v="2"/>
    <n v="488.34"/>
    <n v="5"/>
    <n v="927.84599999999989"/>
    <s v="COD"/>
    <x v="2"/>
  </r>
  <r>
    <n v="381"/>
    <x v="380"/>
    <n v="3"/>
    <s v="2024-01-26"/>
    <n v="2024"/>
    <x v="5"/>
    <n v="2"/>
    <n v="506.08"/>
    <n v="15"/>
    <n v="860.3359999999999"/>
    <s v="Credit Card"/>
    <x v="0"/>
  </r>
  <r>
    <n v="382"/>
    <x v="381"/>
    <n v="39"/>
    <s v="2023-11-01"/>
    <n v="2023"/>
    <x v="11"/>
    <n v="3"/>
    <n v="256.08999999999997"/>
    <n v="5"/>
    <n v="729.85649999999998"/>
    <s v="Wallet"/>
    <x v="0"/>
  </r>
  <r>
    <n v="383"/>
    <x v="382"/>
    <n v="23"/>
    <s v="2023-05-12"/>
    <n v="2023"/>
    <x v="0"/>
    <n v="2"/>
    <n v="258.08"/>
    <n v="15"/>
    <n v="438.73599999999993"/>
    <s v="UPI"/>
    <x v="1"/>
  </r>
  <r>
    <n v="384"/>
    <x v="383"/>
    <n v="59"/>
    <s v="2023-05-26"/>
    <n v="2023"/>
    <x v="0"/>
    <n v="2"/>
    <n v="782.33"/>
    <n v="20"/>
    <n v="1251.7280000000001"/>
    <s v="Wallet"/>
    <x v="0"/>
  </r>
  <r>
    <n v="385"/>
    <x v="384"/>
    <n v="62"/>
    <s v="2023-02-06"/>
    <n v="2023"/>
    <x v="9"/>
    <n v="2"/>
    <n v="196.96"/>
    <n v="5"/>
    <n v="374.22399999999999"/>
    <s v="COD"/>
    <x v="2"/>
  </r>
  <r>
    <n v="386"/>
    <x v="385"/>
    <n v="26"/>
    <s v="2023-03-21"/>
    <n v="2023"/>
    <x v="1"/>
    <n v="1"/>
    <n v="272.61"/>
    <n v="0"/>
    <n v="272.61"/>
    <s v="Credit Card"/>
    <x v="1"/>
  </r>
  <r>
    <n v="387"/>
    <x v="386"/>
    <n v="65"/>
    <s v="2024-01-09"/>
    <n v="2024"/>
    <x v="5"/>
    <n v="3"/>
    <n v="1189.73"/>
    <n v="10"/>
    <n v="3212.2710000000002"/>
    <s v="COD"/>
    <x v="1"/>
  </r>
  <r>
    <n v="388"/>
    <x v="387"/>
    <n v="52"/>
    <s v="2024-04-18"/>
    <n v="2024"/>
    <x v="3"/>
    <n v="2"/>
    <n v="256.76"/>
    <n v="15"/>
    <n v="436.49199999999996"/>
    <s v="UPI"/>
    <x v="1"/>
  </r>
  <r>
    <n v="389"/>
    <x v="388"/>
    <n v="50"/>
    <s v="2023-09-08"/>
    <n v="2023"/>
    <x v="8"/>
    <n v="2"/>
    <n v="1122.8699999999999"/>
    <n v="20"/>
    <n v="1796.5919999999999"/>
    <s v="Credit Card"/>
    <x v="1"/>
  </r>
  <r>
    <n v="390"/>
    <x v="389"/>
    <n v="53"/>
    <s v="2024-03-29"/>
    <n v="2024"/>
    <x v="1"/>
    <n v="1"/>
    <n v="194.34"/>
    <n v="0"/>
    <n v="194.34"/>
    <s v="COD"/>
    <x v="1"/>
  </r>
  <r>
    <n v="391"/>
    <x v="390"/>
    <n v="73"/>
    <s v="2023-03-25"/>
    <n v="2023"/>
    <x v="1"/>
    <n v="1"/>
    <n v="943.04"/>
    <n v="15"/>
    <n v="801.58399999999995"/>
    <s v="UPI"/>
    <x v="1"/>
  </r>
  <r>
    <n v="392"/>
    <x v="391"/>
    <n v="45"/>
    <s v="2023-09-18"/>
    <n v="2023"/>
    <x v="8"/>
    <n v="3"/>
    <n v="609.05999999999995"/>
    <n v="15"/>
    <n v="1553.1029999999998"/>
    <s v="UPI"/>
    <x v="3"/>
  </r>
  <r>
    <n v="393"/>
    <x v="392"/>
    <n v="8"/>
    <s v="2023-11-30"/>
    <n v="2023"/>
    <x v="11"/>
    <n v="2"/>
    <n v="155.08000000000001"/>
    <n v="15"/>
    <n v="263.63600000000002"/>
    <s v="Debit Card"/>
    <x v="0"/>
  </r>
  <r>
    <n v="394"/>
    <x v="393"/>
    <n v="32"/>
    <s v="2023-09-02"/>
    <n v="2023"/>
    <x v="8"/>
    <n v="1"/>
    <n v="342.57"/>
    <n v="10"/>
    <n v="308.31299999999999"/>
    <s v="Credit Card"/>
    <x v="0"/>
  </r>
  <r>
    <n v="395"/>
    <x v="394"/>
    <n v="19"/>
    <s v="2023-05-14"/>
    <n v="2023"/>
    <x v="0"/>
    <n v="3"/>
    <n v="262.97000000000003"/>
    <n v="15"/>
    <n v="670.57350000000008"/>
    <s v="Debit Card"/>
    <x v="3"/>
  </r>
  <r>
    <n v="396"/>
    <x v="395"/>
    <n v="33"/>
    <s v="2023-05-07"/>
    <n v="2023"/>
    <x v="0"/>
    <n v="3"/>
    <n v="965.4"/>
    <n v="20"/>
    <n v="2316.96"/>
    <s v="Debit Card"/>
    <x v="3"/>
  </r>
  <r>
    <n v="397"/>
    <x v="396"/>
    <n v="2"/>
    <s v="2023-03-01"/>
    <n v="2023"/>
    <x v="1"/>
    <n v="1"/>
    <n v="427.27"/>
    <n v="15"/>
    <n v="363.17949999999996"/>
    <s v="COD"/>
    <x v="1"/>
  </r>
  <r>
    <n v="398"/>
    <x v="397"/>
    <n v="76"/>
    <s v="2024-05-13"/>
    <n v="2024"/>
    <x v="0"/>
    <n v="1"/>
    <n v="1043.26"/>
    <n v="20"/>
    <n v="834.60800000000006"/>
    <s v="Debit Card"/>
    <x v="0"/>
  </r>
  <r>
    <n v="399"/>
    <x v="398"/>
    <n v="55"/>
    <s v="2023-03-26"/>
    <n v="2023"/>
    <x v="1"/>
    <n v="2"/>
    <n v="1016.06"/>
    <n v="10"/>
    <n v="1828.9079999999999"/>
    <s v="UPI"/>
    <x v="0"/>
  </r>
  <r>
    <n v="400"/>
    <x v="399"/>
    <n v="65"/>
    <s v="2024-05-10"/>
    <n v="2024"/>
    <x v="0"/>
    <n v="3"/>
    <n v="1189.73"/>
    <n v="15"/>
    <n v="3033.8114999999998"/>
    <s v="Wallet"/>
    <x v="1"/>
  </r>
  <r>
    <n v="401"/>
    <x v="400"/>
    <n v="40"/>
    <s v="2024-01-11"/>
    <n v="2024"/>
    <x v="5"/>
    <n v="2"/>
    <n v="316.49"/>
    <n v="0"/>
    <n v="632.98"/>
    <s v="Credit Card"/>
    <x v="1"/>
  </r>
  <r>
    <n v="402"/>
    <x v="401"/>
    <n v="74"/>
    <s v="2024-02-02"/>
    <n v="2024"/>
    <x v="9"/>
    <n v="2"/>
    <n v="1034.31"/>
    <n v="5"/>
    <n v="1965.1889999999999"/>
    <s v="UPI"/>
    <x v="2"/>
  </r>
  <r>
    <n v="403"/>
    <x v="402"/>
    <n v="27"/>
    <s v="2024-04-21"/>
    <n v="2024"/>
    <x v="3"/>
    <n v="3"/>
    <n v="76.09"/>
    <n v="15"/>
    <n v="194.02950000000001"/>
    <s v="UPI"/>
    <x v="0"/>
  </r>
  <r>
    <n v="404"/>
    <x v="403"/>
    <n v="1"/>
    <s v="2023-03-28"/>
    <n v="2023"/>
    <x v="1"/>
    <n v="2"/>
    <n v="469.08"/>
    <n v="0"/>
    <n v="938.16"/>
    <s v="Credit Card"/>
    <x v="0"/>
  </r>
  <r>
    <n v="405"/>
    <x v="404"/>
    <n v="9"/>
    <s v="2024-02-01"/>
    <n v="2024"/>
    <x v="9"/>
    <n v="3"/>
    <n v="43.26"/>
    <n v="15"/>
    <n v="110.313"/>
    <s v="Wallet"/>
    <x v="2"/>
  </r>
  <r>
    <n v="406"/>
    <x v="405"/>
    <n v="54"/>
    <s v="2023-12-02"/>
    <n v="2023"/>
    <x v="2"/>
    <n v="2"/>
    <n v="900.79"/>
    <n v="15"/>
    <n v="1531.3429999999998"/>
    <s v="Debit Card"/>
    <x v="2"/>
  </r>
  <r>
    <n v="407"/>
    <x v="406"/>
    <n v="23"/>
    <s v="2023-07-11"/>
    <n v="2023"/>
    <x v="7"/>
    <n v="1"/>
    <n v="258.08"/>
    <n v="5"/>
    <n v="245.17599999999996"/>
    <s v="Debit Card"/>
    <x v="1"/>
  </r>
  <r>
    <n v="408"/>
    <x v="407"/>
    <n v="63"/>
    <s v="2023-04-04"/>
    <n v="2023"/>
    <x v="3"/>
    <n v="3"/>
    <n v="309.79000000000002"/>
    <n v="0"/>
    <n v="929.37000000000012"/>
    <s v="COD"/>
    <x v="2"/>
  </r>
  <r>
    <n v="409"/>
    <x v="408"/>
    <n v="73"/>
    <s v="2024-02-21"/>
    <n v="2024"/>
    <x v="9"/>
    <n v="1"/>
    <n v="943.04"/>
    <n v="5"/>
    <n v="895.88799999999992"/>
    <s v="Debit Card"/>
    <x v="1"/>
  </r>
  <r>
    <n v="410"/>
    <x v="409"/>
    <n v="8"/>
    <s v="2024-01-19"/>
    <n v="2024"/>
    <x v="5"/>
    <n v="1"/>
    <n v="155.08000000000001"/>
    <n v="5"/>
    <n v="147.32599999999999"/>
    <s v="UPI"/>
    <x v="0"/>
  </r>
  <r>
    <n v="411"/>
    <x v="410"/>
    <n v="53"/>
    <s v="2023-08-14"/>
    <n v="2023"/>
    <x v="6"/>
    <n v="3"/>
    <n v="194.34"/>
    <n v="20"/>
    <n v="466.416"/>
    <s v="Credit Card"/>
    <x v="1"/>
  </r>
  <r>
    <n v="412"/>
    <x v="411"/>
    <n v="22"/>
    <s v="2023-02-10"/>
    <n v="2023"/>
    <x v="9"/>
    <n v="2"/>
    <n v="373.43"/>
    <n v="0"/>
    <n v="746.86"/>
    <s v="COD"/>
    <x v="3"/>
  </r>
  <r>
    <n v="413"/>
    <x v="412"/>
    <n v="16"/>
    <s v="2023-05-22"/>
    <n v="2023"/>
    <x v="0"/>
    <n v="1"/>
    <n v="693.02"/>
    <n v="10"/>
    <n v="623.71799999999996"/>
    <s v="Credit Card"/>
    <x v="1"/>
  </r>
  <r>
    <n v="414"/>
    <x v="413"/>
    <n v="75"/>
    <s v="2023-05-01"/>
    <n v="2023"/>
    <x v="0"/>
    <n v="2"/>
    <n v="390.41"/>
    <n v="15"/>
    <n v="663.697"/>
    <s v="Credit Card"/>
    <x v="2"/>
  </r>
  <r>
    <n v="415"/>
    <x v="414"/>
    <n v="2"/>
    <s v="2023-02-01"/>
    <n v="2023"/>
    <x v="9"/>
    <n v="2"/>
    <n v="427.27"/>
    <n v="0"/>
    <n v="854.54"/>
    <s v="Wallet"/>
    <x v="1"/>
  </r>
  <r>
    <n v="416"/>
    <x v="415"/>
    <n v="6"/>
    <s v="2023-02-19"/>
    <n v="2023"/>
    <x v="9"/>
    <n v="1"/>
    <n v="719.19"/>
    <n v="20"/>
    <n v="575.35200000000009"/>
    <s v="Credit Card"/>
    <x v="0"/>
  </r>
  <r>
    <n v="417"/>
    <x v="416"/>
    <n v="49"/>
    <s v="2023-11-05"/>
    <n v="2023"/>
    <x v="11"/>
    <n v="3"/>
    <n v="974.54"/>
    <n v="10"/>
    <n v="2631.2579999999998"/>
    <s v="COD"/>
    <x v="1"/>
  </r>
  <r>
    <n v="418"/>
    <x v="417"/>
    <n v="61"/>
    <s v="2024-01-23"/>
    <n v="2024"/>
    <x v="5"/>
    <n v="2"/>
    <n v="498.92"/>
    <n v="20"/>
    <n v="798.27200000000005"/>
    <s v="COD"/>
    <x v="0"/>
  </r>
  <r>
    <n v="419"/>
    <x v="418"/>
    <n v="44"/>
    <s v="2023-07-09"/>
    <n v="2023"/>
    <x v="7"/>
    <n v="3"/>
    <n v="1038"/>
    <n v="10"/>
    <n v="2802.6"/>
    <s v="UPI"/>
    <x v="1"/>
  </r>
  <r>
    <n v="420"/>
    <x v="419"/>
    <n v="31"/>
    <s v="2024-04-26"/>
    <n v="2024"/>
    <x v="3"/>
    <n v="2"/>
    <n v="131.79"/>
    <n v="15"/>
    <n v="224.04299999999998"/>
    <s v="COD"/>
    <x v="3"/>
  </r>
  <r>
    <n v="421"/>
    <x v="420"/>
    <n v="79"/>
    <s v="2023-01-30"/>
    <n v="2023"/>
    <x v="5"/>
    <n v="2"/>
    <n v="488.34"/>
    <n v="10"/>
    <n v="879.01199999999994"/>
    <s v="Credit Card"/>
    <x v="2"/>
  </r>
  <r>
    <n v="422"/>
    <x v="421"/>
    <n v="1"/>
    <s v="2023-08-22"/>
    <n v="2023"/>
    <x v="6"/>
    <n v="3"/>
    <n v="469.08"/>
    <n v="15"/>
    <n v="1196.154"/>
    <s v="Debit Card"/>
    <x v="0"/>
  </r>
  <r>
    <n v="423"/>
    <x v="422"/>
    <n v="4"/>
    <s v="2023-11-05"/>
    <n v="2023"/>
    <x v="11"/>
    <n v="1"/>
    <n v="800.26"/>
    <n v="20"/>
    <n v="640.20800000000008"/>
    <s v="UPI"/>
    <x v="2"/>
  </r>
  <r>
    <n v="424"/>
    <x v="423"/>
    <n v="32"/>
    <s v="2023-07-08"/>
    <n v="2023"/>
    <x v="7"/>
    <n v="2"/>
    <n v="342.57"/>
    <n v="20"/>
    <n v="548.11199999999997"/>
    <s v="COD"/>
    <x v="0"/>
  </r>
  <r>
    <n v="425"/>
    <x v="424"/>
    <n v="66"/>
    <s v="2023-07-31"/>
    <n v="2023"/>
    <x v="7"/>
    <n v="3"/>
    <n v="783.37"/>
    <n v="5"/>
    <n v="2232.6044999999999"/>
    <s v="Credit Card"/>
    <x v="1"/>
  </r>
  <r>
    <n v="426"/>
    <x v="425"/>
    <n v="42"/>
    <s v="2023-01-09"/>
    <n v="2023"/>
    <x v="5"/>
    <n v="3"/>
    <n v="233.11"/>
    <n v="10"/>
    <n v="629.39700000000005"/>
    <s v="Credit Card"/>
    <x v="1"/>
  </r>
  <r>
    <n v="427"/>
    <x v="426"/>
    <n v="42"/>
    <s v="2023-12-14"/>
    <n v="2023"/>
    <x v="2"/>
    <n v="2"/>
    <n v="233.11"/>
    <n v="5"/>
    <n v="442.90899999999999"/>
    <s v="Wallet"/>
    <x v="1"/>
  </r>
  <r>
    <n v="428"/>
    <x v="427"/>
    <n v="63"/>
    <s v="2023-07-24"/>
    <n v="2023"/>
    <x v="7"/>
    <n v="3"/>
    <n v="309.79000000000002"/>
    <n v="20"/>
    <n v="743.49600000000009"/>
    <s v="Credit Card"/>
    <x v="2"/>
  </r>
  <r>
    <n v="429"/>
    <x v="428"/>
    <n v="45"/>
    <s v="2023-08-08"/>
    <n v="2023"/>
    <x v="6"/>
    <n v="2"/>
    <n v="609.05999999999995"/>
    <n v="0"/>
    <n v="1218.1199999999999"/>
    <s v="COD"/>
    <x v="3"/>
  </r>
  <r>
    <n v="430"/>
    <x v="429"/>
    <n v="38"/>
    <s v="2023-11-07"/>
    <n v="2023"/>
    <x v="11"/>
    <n v="1"/>
    <n v="802.88"/>
    <n v="5"/>
    <n v="762.73599999999999"/>
    <s v="Wallet"/>
    <x v="1"/>
  </r>
  <r>
    <n v="431"/>
    <x v="430"/>
    <n v="74"/>
    <s v="2024-02-06"/>
    <n v="2024"/>
    <x v="9"/>
    <n v="3"/>
    <n v="1034.31"/>
    <n v="20"/>
    <n v="2482.3440000000001"/>
    <s v="Credit Card"/>
    <x v="2"/>
  </r>
  <r>
    <n v="432"/>
    <x v="431"/>
    <n v="17"/>
    <s v="2023-09-12"/>
    <n v="2023"/>
    <x v="8"/>
    <n v="1"/>
    <n v="695.6"/>
    <n v="10"/>
    <n v="626.04000000000008"/>
    <s v="Wallet"/>
    <x v="0"/>
  </r>
  <r>
    <n v="433"/>
    <x v="432"/>
    <n v="60"/>
    <s v="2023-03-28"/>
    <n v="2023"/>
    <x v="1"/>
    <n v="2"/>
    <n v="830.49"/>
    <n v="0"/>
    <n v="1660.98"/>
    <s v="COD"/>
    <x v="0"/>
  </r>
  <r>
    <n v="434"/>
    <x v="433"/>
    <n v="70"/>
    <s v="2023-05-04"/>
    <n v="2023"/>
    <x v="0"/>
    <n v="1"/>
    <n v="797.23"/>
    <n v="5"/>
    <n v="757.36849999999993"/>
    <s v="Debit Card"/>
    <x v="0"/>
  </r>
  <r>
    <n v="435"/>
    <x v="434"/>
    <n v="12"/>
    <s v="2023-02-24"/>
    <n v="2023"/>
    <x v="9"/>
    <n v="2"/>
    <n v="627.41999999999996"/>
    <n v="0"/>
    <n v="1254.8399999999999"/>
    <s v="Debit Card"/>
    <x v="3"/>
  </r>
  <r>
    <n v="436"/>
    <x v="435"/>
    <n v="42"/>
    <s v="2024-04-07"/>
    <n v="2024"/>
    <x v="3"/>
    <n v="2"/>
    <n v="233.11"/>
    <n v="10"/>
    <n v="419.59800000000001"/>
    <s v="Debit Card"/>
    <x v="1"/>
  </r>
  <r>
    <n v="437"/>
    <x v="436"/>
    <n v="33"/>
    <s v="2023-12-07"/>
    <n v="2023"/>
    <x v="2"/>
    <n v="2"/>
    <n v="965.4"/>
    <n v="0"/>
    <n v="1930.8"/>
    <s v="Debit Card"/>
    <x v="3"/>
  </r>
  <r>
    <n v="438"/>
    <x v="437"/>
    <n v="69"/>
    <s v="2023-11-21"/>
    <n v="2023"/>
    <x v="11"/>
    <n v="3"/>
    <n v="951.81"/>
    <n v="15"/>
    <n v="2427.1154999999999"/>
    <s v="Credit Card"/>
    <x v="0"/>
  </r>
  <r>
    <n v="439"/>
    <x v="438"/>
    <n v="43"/>
    <s v="2024-03-22"/>
    <n v="2024"/>
    <x v="1"/>
    <n v="1"/>
    <n v="760.86"/>
    <n v="20"/>
    <n v="608.68799999999999"/>
    <s v="Wallet"/>
    <x v="2"/>
  </r>
  <r>
    <n v="440"/>
    <x v="439"/>
    <n v="9"/>
    <s v="2023-11-26"/>
    <n v="2023"/>
    <x v="11"/>
    <n v="2"/>
    <n v="43.26"/>
    <n v="15"/>
    <n v="73.542000000000002"/>
    <s v="COD"/>
    <x v="2"/>
  </r>
  <r>
    <n v="441"/>
    <x v="440"/>
    <n v="72"/>
    <s v="2024-05-09"/>
    <n v="2024"/>
    <x v="0"/>
    <n v="2"/>
    <n v="1157.27"/>
    <n v="5"/>
    <n v="2198.8129999999996"/>
    <s v="Debit Card"/>
    <x v="2"/>
  </r>
  <r>
    <n v="442"/>
    <x v="441"/>
    <n v="34"/>
    <s v="2023-03-01"/>
    <n v="2023"/>
    <x v="1"/>
    <n v="2"/>
    <n v="523.98"/>
    <n v="0"/>
    <n v="1047.96"/>
    <s v="Credit Card"/>
    <x v="1"/>
  </r>
  <r>
    <n v="443"/>
    <x v="442"/>
    <n v="12"/>
    <s v="2023-06-24"/>
    <n v="2023"/>
    <x v="4"/>
    <n v="3"/>
    <n v="627.41999999999996"/>
    <n v="20"/>
    <n v="1505.808"/>
    <s v="Debit Card"/>
    <x v="3"/>
  </r>
  <r>
    <n v="444"/>
    <x v="443"/>
    <n v="15"/>
    <s v="2023-10-21"/>
    <n v="2023"/>
    <x v="10"/>
    <n v="2"/>
    <n v="1183.2"/>
    <n v="5"/>
    <n v="2248.08"/>
    <s v="UPI"/>
    <x v="2"/>
  </r>
  <r>
    <n v="445"/>
    <x v="444"/>
    <n v="49"/>
    <s v="2023-10-23"/>
    <n v="2023"/>
    <x v="10"/>
    <n v="3"/>
    <n v="974.54"/>
    <n v="0"/>
    <n v="2923.62"/>
    <s v="UPI"/>
    <x v="1"/>
  </r>
  <r>
    <n v="446"/>
    <x v="445"/>
    <n v="8"/>
    <s v="2023-10-30"/>
    <n v="2023"/>
    <x v="10"/>
    <n v="3"/>
    <n v="155.08000000000001"/>
    <n v="5"/>
    <n v="441.97800000000001"/>
    <s v="COD"/>
    <x v="0"/>
  </r>
  <r>
    <n v="447"/>
    <x v="446"/>
    <n v="55"/>
    <s v="2023-06-13"/>
    <n v="2023"/>
    <x v="4"/>
    <n v="2"/>
    <n v="1016.06"/>
    <n v="5"/>
    <n v="1930.5139999999999"/>
    <s v="Wallet"/>
    <x v="0"/>
  </r>
  <r>
    <n v="448"/>
    <x v="447"/>
    <n v="78"/>
    <s v="2023-10-30"/>
    <n v="2023"/>
    <x v="10"/>
    <n v="1"/>
    <n v="795.77"/>
    <n v="0"/>
    <n v="795.77"/>
    <s v="COD"/>
    <x v="3"/>
  </r>
  <r>
    <n v="449"/>
    <x v="448"/>
    <n v="2"/>
    <s v="2023-10-03"/>
    <n v="2023"/>
    <x v="10"/>
    <n v="2"/>
    <n v="427.27"/>
    <n v="10"/>
    <n v="769.08600000000001"/>
    <s v="Debit Card"/>
    <x v="1"/>
  </r>
  <r>
    <n v="450"/>
    <x v="449"/>
    <n v="38"/>
    <s v="2024-03-04"/>
    <n v="2024"/>
    <x v="1"/>
    <n v="1"/>
    <n v="802.88"/>
    <n v="15"/>
    <n v="682.44799999999998"/>
    <s v="COD"/>
    <x v="1"/>
  </r>
  <r>
    <n v="451"/>
    <x v="450"/>
    <n v="19"/>
    <s v="2023-11-04"/>
    <n v="2023"/>
    <x v="11"/>
    <n v="2"/>
    <n v="262.97000000000003"/>
    <n v="5"/>
    <n v="499.64300000000003"/>
    <s v="Credit Card"/>
    <x v="3"/>
  </r>
  <r>
    <n v="452"/>
    <x v="451"/>
    <n v="77"/>
    <s v="2023-06-13"/>
    <n v="2023"/>
    <x v="4"/>
    <n v="2"/>
    <n v="1078.19"/>
    <n v="20"/>
    <n v="1725.1040000000003"/>
    <s v="Credit Card"/>
    <x v="1"/>
  </r>
  <r>
    <n v="453"/>
    <x v="452"/>
    <n v="36"/>
    <s v="2024-03-10"/>
    <n v="2024"/>
    <x v="1"/>
    <n v="3"/>
    <n v="992.01"/>
    <n v="20"/>
    <n v="2380.8240000000001"/>
    <s v="COD"/>
    <x v="3"/>
  </r>
  <r>
    <n v="454"/>
    <x v="453"/>
    <n v="28"/>
    <s v="2023-09-11"/>
    <n v="2023"/>
    <x v="8"/>
    <n v="2"/>
    <n v="494.39"/>
    <n v="15"/>
    <n v="840.46299999999997"/>
    <s v="Credit Card"/>
    <x v="3"/>
  </r>
  <r>
    <n v="455"/>
    <x v="454"/>
    <n v="43"/>
    <s v="2023-03-20"/>
    <n v="2023"/>
    <x v="1"/>
    <n v="3"/>
    <n v="760.86"/>
    <n v="5"/>
    <n v="2168.451"/>
    <s v="Debit Card"/>
    <x v="2"/>
  </r>
  <r>
    <n v="456"/>
    <x v="455"/>
    <n v="7"/>
    <s v="2024-04-17"/>
    <n v="2024"/>
    <x v="3"/>
    <n v="1"/>
    <n v="97.29"/>
    <n v="15"/>
    <n v="82.6965"/>
    <s v="COD"/>
    <x v="3"/>
  </r>
  <r>
    <n v="457"/>
    <x v="456"/>
    <n v="39"/>
    <s v="2024-02-22"/>
    <n v="2024"/>
    <x v="9"/>
    <n v="3"/>
    <n v="256.08999999999997"/>
    <n v="5"/>
    <n v="729.85649999999998"/>
    <s v="Credit Card"/>
    <x v="0"/>
  </r>
  <r>
    <n v="458"/>
    <x v="457"/>
    <n v="71"/>
    <s v="2023-07-20"/>
    <n v="2023"/>
    <x v="7"/>
    <n v="2"/>
    <n v="780.27"/>
    <n v="15"/>
    <n v="1326.4589999999998"/>
    <s v="COD"/>
    <x v="2"/>
  </r>
  <r>
    <n v="459"/>
    <x v="458"/>
    <n v="45"/>
    <s v="2024-01-23"/>
    <n v="2024"/>
    <x v="5"/>
    <n v="2"/>
    <n v="609.05999999999995"/>
    <n v="15"/>
    <n v="1035.4019999999998"/>
    <s v="Credit Card"/>
    <x v="3"/>
  </r>
  <r>
    <n v="460"/>
    <x v="459"/>
    <n v="68"/>
    <s v="2024-01-08"/>
    <n v="2024"/>
    <x v="5"/>
    <n v="2"/>
    <n v="180.99"/>
    <n v="10"/>
    <n v="325.78200000000004"/>
    <s v="Debit Card"/>
    <x v="0"/>
  </r>
  <r>
    <n v="461"/>
    <x v="460"/>
    <n v="71"/>
    <s v="2023-07-21"/>
    <n v="2023"/>
    <x v="7"/>
    <n v="1"/>
    <n v="780.27"/>
    <n v="5"/>
    <n v="741.25649999999996"/>
    <s v="UPI"/>
    <x v="2"/>
  </r>
  <r>
    <n v="462"/>
    <x v="461"/>
    <n v="75"/>
    <s v="2024-03-19"/>
    <n v="2024"/>
    <x v="1"/>
    <n v="1"/>
    <n v="390.41"/>
    <n v="10"/>
    <n v="351.36900000000003"/>
    <s v="COD"/>
    <x v="2"/>
  </r>
  <r>
    <n v="463"/>
    <x v="462"/>
    <n v="21"/>
    <s v="2023-10-23"/>
    <n v="2023"/>
    <x v="10"/>
    <n v="1"/>
    <n v="420.66"/>
    <n v="15"/>
    <n v="357.56100000000004"/>
    <s v="COD"/>
    <x v="3"/>
  </r>
  <r>
    <n v="464"/>
    <x v="463"/>
    <n v="38"/>
    <s v="2024-04-04"/>
    <n v="2024"/>
    <x v="3"/>
    <n v="1"/>
    <n v="802.88"/>
    <n v="5"/>
    <n v="762.73599999999999"/>
    <s v="Debit Card"/>
    <x v="1"/>
  </r>
  <r>
    <n v="465"/>
    <x v="464"/>
    <n v="26"/>
    <s v="2024-01-12"/>
    <n v="2024"/>
    <x v="5"/>
    <n v="3"/>
    <n v="272.61"/>
    <n v="0"/>
    <n v="817.83"/>
    <s v="UPI"/>
    <x v="1"/>
  </r>
  <r>
    <n v="466"/>
    <x v="465"/>
    <n v="74"/>
    <s v="2023-02-22"/>
    <n v="2023"/>
    <x v="9"/>
    <n v="3"/>
    <n v="1034.31"/>
    <n v="5"/>
    <n v="2947.7834999999995"/>
    <s v="COD"/>
    <x v="2"/>
  </r>
  <r>
    <n v="467"/>
    <x v="466"/>
    <n v="55"/>
    <s v="2023-12-14"/>
    <n v="2023"/>
    <x v="2"/>
    <n v="1"/>
    <n v="1016.06"/>
    <n v="0"/>
    <n v="1016.06"/>
    <s v="Credit Card"/>
    <x v="0"/>
  </r>
  <r>
    <n v="468"/>
    <x v="467"/>
    <n v="46"/>
    <s v="2024-05-13"/>
    <n v="2024"/>
    <x v="0"/>
    <n v="2"/>
    <n v="1155.3"/>
    <n v="5"/>
    <n v="2195.0699999999997"/>
    <s v="Credit Card"/>
    <x v="3"/>
  </r>
  <r>
    <n v="469"/>
    <x v="468"/>
    <n v="16"/>
    <s v="2023-09-21"/>
    <n v="2023"/>
    <x v="8"/>
    <n v="3"/>
    <n v="693.02"/>
    <n v="10"/>
    <n v="1871.154"/>
    <s v="Wallet"/>
    <x v="1"/>
  </r>
  <r>
    <n v="470"/>
    <x v="469"/>
    <n v="56"/>
    <s v="2024-05-11"/>
    <n v="2024"/>
    <x v="0"/>
    <n v="1"/>
    <n v="396.01"/>
    <n v="15"/>
    <n v="336.60849999999999"/>
    <s v="Debit Card"/>
    <x v="1"/>
  </r>
  <r>
    <n v="471"/>
    <x v="470"/>
    <n v="5"/>
    <s v="2023-03-02"/>
    <n v="2023"/>
    <x v="1"/>
    <n v="1"/>
    <n v="296.85000000000002"/>
    <n v="15"/>
    <n v="252.32250000000002"/>
    <s v="COD"/>
    <x v="0"/>
  </r>
  <r>
    <n v="472"/>
    <x v="471"/>
    <n v="39"/>
    <s v="2023-12-19"/>
    <n v="2023"/>
    <x v="2"/>
    <n v="3"/>
    <n v="256.08999999999997"/>
    <n v="5"/>
    <n v="729.85649999999998"/>
    <s v="COD"/>
    <x v="0"/>
  </r>
  <r>
    <n v="473"/>
    <x v="472"/>
    <n v="12"/>
    <s v="2024-02-03"/>
    <n v="2024"/>
    <x v="9"/>
    <n v="2"/>
    <n v="627.41999999999996"/>
    <n v="15"/>
    <n v="1066.6139999999998"/>
    <s v="UPI"/>
    <x v="3"/>
  </r>
  <r>
    <n v="474"/>
    <x v="473"/>
    <n v="57"/>
    <s v="2023-07-08"/>
    <n v="2023"/>
    <x v="7"/>
    <n v="1"/>
    <n v="768.03"/>
    <n v="0"/>
    <n v="768.03"/>
    <s v="Credit Card"/>
    <x v="2"/>
  </r>
  <r>
    <n v="475"/>
    <x v="474"/>
    <n v="11"/>
    <s v="2023-03-04"/>
    <n v="2023"/>
    <x v="1"/>
    <n v="2"/>
    <n v="1038.77"/>
    <n v="20"/>
    <n v="1662.0320000000002"/>
    <s v="Debit Card"/>
    <x v="3"/>
  </r>
  <r>
    <n v="476"/>
    <x v="475"/>
    <n v="3"/>
    <s v="2023-10-28"/>
    <n v="2023"/>
    <x v="10"/>
    <n v="3"/>
    <n v="506.08"/>
    <n v="20"/>
    <n v="1214.5920000000001"/>
    <s v="COD"/>
    <x v="0"/>
  </r>
  <r>
    <n v="477"/>
    <x v="476"/>
    <n v="36"/>
    <s v="2023-12-22"/>
    <n v="2023"/>
    <x v="2"/>
    <n v="3"/>
    <n v="992.01"/>
    <n v="0"/>
    <n v="2976.0299999999997"/>
    <s v="Wallet"/>
    <x v="3"/>
  </r>
  <r>
    <n v="478"/>
    <x v="477"/>
    <n v="24"/>
    <s v="2023-07-16"/>
    <n v="2023"/>
    <x v="7"/>
    <n v="2"/>
    <n v="1019.85"/>
    <n v="15"/>
    <n v="1733.7449999999999"/>
    <s v="UPI"/>
    <x v="3"/>
  </r>
  <r>
    <n v="479"/>
    <x v="478"/>
    <n v="74"/>
    <s v="2023-03-06"/>
    <n v="2023"/>
    <x v="1"/>
    <n v="1"/>
    <n v="1034.31"/>
    <n v="10"/>
    <n v="930.87900000000002"/>
    <s v="Credit Card"/>
    <x v="2"/>
  </r>
  <r>
    <n v="480"/>
    <x v="479"/>
    <n v="69"/>
    <s v="2023-04-05"/>
    <n v="2023"/>
    <x v="3"/>
    <n v="2"/>
    <n v="951.81"/>
    <n v="0"/>
    <n v="1903.62"/>
    <s v="COD"/>
    <x v="0"/>
  </r>
  <r>
    <n v="481"/>
    <x v="480"/>
    <n v="72"/>
    <s v="2024-02-23"/>
    <n v="2024"/>
    <x v="9"/>
    <n v="3"/>
    <n v="1157.27"/>
    <n v="20"/>
    <n v="2777.4480000000003"/>
    <s v="COD"/>
    <x v="2"/>
  </r>
  <r>
    <n v="482"/>
    <x v="481"/>
    <n v="9"/>
    <s v="2023-09-23"/>
    <n v="2023"/>
    <x v="8"/>
    <n v="3"/>
    <n v="43.26"/>
    <n v="20"/>
    <n v="103.82400000000001"/>
    <s v="Credit Card"/>
    <x v="2"/>
  </r>
  <r>
    <n v="483"/>
    <x v="482"/>
    <n v="27"/>
    <s v="2024-05-09"/>
    <n v="2024"/>
    <x v="0"/>
    <n v="3"/>
    <n v="76.09"/>
    <n v="0"/>
    <n v="228.27"/>
    <s v="Debit Card"/>
    <x v="0"/>
  </r>
  <r>
    <n v="484"/>
    <x v="483"/>
    <n v="77"/>
    <s v="2023-12-22"/>
    <n v="2023"/>
    <x v="2"/>
    <n v="1"/>
    <n v="1078.19"/>
    <n v="0"/>
    <n v="1078.19"/>
    <s v="Wallet"/>
    <x v="1"/>
  </r>
  <r>
    <n v="485"/>
    <x v="484"/>
    <n v="58"/>
    <s v="2024-02-14"/>
    <n v="2024"/>
    <x v="9"/>
    <n v="2"/>
    <n v="334.98"/>
    <n v="0"/>
    <n v="669.96"/>
    <s v="Credit Card"/>
    <x v="1"/>
  </r>
  <r>
    <n v="486"/>
    <x v="485"/>
    <n v="17"/>
    <s v="2023-10-22"/>
    <n v="2023"/>
    <x v="10"/>
    <n v="1"/>
    <n v="695.6"/>
    <n v="5"/>
    <n v="660.81999999999994"/>
    <s v="Credit Card"/>
    <x v="0"/>
  </r>
  <r>
    <n v="487"/>
    <x v="486"/>
    <n v="72"/>
    <s v="2023-05-12"/>
    <n v="2023"/>
    <x v="0"/>
    <n v="1"/>
    <n v="1157.27"/>
    <n v="0"/>
    <n v="1157.27"/>
    <s v="Credit Card"/>
    <x v="2"/>
  </r>
  <r>
    <n v="488"/>
    <x v="487"/>
    <n v="65"/>
    <s v="2023-06-02"/>
    <n v="2023"/>
    <x v="4"/>
    <n v="2"/>
    <n v="1189.73"/>
    <n v="20"/>
    <n v="1903.5680000000002"/>
    <s v="Debit Card"/>
    <x v="1"/>
  </r>
  <r>
    <n v="489"/>
    <x v="488"/>
    <n v="55"/>
    <s v="2024-05-15"/>
    <n v="2024"/>
    <x v="0"/>
    <n v="3"/>
    <n v="1016.06"/>
    <n v="0"/>
    <n v="3048.18"/>
    <s v="Debit Card"/>
    <x v="0"/>
  </r>
  <r>
    <n v="490"/>
    <x v="489"/>
    <n v="39"/>
    <s v="2023-01-24"/>
    <n v="2023"/>
    <x v="5"/>
    <n v="3"/>
    <n v="256.08999999999997"/>
    <n v="10"/>
    <n v="691.44299999999998"/>
    <s v="Wallet"/>
    <x v="0"/>
  </r>
  <r>
    <n v="491"/>
    <x v="490"/>
    <n v="57"/>
    <s v="2023-03-13"/>
    <n v="2023"/>
    <x v="1"/>
    <n v="3"/>
    <n v="768.03"/>
    <n v="15"/>
    <n v="1958.4765"/>
    <s v="UPI"/>
    <x v="2"/>
  </r>
  <r>
    <n v="492"/>
    <x v="491"/>
    <n v="67"/>
    <s v="2024-04-11"/>
    <n v="2024"/>
    <x v="3"/>
    <n v="2"/>
    <n v="258.35000000000002"/>
    <n v="20"/>
    <n v="413.36000000000007"/>
    <s v="Wallet"/>
    <x v="2"/>
  </r>
  <r>
    <n v="493"/>
    <x v="492"/>
    <n v="66"/>
    <s v="2023-04-18"/>
    <n v="2023"/>
    <x v="3"/>
    <n v="3"/>
    <n v="783.37"/>
    <n v="0"/>
    <n v="2350.11"/>
    <s v="Credit Card"/>
    <x v="1"/>
  </r>
  <r>
    <n v="494"/>
    <x v="493"/>
    <n v="31"/>
    <s v="2023-01-19"/>
    <n v="2023"/>
    <x v="5"/>
    <n v="1"/>
    <n v="131.79"/>
    <n v="5"/>
    <n v="125.20049999999999"/>
    <s v="UPI"/>
    <x v="3"/>
  </r>
  <r>
    <n v="495"/>
    <x v="494"/>
    <n v="28"/>
    <s v="2024-05-05"/>
    <n v="2024"/>
    <x v="0"/>
    <n v="1"/>
    <n v="494.39"/>
    <n v="20"/>
    <n v="395.512"/>
    <s v="Wallet"/>
    <x v="3"/>
  </r>
  <r>
    <n v="496"/>
    <x v="495"/>
    <n v="28"/>
    <s v="2023-10-30"/>
    <n v="2023"/>
    <x v="10"/>
    <n v="2"/>
    <n v="494.39"/>
    <n v="10"/>
    <n v="889.90200000000004"/>
    <s v="Debit Card"/>
    <x v="3"/>
  </r>
  <r>
    <n v="497"/>
    <x v="496"/>
    <n v="80"/>
    <s v="2023-08-05"/>
    <n v="2023"/>
    <x v="6"/>
    <n v="1"/>
    <n v="1014.45"/>
    <n v="20"/>
    <n v="811.56000000000006"/>
    <s v="UPI"/>
    <x v="3"/>
  </r>
  <r>
    <n v="498"/>
    <x v="497"/>
    <n v="34"/>
    <s v="2023-07-15"/>
    <n v="2023"/>
    <x v="7"/>
    <n v="3"/>
    <n v="523.98"/>
    <n v="5"/>
    <n v="1493.3430000000001"/>
    <s v="COD"/>
    <x v="1"/>
  </r>
  <r>
    <n v="499"/>
    <x v="498"/>
    <n v="59"/>
    <s v="2023-02-12"/>
    <n v="2023"/>
    <x v="9"/>
    <n v="2"/>
    <n v="782.33"/>
    <n v="15"/>
    <n v="1329.961"/>
    <s v="Debit Card"/>
    <x v="0"/>
  </r>
  <r>
    <n v="500"/>
    <x v="499"/>
    <n v="69"/>
    <s v="2023-04-15"/>
    <n v="2023"/>
    <x v="3"/>
    <n v="1"/>
    <n v="951.81"/>
    <n v="10"/>
    <n v="856.62900000000002"/>
    <s v="Debit Card"/>
    <x v="0"/>
  </r>
  <r>
    <n v="501"/>
    <x v="500"/>
    <n v="48"/>
    <s v="2023-10-16"/>
    <n v="2023"/>
    <x v="10"/>
    <n v="3"/>
    <n v="1125.8499999999999"/>
    <n v="20"/>
    <n v="2702.04"/>
    <s v="Wallet"/>
    <x v="0"/>
  </r>
  <r>
    <n v="502"/>
    <x v="501"/>
    <n v="21"/>
    <s v="2023-08-03"/>
    <n v="2023"/>
    <x v="6"/>
    <n v="1"/>
    <n v="420.66"/>
    <n v="10"/>
    <n v="378.59400000000005"/>
    <s v="COD"/>
    <x v="3"/>
  </r>
  <r>
    <n v="503"/>
    <x v="502"/>
    <n v="49"/>
    <s v="2023-01-14"/>
    <n v="2023"/>
    <x v="5"/>
    <n v="3"/>
    <n v="974.54"/>
    <n v="5"/>
    <n v="2777.4389999999999"/>
    <s v="Credit Card"/>
    <x v="1"/>
  </r>
  <r>
    <n v="504"/>
    <x v="503"/>
    <n v="35"/>
    <s v="2023-03-05"/>
    <n v="2023"/>
    <x v="1"/>
    <n v="3"/>
    <n v="958.87"/>
    <n v="0"/>
    <n v="2876.61"/>
    <s v="Wallet"/>
    <x v="0"/>
  </r>
  <r>
    <n v="505"/>
    <x v="504"/>
    <n v="53"/>
    <s v="2023-02-03"/>
    <n v="2023"/>
    <x v="9"/>
    <n v="2"/>
    <n v="194.34"/>
    <n v="0"/>
    <n v="388.68"/>
    <s v="UPI"/>
    <x v="1"/>
  </r>
  <r>
    <n v="506"/>
    <x v="505"/>
    <n v="43"/>
    <s v="2024-02-03"/>
    <n v="2024"/>
    <x v="9"/>
    <n v="2"/>
    <n v="760.86"/>
    <n v="5"/>
    <n v="1445.634"/>
    <s v="Debit Card"/>
    <x v="2"/>
  </r>
  <r>
    <n v="507"/>
    <x v="506"/>
    <n v="36"/>
    <s v="2023-01-06"/>
    <n v="2023"/>
    <x v="5"/>
    <n v="1"/>
    <n v="992.01"/>
    <n v="15"/>
    <n v="843.20849999999996"/>
    <s v="Debit Card"/>
    <x v="3"/>
  </r>
  <r>
    <n v="508"/>
    <x v="507"/>
    <n v="49"/>
    <s v="2024-05-02"/>
    <n v="2024"/>
    <x v="0"/>
    <n v="1"/>
    <n v="974.54"/>
    <n v="0"/>
    <n v="974.54"/>
    <s v="Debit Card"/>
    <x v="1"/>
  </r>
  <r>
    <n v="509"/>
    <x v="508"/>
    <n v="68"/>
    <s v="2024-01-08"/>
    <n v="2024"/>
    <x v="5"/>
    <n v="2"/>
    <n v="180.99"/>
    <n v="20"/>
    <n v="289.584"/>
    <s v="COD"/>
    <x v="0"/>
  </r>
  <r>
    <n v="510"/>
    <x v="509"/>
    <n v="13"/>
    <s v="2023-09-28"/>
    <n v="2023"/>
    <x v="8"/>
    <n v="2"/>
    <n v="334.61"/>
    <n v="20"/>
    <n v="535.37600000000009"/>
    <s v="UPI"/>
    <x v="1"/>
  </r>
  <r>
    <n v="511"/>
    <x v="510"/>
    <n v="71"/>
    <s v="2023-05-19"/>
    <n v="2023"/>
    <x v="0"/>
    <n v="3"/>
    <n v="780.27"/>
    <n v="0"/>
    <n v="2340.81"/>
    <s v="Credit Card"/>
    <x v="2"/>
  </r>
  <r>
    <n v="512"/>
    <x v="511"/>
    <n v="22"/>
    <s v="2023-06-12"/>
    <n v="2023"/>
    <x v="4"/>
    <n v="2"/>
    <n v="373.43"/>
    <n v="5"/>
    <n v="709.51699999999994"/>
    <s v="UPI"/>
    <x v="3"/>
  </r>
  <r>
    <n v="513"/>
    <x v="512"/>
    <n v="69"/>
    <s v="2023-10-10"/>
    <n v="2023"/>
    <x v="10"/>
    <n v="3"/>
    <n v="951.81"/>
    <n v="15"/>
    <n v="2427.1154999999999"/>
    <s v="COD"/>
    <x v="0"/>
  </r>
  <r>
    <n v="514"/>
    <x v="513"/>
    <n v="76"/>
    <s v="2023-03-07"/>
    <n v="2023"/>
    <x v="1"/>
    <n v="2"/>
    <n v="1043.26"/>
    <n v="0"/>
    <n v="2086.52"/>
    <s v="Wallet"/>
    <x v="0"/>
  </r>
  <r>
    <n v="515"/>
    <x v="514"/>
    <n v="20"/>
    <s v="2023-12-03"/>
    <n v="2023"/>
    <x v="2"/>
    <n v="1"/>
    <n v="613.27"/>
    <n v="5"/>
    <n v="582.60649999999998"/>
    <s v="COD"/>
    <x v="1"/>
  </r>
  <r>
    <n v="516"/>
    <x v="515"/>
    <n v="73"/>
    <s v="2024-01-12"/>
    <n v="2024"/>
    <x v="5"/>
    <n v="2"/>
    <n v="943.04"/>
    <n v="0"/>
    <n v="1886.08"/>
    <s v="UPI"/>
    <x v="1"/>
  </r>
  <r>
    <n v="517"/>
    <x v="516"/>
    <n v="32"/>
    <s v="2023-12-14"/>
    <n v="2023"/>
    <x v="2"/>
    <n v="3"/>
    <n v="342.57"/>
    <n v="15"/>
    <n v="873.55349999999999"/>
    <s v="COD"/>
    <x v="0"/>
  </r>
  <r>
    <n v="518"/>
    <x v="517"/>
    <n v="24"/>
    <s v="2023-08-13"/>
    <n v="2023"/>
    <x v="6"/>
    <n v="2"/>
    <n v="1019.85"/>
    <n v="15"/>
    <n v="1733.7449999999999"/>
    <s v="Wallet"/>
    <x v="3"/>
  </r>
  <r>
    <n v="519"/>
    <x v="518"/>
    <n v="37"/>
    <s v="2023-05-22"/>
    <n v="2023"/>
    <x v="0"/>
    <n v="2"/>
    <n v="968.87"/>
    <n v="20"/>
    <n v="1550.192"/>
    <s v="Debit Card"/>
    <x v="1"/>
  </r>
  <r>
    <n v="520"/>
    <x v="519"/>
    <n v="40"/>
    <s v="2023-11-22"/>
    <n v="2023"/>
    <x v="11"/>
    <n v="1"/>
    <n v="316.49"/>
    <n v="10"/>
    <n v="284.84100000000001"/>
    <s v="COD"/>
    <x v="1"/>
  </r>
  <r>
    <n v="521"/>
    <x v="520"/>
    <n v="41"/>
    <s v="2024-03-08"/>
    <n v="2024"/>
    <x v="1"/>
    <n v="1"/>
    <n v="554.80999999999995"/>
    <n v="0"/>
    <n v="554.80999999999995"/>
    <s v="Credit Card"/>
    <x v="1"/>
  </r>
  <r>
    <n v="522"/>
    <x v="521"/>
    <n v="31"/>
    <s v="2024-04-28"/>
    <n v="2024"/>
    <x v="3"/>
    <n v="1"/>
    <n v="131.79"/>
    <n v="5"/>
    <n v="125.20049999999999"/>
    <s v="Wallet"/>
    <x v="3"/>
  </r>
  <r>
    <n v="523"/>
    <x v="522"/>
    <n v="8"/>
    <s v="2023-02-13"/>
    <n v="2023"/>
    <x v="9"/>
    <n v="3"/>
    <n v="155.08000000000001"/>
    <n v="10"/>
    <n v="418.71600000000001"/>
    <s v="Wallet"/>
    <x v="0"/>
  </r>
  <r>
    <n v="524"/>
    <x v="523"/>
    <n v="64"/>
    <s v="2024-02-18"/>
    <n v="2024"/>
    <x v="9"/>
    <n v="1"/>
    <n v="567.71"/>
    <n v="15"/>
    <n v="482.55350000000004"/>
    <s v="Wallet"/>
    <x v="0"/>
  </r>
  <r>
    <n v="525"/>
    <x v="524"/>
    <n v="18"/>
    <s v="2023-09-03"/>
    <n v="2023"/>
    <x v="8"/>
    <n v="2"/>
    <n v="138.07"/>
    <n v="20"/>
    <n v="220.91200000000001"/>
    <s v="Wallet"/>
    <x v="1"/>
  </r>
  <r>
    <n v="526"/>
    <x v="525"/>
    <n v="16"/>
    <s v="2023-07-27"/>
    <n v="2023"/>
    <x v="7"/>
    <n v="1"/>
    <n v="693.02"/>
    <n v="20"/>
    <n v="554.41600000000005"/>
    <s v="Debit Card"/>
    <x v="1"/>
  </r>
  <r>
    <n v="527"/>
    <x v="526"/>
    <n v="1"/>
    <s v="2024-01-01"/>
    <n v="2024"/>
    <x v="5"/>
    <n v="2"/>
    <n v="469.08"/>
    <n v="20"/>
    <n v="750.52800000000002"/>
    <s v="UPI"/>
    <x v="0"/>
  </r>
  <r>
    <n v="528"/>
    <x v="527"/>
    <n v="32"/>
    <s v="2024-01-14"/>
    <n v="2024"/>
    <x v="5"/>
    <n v="3"/>
    <n v="342.57"/>
    <n v="20"/>
    <n v="822.16800000000012"/>
    <s v="Wallet"/>
    <x v="0"/>
  </r>
  <r>
    <n v="529"/>
    <x v="528"/>
    <n v="6"/>
    <s v="2023-11-07"/>
    <n v="2023"/>
    <x v="11"/>
    <n v="2"/>
    <n v="719.19"/>
    <n v="5"/>
    <n v="1366.461"/>
    <s v="Wallet"/>
    <x v="0"/>
  </r>
  <r>
    <n v="530"/>
    <x v="529"/>
    <n v="29"/>
    <s v="2023-03-31"/>
    <n v="2023"/>
    <x v="1"/>
    <n v="1"/>
    <n v="757"/>
    <n v="10"/>
    <n v="681.30000000000007"/>
    <s v="Debit Card"/>
    <x v="0"/>
  </r>
  <r>
    <n v="531"/>
    <x v="530"/>
    <n v="66"/>
    <s v="2023-06-30"/>
    <n v="2023"/>
    <x v="4"/>
    <n v="1"/>
    <n v="783.37"/>
    <n v="15"/>
    <n v="665.86450000000002"/>
    <s v="COD"/>
    <x v="1"/>
  </r>
  <r>
    <n v="532"/>
    <x v="531"/>
    <n v="49"/>
    <s v="2023-03-29"/>
    <n v="2023"/>
    <x v="1"/>
    <n v="2"/>
    <n v="974.54"/>
    <n v="0"/>
    <n v="1949.08"/>
    <s v="UPI"/>
    <x v="1"/>
  </r>
  <r>
    <n v="533"/>
    <x v="532"/>
    <n v="32"/>
    <s v="2024-03-01"/>
    <n v="2024"/>
    <x v="1"/>
    <n v="3"/>
    <n v="342.57"/>
    <n v="0"/>
    <n v="1027.71"/>
    <s v="UPI"/>
    <x v="0"/>
  </r>
  <r>
    <n v="534"/>
    <x v="533"/>
    <n v="39"/>
    <s v="2023-09-05"/>
    <n v="2023"/>
    <x v="8"/>
    <n v="2"/>
    <n v="256.08999999999997"/>
    <n v="10"/>
    <n v="460.96199999999999"/>
    <s v="Debit Card"/>
    <x v="0"/>
  </r>
  <r>
    <n v="535"/>
    <x v="534"/>
    <n v="1"/>
    <s v="2024-01-13"/>
    <n v="2024"/>
    <x v="5"/>
    <n v="3"/>
    <n v="469.08"/>
    <n v="20"/>
    <n v="1125.7920000000001"/>
    <s v="COD"/>
    <x v="0"/>
  </r>
  <r>
    <n v="536"/>
    <x v="535"/>
    <n v="28"/>
    <s v="2024-04-17"/>
    <n v="2024"/>
    <x v="3"/>
    <n v="2"/>
    <n v="494.39"/>
    <n v="20"/>
    <n v="791.024"/>
    <s v="Credit Card"/>
    <x v="3"/>
  </r>
  <r>
    <n v="537"/>
    <x v="536"/>
    <n v="60"/>
    <s v="2024-04-01"/>
    <n v="2024"/>
    <x v="3"/>
    <n v="3"/>
    <n v="830.49"/>
    <n v="15"/>
    <n v="2117.7495000000004"/>
    <s v="Credit Card"/>
    <x v="0"/>
  </r>
  <r>
    <n v="538"/>
    <x v="537"/>
    <n v="46"/>
    <s v="2023-01-04"/>
    <n v="2023"/>
    <x v="5"/>
    <n v="3"/>
    <n v="1155.3"/>
    <n v="15"/>
    <n v="2946.0149999999994"/>
    <s v="UPI"/>
    <x v="3"/>
  </r>
  <r>
    <n v="539"/>
    <x v="538"/>
    <n v="39"/>
    <s v="2023-07-01"/>
    <n v="2023"/>
    <x v="7"/>
    <n v="1"/>
    <n v="256.08999999999997"/>
    <n v="0"/>
    <n v="256.08999999999997"/>
    <s v="UPI"/>
    <x v="0"/>
  </r>
  <r>
    <n v="540"/>
    <x v="539"/>
    <n v="24"/>
    <s v="2023-07-25"/>
    <n v="2023"/>
    <x v="7"/>
    <n v="2"/>
    <n v="1019.85"/>
    <n v="0"/>
    <n v="2039.7"/>
    <s v="Credit Card"/>
    <x v="3"/>
  </r>
  <r>
    <n v="541"/>
    <x v="540"/>
    <n v="56"/>
    <s v="2023-09-09"/>
    <n v="2023"/>
    <x v="8"/>
    <n v="1"/>
    <n v="396.01"/>
    <n v="0"/>
    <n v="396.01"/>
    <s v="Wallet"/>
    <x v="1"/>
  </r>
  <r>
    <n v="542"/>
    <x v="541"/>
    <n v="66"/>
    <s v="2024-04-05"/>
    <n v="2024"/>
    <x v="3"/>
    <n v="1"/>
    <n v="783.37"/>
    <n v="15"/>
    <n v="665.86450000000002"/>
    <s v="Credit Card"/>
    <x v="1"/>
  </r>
  <r>
    <n v="543"/>
    <x v="542"/>
    <n v="63"/>
    <s v="2023-01-04"/>
    <n v="2023"/>
    <x v="5"/>
    <n v="1"/>
    <n v="309.79000000000002"/>
    <n v="10"/>
    <n v="278.81100000000004"/>
    <s v="Debit Card"/>
    <x v="2"/>
  </r>
  <r>
    <n v="544"/>
    <x v="543"/>
    <n v="61"/>
    <s v="2023-07-22"/>
    <n v="2023"/>
    <x v="7"/>
    <n v="2"/>
    <n v="498.92"/>
    <n v="10"/>
    <n v="898.05600000000004"/>
    <s v="UPI"/>
    <x v="0"/>
  </r>
  <r>
    <n v="545"/>
    <x v="544"/>
    <n v="55"/>
    <s v="2024-04-01"/>
    <n v="2024"/>
    <x v="3"/>
    <n v="1"/>
    <n v="1016.06"/>
    <n v="20"/>
    <n v="812.84799999999996"/>
    <s v="UPI"/>
    <x v="0"/>
  </r>
  <r>
    <n v="546"/>
    <x v="545"/>
    <n v="14"/>
    <s v="2023-08-13"/>
    <n v="2023"/>
    <x v="6"/>
    <n v="3"/>
    <n v="574.25"/>
    <n v="15"/>
    <n v="1464.3374999999999"/>
    <s v="Debit Card"/>
    <x v="3"/>
  </r>
  <r>
    <n v="547"/>
    <x v="546"/>
    <n v="18"/>
    <s v="2023-07-01"/>
    <n v="2023"/>
    <x v="7"/>
    <n v="3"/>
    <n v="138.07"/>
    <n v="15"/>
    <n v="352.07849999999996"/>
    <s v="Credit Card"/>
    <x v="1"/>
  </r>
  <r>
    <n v="548"/>
    <x v="547"/>
    <n v="46"/>
    <s v="2024-03-28"/>
    <n v="2024"/>
    <x v="1"/>
    <n v="3"/>
    <n v="1155.3"/>
    <n v="5"/>
    <n v="3292.6049999999996"/>
    <s v="Credit Card"/>
    <x v="3"/>
  </r>
  <r>
    <n v="549"/>
    <x v="548"/>
    <n v="25"/>
    <s v="2023-05-26"/>
    <n v="2023"/>
    <x v="0"/>
    <n v="1"/>
    <n v="1011.65"/>
    <n v="5"/>
    <n v="961.06749999999988"/>
    <s v="COD"/>
    <x v="2"/>
  </r>
  <r>
    <n v="550"/>
    <x v="549"/>
    <n v="54"/>
    <s v="2024-01-16"/>
    <n v="2024"/>
    <x v="5"/>
    <n v="2"/>
    <n v="900.79"/>
    <n v="0"/>
    <n v="1801.58"/>
    <s v="Debit Card"/>
    <x v="2"/>
  </r>
  <r>
    <n v="551"/>
    <x v="550"/>
    <n v="26"/>
    <s v="2024-04-30"/>
    <n v="2024"/>
    <x v="3"/>
    <n v="2"/>
    <n v="272.61"/>
    <n v="10"/>
    <n v="490.69800000000004"/>
    <s v="Credit Card"/>
    <x v="1"/>
  </r>
  <r>
    <n v="552"/>
    <x v="551"/>
    <n v="54"/>
    <s v="2023-09-08"/>
    <n v="2023"/>
    <x v="8"/>
    <n v="3"/>
    <n v="900.79"/>
    <n v="15"/>
    <n v="2297.0144999999998"/>
    <s v="Debit Card"/>
    <x v="2"/>
  </r>
  <r>
    <n v="553"/>
    <x v="552"/>
    <n v="42"/>
    <s v="2024-01-20"/>
    <n v="2024"/>
    <x v="5"/>
    <n v="2"/>
    <n v="233.11"/>
    <n v="20"/>
    <n v="372.97600000000006"/>
    <s v="COD"/>
    <x v="1"/>
  </r>
  <r>
    <n v="554"/>
    <x v="553"/>
    <n v="17"/>
    <s v="2023-02-26"/>
    <n v="2023"/>
    <x v="9"/>
    <n v="1"/>
    <n v="695.6"/>
    <n v="0"/>
    <n v="695.6"/>
    <s v="Debit Card"/>
    <x v="0"/>
  </r>
  <r>
    <n v="555"/>
    <x v="554"/>
    <n v="20"/>
    <s v="2023-06-26"/>
    <n v="2023"/>
    <x v="4"/>
    <n v="3"/>
    <n v="613.27"/>
    <n v="0"/>
    <n v="1839.81"/>
    <s v="Debit Card"/>
    <x v="1"/>
  </r>
  <r>
    <n v="556"/>
    <x v="555"/>
    <n v="7"/>
    <s v="2023-12-14"/>
    <n v="2023"/>
    <x v="2"/>
    <n v="2"/>
    <n v="97.29"/>
    <n v="15"/>
    <n v="165.393"/>
    <s v="Wallet"/>
    <x v="3"/>
  </r>
  <r>
    <n v="557"/>
    <x v="556"/>
    <n v="2"/>
    <s v="2023-08-11"/>
    <n v="2023"/>
    <x v="6"/>
    <n v="2"/>
    <n v="427.27"/>
    <n v="10"/>
    <n v="769.08600000000001"/>
    <s v="UPI"/>
    <x v="1"/>
  </r>
  <r>
    <n v="558"/>
    <x v="557"/>
    <n v="63"/>
    <s v="2023-02-12"/>
    <n v="2023"/>
    <x v="9"/>
    <n v="2"/>
    <n v="309.79000000000002"/>
    <n v="5"/>
    <n v="588.601"/>
    <s v="Wallet"/>
    <x v="2"/>
  </r>
  <r>
    <n v="559"/>
    <x v="558"/>
    <n v="20"/>
    <s v="2024-01-09"/>
    <n v="2024"/>
    <x v="5"/>
    <n v="3"/>
    <n v="613.27"/>
    <n v="5"/>
    <n v="1747.8194999999998"/>
    <s v="Debit Card"/>
    <x v="1"/>
  </r>
  <r>
    <n v="560"/>
    <x v="559"/>
    <n v="36"/>
    <s v="2024-01-28"/>
    <n v="2024"/>
    <x v="5"/>
    <n v="1"/>
    <n v="992.01"/>
    <n v="10"/>
    <n v="892.80899999999997"/>
    <s v="Debit Card"/>
    <x v="3"/>
  </r>
  <r>
    <n v="561"/>
    <x v="560"/>
    <n v="55"/>
    <s v="2023-04-12"/>
    <n v="2023"/>
    <x v="3"/>
    <n v="2"/>
    <n v="1016.06"/>
    <n v="0"/>
    <n v="2032.12"/>
    <s v="Wallet"/>
    <x v="0"/>
  </r>
  <r>
    <n v="562"/>
    <x v="561"/>
    <n v="79"/>
    <s v="2023-04-03"/>
    <n v="2023"/>
    <x v="3"/>
    <n v="1"/>
    <n v="488.34"/>
    <n v="20"/>
    <n v="390.67200000000003"/>
    <s v="Debit Card"/>
    <x v="2"/>
  </r>
  <r>
    <n v="563"/>
    <x v="562"/>
    <n v="30"/>
    <s v="2023-03-03"/>
    <n v="2023"/>
    <x v="1"/>
    <n v="1"/>
    <n v="866.89"/>
    <n v="15"/>
    <n v="736.85649999999998"/>
    <s v="Credit Card"/>
    <x v="2"/>
  </r>
  <r>
    <n v="564"/>
    <x v="563"/>
    <n v="36"/>
    <s v="2023-04-09"/>
    <n v="2023"/>
    <x v="3"/>
    <n v="1"/>
    <n v="992.01"/>
    <n v="15"/>
    <n v="843.20849999999996"/>
    <s v="Credit Card"/>
    <x v="3"/>
  </r>
  <r>
    <n v="565"/>
    <x v="564"/>
    <n v="79"/>
    <s v="2023-04-13"/>
    <n v="2023"/>
    <x v="3"/>
    <n v="1"/>
    <n v="488.34"/>
    <n v="0"/>
    <n v="488.34"/>
    <s v="COD"/>
    <x v="2"/>
  </r>
  <r>
    <n v="566"/>
    <x v="565"/>
    <n v="53"/>
    <s v="2023-09-26"/>
    <n v="2023"/>
    <x v="8"/>
    <n v="2"/>
    <n v="194.34"/>
    <n v="5"/>
    <n v="369.24599999999998"/>
    <s v="Debit Card"/>
    <x v="1"/>
  </r>
  <r>
    <n v="567"/>
    <x v="566"/>
    <n v="44"/>
    <s v="2023-08-07"/>
    <n v="2023"/>
    <x v="6"/>
    <n v="2"/>
    <n v="1038"/>
    <n v="0"/>
    <n v="2076"/>
    <s v="Wallet"/>
    <x v="1"/>
  </r>
  <r>
    <n v="568"/>
    <x v="567"/>
    <n v="55"/>
    <s v="2023-11-26"/>
    <n v="2023"/>
    <x v="11"/>
    <n v="1"/>
    <n v="1016.06"/>
    <n v="10"/>
    <n v="914.45399999999995"/>
    <s v="Credit Card"/>
    <x v="0"/>
  </r>
  <r>
    <n v="569"/>
    <x v="568"/>
    <n v="35"/>
    <s v="2023-07-06"/>
    <n v="2023"/>
    <x v="7"/>
    <n v="2"/>
    <n v="958.87"/>
    <n v="10"/>
    <n v="1725.9660000000001"/>
    <s v="COD"/>
    <x v="0"/>
  </r>
  <r>
    <n v="570"/>
    <x v="569"/>
    <n v="32"/>
    <s v="2023-06-13"/>
    <n v="2023"/>
    <x v="4"/>
    <n v="1"/>
    <n v="342.57"/>
    <n v="5"/>
    <n v="325.44149999999996"/>
    <s v="Credit Card"/>
    <x v="0"/>
  </r>
  <r>
    <n v="571"/>
    <x v="570"/>
    <n v="1"/>
    <s v="2023-01-27"/>
    <n v="2023"/>
    <x v="5"/>
    <n v="3"/>
    <n v="469.08"/>
    <n v="10"/>
    <n v="1266.5160000000001"/>
    <s v="Debit Card"/>
    <x v="0"/>
  </r>
  <r>
    <n v="572"/>
    <x v="571"/>
    <n v="37"/>
    <s v="2023-08-30"/>
    <n v="2023"/>
    <x v="6"/>
    <n v="2"/>
    <n v="968.87"/>
    <n v="20"/>
    <n v="1550.192"/>
    <s v="Credit Card"/>
    <x v="1"/>
  </r>
  <r>
    <n v="573"/>
    <x v="572"/>
    <n v="56"/>
    <s v="2023-04-05"/>
    <n v="2023"/>
    <x v="3"/>
    <n v="2"/>
    <n v="396.01"/>
    <n v="15"/>
    <n v="673.21699999999998"/>
    <s v="UPI"/>
    <x v="1"/>
  </r>
  <r>
    <n v="574"/>
    <x v="573"/>
    <n v="43"/>
    <s v="2023-06-05"/>
    <n v="2023"/>
    <x v="4"/>
    <n v="1"/>
    <n v="760.86"/>
    <n v="0"/>
    <n v="760.86"/>
    <s v="Credit Card"/>
    <x v="2"/>
  </r>
  <r>
    <n v="575"/>
    <x v="574"/>
    <n v="71"/>
    <s v="2024-01-30"/>
    <n v="2024"/>
    <x v="5"/>
    <n v="1"/>
    <n v="780.27"/>
    <n v="10"/>
    <n v="702.24300000000005"/>
    <s v="UPI"/>
    <x v="2"/>
  </r>
  <r>
    <n v="576"/>
    <x v="575"/>
    <n v="47"/>
    <s v="2024-01-16"/>
    <n v="2024"/>
    <x v="5"/>
    <n v="3"/>
    <n v="1126.96"/>
    <n v="20"/>
    <n v="2704.7040000000002"/>
    <s v="Wallet"/>
    <x v="3"/>
  </r>
  <r>
    <n v="577"/>
    <x v="576"/>
    <n v="48"/>
    <s v="2023-05-02"/>
    <n v="2023"/>
    <x v="0"/>
    <n v="3"/>
    <n v="1125.8499999999999"/>
    <n v="10"/>
    <n v="3039.7949999999996"/>
    <s v="Debit Card"/>
    <x v="0"/>
  </r>
  <r>
    <n v="578"/>
    <x v="577"/>
    <n v="75"/>
    <s v="2023-07-16"/>
    <n v="2023"/>
    <x v="7"/>
    <n v="1"/>
    <n v="390.41"/>
    <n v="0"/>
    <n v="390.41"/>
    <s v="Debit Card"/>
    <x v="2"/>
  </r>
  <r>
    <n v="579"/>
    <x v="578"/>
    <n v="78"/>
    <s v="2023-03-03"/>
    <n v="2023"/>
    <x v="1"/>
    <n v="1"/>
    <n v="795.77"/>
    <n v="20"/>
    <n v="636.61599999999999"/>
    <s v="Debit Card"/>
    <x v="3"/>
  </r>
  <r>
    <n v="580"/>
    <x v="579"/>
    <n v="25"/>
    <s v="2023-12-27"/>
    <n v="2023"/>
    <x v="2"/>
    <n v="2"/>
    <n v="1011.65"/>
    <n v="0"/>
    <n v="2023.3"/>
    <s v="Credit Card"/>
    <x v="2"/>
  </r>
  <r>
    <n v="581"/>
    <x v="580"/>
    <n v="70"/>
    <s v="2023-11-13"/>
    <n v="2023"/>
    <x v="11"/>
    <n v="2"/>
    <n v="797.23"/>
    <n v="10"/>
    <n v="1435.0140000000001"/>
    <s v="COD"/>
    <x v="0"/>
  </r>
  <r>
    <n v="582"/>
    <x v="581"/>
    <n v="26"/>
    <s v="2023-10-01"/>
    <n v="2023"/>
    <x v="10"/>
    <n v="3"/>
    <n v="272.61"/>
    <n v="5"/>
    <n v="776.93849999999998"/>
    <s v="Credit Card"/>
    <x v="1"/>
  </r>
  <r>
    <n v="583"/>
    <x v="582"/>
    <n v="17"/>
    <s v="2023-04-09"/>
    <n v="2023"/>
    <x v="3"/>
    <n v="2"/>
    <n v="695.6"/>
    <n v="20"/>
    <n v="1112.96"/>
    <s v="UPI"/>
    <x v="0"/>
  </r>
  <r>
    <n v="584"/>
    <x v="583"/>
    <n v="72"/>
    <s v="2024-05-14"/>
    <n v="2024"/>
    <x v="0"/>
    <n v="2"/>
    <n v="1157.27"/>
    <n v="10"/>
    <n v="2083.0860000000002"/>
    <s v="COD"/>
    <x v="2"/>
  </r>
  <r>
    <n v="585"/>
    <x v="584"/>
    <n v="16"/>
    <s v="2024-04-11"/>
    <n v="2024"/>
    <x v="3"/>
    <n v="2"/>
    <n v="693.02"/>
    <n v="0"/>
    <n v="1386.04"/>
    <s v="COD"/>
    <x v="1"/>
  </r>
  <r>
    <n v="586"/>
    <x v="585"/>
    <n v="54"/>
    <s v="2023-09-26"/>
    <n v="2023"/>
    <x v="8"/>
    <n v="3"/>
    <n v="900.79"/>
    <n v="0"/>
    <n v="2702.37"/>
    <s v="Debit Card"/>
    <x v="2"/>
  </r>
  <r>
    <n v="587"/>
    <x v="586"/>
    <n v="77"/>
    <s v="2023-05-21"/>
    <n v="2023"/>
    <x v="0"/>
    <n v="3"/>
    <n v="1078.19"/>
    <n v="5"/>
    <n v="3072.8415"/>
    <s v="UPI"/>
    <x v="1"/>
  </r>
  <r>
    <n v="588"/>
    <x v="587"/>
    <n v="6"/>
    <s v="2024-05-04"/>
    <n v="2024"/>
    <x v="0"/>
    <n v="3"/>
    <n v="719.19"/>
    <n v="0"/>
    <n v="2157.5700000000002"/>
    <s v="Debit Card"/>
    <x v="0"/>
  </r>
  <r>
    <n v="589"/>
    <x v="588"/>
    <n v="51"/>
    <s v="2023-09-11"/>
    <n v="2023"/>
    <x v="8"/>
    <n v="3"/>
    <n v="759.57"/>
    <n v="20"/>
    <n v="1822.9680000000001"/>
    <s v="Wallet"/>
    <x v="3"/>
  </r>
  <r>
    <n v="590"/>
    <x v="589"/>
    <n v="10"/>
    <s v="2023-03-26"/>
    <n v="2023"/>
    <x v="1"/>
    <n v="2"/>
    <n v="64.11"/>
    <n v="20"/>
    <n v="102.57600000000001"/>
    <s v="COD"/>
    <x v="0"/>
  </r>
  <r>
    <n v="591"/>
    <x v="590"/>
    <n v="72"/>
    <s v="2024-02-04"/>
    <n v="2024"/>
    <x v="9"/>
    <n v="2"/>
    <n v="1157.27"/>
    <n v="15"/>
    <n v="1967.3589999999999"/>
    <s v="Wallet"/>
    <x v="2"/>
  </r>
  <r>
    <n v="592"/>
    <x v="591"/>
    <n v="35"/>
    <s v="2023-04-16"/>
    <n v="2023"/>
    <x v="3"/>
    <n v="1"/>
    <n v="958.87"/>
    <n v="0"/>
    <n v="958.87"/>
    <s v="Debit Card"/>
    <x v="0"/>
  </r>
  <r>
    <n v="593"/>
    <x v="592"/>
    <n v="74"/>
    <s v="2023-04-22"/>
    <n v="2023"/>
    <x v="3"/>
    <n v="3"/>
    <n v="1034.31"/>
    <n v="0"/>
    <n v="3102.93"/>
    <s v="Wallet"/>
    <x v="2"/>
  </r>
  <r>
    <n v="594"/>
    <x v="593"/>
    <n v="59"/>
    <s v="2023-09-15"/>
    <n v="2023"/>
    <x v="8"/>
    <n v="3"/>
    <n v="782.33"/>
    <n v="20"/>
    <n v="1877.5920000000003"/>
    <s v="UPI"/>
    <x v="0"/>
  </r>
  <r>
    <n v="595"/>
    <x v="594"/>
    <n v="39"/>
    <s v="2024-03-12"/>
    <n v="2024"/>
    <x v="1"/>
    <n v="1"/>
    <n v="256.08999999999997"/>
    <n v="10"/>
    <n v="230.48099999999999"/>
    <s v="UPI"/>
    <x v="0"/>
  </r>
  <r>
    <n v="596"/>
    <x v="595"/>
    <n v="71"/>
    <s v="2023-03-02"/>
    <n v="2023"/>
    <x v="1"/>
    <n v="1"/>
    <n v="780.27"/>
    <n v="5"/>
    <n v="741.25649999999996"/>
    <s v="Credit Card"/>
    <x v="2"/>
  </r>
  <r>
    <n v="597"/>
    <x v="596"/>
    <n v="69"/>
    <s v="2023-05-02"/>
    <n v="2023"/>
    <x v="0"/>
    <n v="2"/>
    <n v="951.81"/>
    <n v="0"/>
    <n v="1903.62"/>
    <s v="Debit Card"/>
    <x v="0"/>
  </r>
  <r>
    <n v="598"/>
    <x v="597"/>
    <n v="36"/>
    <s v="2024-04-19"/>
    <n v="2024"/>
    <x v="3"/>
    <n v="1"/>
    <n v="992.01"/>
    <n v="10"/>
    <n v="892.80899999999997"/>
    <s v="Credit Card"/>
    <x v="3"/>
  </r>
  <r>
    <n v="599"/>
    <x v="598"/>
    <n v="32"/>
    <s v="2024-02-26"/>
    <n v="2024"/>
    <x v="9"/>
    <n v="1"/>
    <n v="342.57"/>
    <n v="20"/>
    <n v="274.05599999999998"/>
    <s v="Credit Card"/>
    <x v="0"/>
  </r>
  <r>
    <n v="600"/>
    <x v="599"/>
    <n v="1"/>
    <s v="2023-11-29"/>
    <n v="2023"/>
    <x v="11"/>
    <n v="2"/>
    <n v="469.08"/>
    <n v="20"/>
    <n v="750.52800000000002"/>
    <s v="UPI"/>
    <x v="0"/>
  </r>
  <r>
    <n v="601"/>
    <x v="600"/>
    <n v="42"/>
    <s v="2023-02-12"/>
    <n v="2023"/>
    <x v="9"/>
    <n v="3"/>
    <n v="233.11"/>
    <n v="20"/>
    <n v="559.46400000000006"/>
    <s v="UPI"/>
    <x v="1"/>
  </r>
  <r>
    <n v="602"/>
    <x v="601"/>
    <n v="18"/>
    <s v="2023-07-29"/>
    <n v="2023"/>
    <x v="7"/>
    <n v="3"/>
    <n v="138.07"/>
    <n v="10"/>
    <n v="372.78899999999999"/>
    <s v="UPI"/>
    <x v="1"/>
  </r>
  <r>
    <n v="603"/>
    <x v="602"/>
    <n v="8"/>
    <s v="2023-11-17"/>
    <n v="2023"/>
    <x v="11"/>
    <n v="1"/>
    <n v="155.08000000000001"/>
    <n v="10"/>
    <n v="139.572"/>
    <s v="Debit Card"/>
    <x v="0"/>
  </r>
  <r>
    <n v="604"/>
    <x v="603"/>
    <n v="36"/>
    <s v="2023-04-01"/>
    <n v="2023"/>
    <x v="3"/>
    <n v="2"/>
    <n v="992.01"/>
    <n v="0"/>
    <n v="1984.02"/>
    <s v="Wallet"/>
    <x v="3"/>
  </r>
  <r>
    <n v="605"/>
    <x v="604"/>
    <n v="75"/>
    <s v="2023-02-24"/>
    <n v="2023"/>
    <x v="9"/>
    <n v="3"/>
    <n v="390.41"/>
    <n v="15"/>
    <n v="995.54549999999995"/>
    <s v="UPI"/>
    <x v="2"/>
  </r>
  <r>
    <n v="606"/>
    <x v="605"/>
    <n v="78"/>
    <s v="2023-10-10"/>
    <n v="2023"/>
    <x v="10"/>
    <n v="1"/>
    <n v="795.77"/>
    <n v="15"/>
    <n v="676.40449999999998"/>
    <s v="Debit Card"/>
    <x v="3"/>
  </r>
  <r>
    <n v="607"/>
    <x v="606"/>
    <n v="42"/>
    <s v="2023-05-18"/>
    <n v="2023"/>
    <x v="0"/>
    <n v="1"/>
    <n v="233.11"/>
    <n v="20"/>
    <n v="186.48800000000003"/>
    <s v="COD"/>
    <x v="1"/>
  </r>
  <r>
    <n v="608"/>
    <x v="607"/>
    <n v="20"/>
    <s v="2023-08-17"/>
    <n v="2023"/>
    <x v="6"/>
    <n v="1"/>
    <n v="613.27"/>
    <n v="15"/>
    <n v="521.27949999999998"/>
    <s v="UPI"/>
    <x v="1"/>
  </r>
  <r>
    <n v="609"/>
    <x v="608"/>
    <n v="19"/>
    <s v="2024-04-06"/>
    <n v="2024"/>
    <x v="3"/>
    <n v="2"/>
    <n v="262.97000000000003"/>
    <n v="0"/>
    <n v="525.94000000000005"/>
    <s v="COD"/>
    <x v="3"/>
  </r>
  <r>
    <n v="610"/>
    <x v="609"/>
    <n v="24"/>
    <s v="2023-08-24"/>
    <n v="2023"/>
    <x v="6"/>
    <n v="1"/>
    <n v="1019.85"/>
    <n v="5"/>
    <n v="968.85749999999996"/>
    <s v="Debit Card"/>
    <x v="3"/>
  </r>
  <r>
    <n v="611"/>
    <x v="610"/>
    <n v="73"/>
    <s v="2023-09-09"/>
    <n v="2023"/>
    <x v="8"/>
    <n v="3"/>
    <n v="943.04"/>
    <n v="5"/>
    <n v="2687.6639999999998"/>
    <s v="UPI"/>
    <x v="1"/>
  </r>
  <r>
    <n v="612"/>
    <x v="611"/>
    <n v="3"/>
    <s v="2023-06-08"/>
    <n v="2023"/>
    <x v="4"/>
    <n v="1"/>
    <n v="506.08"/>
    <n v="5"/>
    <n v="480.77599999999995"/>
    <s v="COD"/>
    <x v="0"/>
  </r>
  <r>
    <n v="613"/>
    <x v="612"/>
    <n v="78"/>
    <s v="2023-04-07"/>
    <n v="2023"/>
    <x v="3"/>
    <n v="1"/>
    <n v="795.77"/>
    <n v="5"/>
    <n v="755.98149999999998"/>
    <s v="Credit Card"/>
    <x v="3"/>
  </r>
  <r>
    <n v="614"/>
    <x v="613"/>
    <n v="55"/>
    <s v="2023-05-06"/>
    <n v="2023"/>
    <x v="0"/>
    <n v="2"/>
    <n v="1016.06"/>
    <n v="15"/>
    <n v="1727.3019999999999"/>
    <s v="Credit Card"/>
    <x v="0"/>
  </r>
  <r>
    <n v="615"/>
    <x v="614"/>
    <n v="68"/>
    <s v="2023-03-12"/>
    <n v="2023"/>
    <x v="1"/>
    <n v="3"/>
    <n v="180.99"/>
    <n v="0"/>
    <n v="542.97"/>
    <s v="Wallet"/>
    <x v="0"/>
  </r>
  <r>
    <n v="616"/>
    <x v="615"/>
    <n v="13"/>
    <s v="2023-07-13"/>
    <n v="2023"/>
    <x v="7"/>
    <n v="2"/>
    <n v="334.61"/>
    <n v="0"/>
    <n v="669.22"/>
    <s v="Credit Card"/>
    <x v="1"/>
  </r>
  <r>
    <n v="617"/>
    <x v="616"/>
    <n v="2"/>
    <s v="2024-01-26"/>
    <n v="2024"/>
    <x v="5"/>
    <n v="3"/>
    <n v="427.27"/>
    <n v="0"/>
    <n v="1281.81"/>
    <s v="Debit Card"/>
    <x v="1"/>
  </r>
  <r>
    <n v="618"/>
    <x v="617"/>
    <n v="32"/>
    <s v="2024-01-30"/>
    <n v="2024"/>
    <x v="5"/>
    <n v="1"/>
    <n v="342.57"/>
    <n v="10"/>
    <n v="308.31299999999999"/>
    <s v="Debit Card"/>
    <x v="0"/>
  </r>
  <r>
    <n v="619"/>
    <x v="618"/>
    <n v="77"/>
    <s v="2023-01-07"/>
    <n v="2023"/>
    <x v="5"/>
    <n v="1"/>
    <n v="1078.19"/>
    <n v="0"/>
    <n v="1078.19"/>
    <s v="Wallet"/>
    <x v="1"/>
  </r>
  <r>
    <n v="620"/>
    <x v="619"/>
    <n v="44"/>
    <s v="2024-03-12"/>
    <n v="2024"/>
    <x v="1"/>
    <n v="3"/>
    <n v="1038"/>
    <n v="0"/>
    <n v="3114"/>
    <s v="Debit Card"/>
    <x v="1"/>
  </r>
  <r>
    <n v="621"/>
    <x v="620"/>
    <n v="18"/>
    <s v="2023-09-03"/>
    <n v="2023"/>
    <x v="8"/>
    <n v="3"/>
    <n v="138.07"/>
    <n v="15"/>
    <n v="352.07849999999996"/>
    <s v="Debit Card"/>
    <x v="1"/>
  </r>
  <r>
    <n v="622"/>
    <x v="621"/>
    <n v="40"/>
    <s v="2023-06-19"/>
    <n v="2023"/>
    <x v="4"/>
    <n v="2"/>
    <n v="316.49"/>
    <n v="5"/>
    <n v="601.33100000000002"/>
    <s v="Debit Card"/>
    <x v="1"/>
  </r>
  <r>
    <n v="623"/>
    <x v="622"/>
    <n v="8"/>
    <s v="2023-10-06"/>
    <n v="2023"/>
    <x v="10"/>
    <n v="3"/>
    <n v="155.08000000000001"/>
    <n v="10"/>
    <n v="418.71600000000001"/>
    <s v="Wallet"/>
    <x v="0"/>
  </r>
  <r>
    <n v="624"/>
    <x v="623"/>
    <n v="16"/>
    <s v="2023-01-11"/>
    <n v="2023"/>
    <x v="5"/>
    <n v="1"/>
    <n v="693.02"/>
    <n v="0"/>
    <n v="693.02"/>
    <s v="Wallet"/>
    <x v="1"/>
  </r>
  <r>
    <n v="625"/>
    <x v="624"/>
    <n v="38"/>
    <s v="2023-02-22"/>
    <n v="2023"/>
    <x v="9"/>
    <n v="3"/>
    <n v="802.88"/>
    <n v="15"/>
    <n v="2047.3439999999998"/>
    <s v="Debit Card"/>
    <x v="1"/>
  </r>
  <r>
    <n v="626"/>
    <x v="625"/>
    <n v="1"/>
    <s v="2024-04-12"/>
    <n v="2024"/>
    <x v="3"/>
    <n v="1"/>
    <n v="469.08"/>
    <n v="0"/>
    <n v="469.08"/>
    <s v="Debit Card"/>
    <x v="0"/>
  </r>
  <r>
    <n v="627"/>
    <x v="626"/>
    <n v="55"/>
    <s v="2023-07-17"/>
    <n v="2023"/>
    <x v="7"/>
    <n v="1"/>
    <n v="1016.06"/>
    <n v="10"/>
    <n v="914.45399999999995"/>
    <s v="UPI"/>
    <x v="0"/>
  </r>
  <r>
    <n v="628"/>
    <x v="627"/>
    <n v="29"/>
    <s v="2024-04-16"/>
    <n v="2024"/>
    <x v="3"/>
    <n v="3"/>
    <n v="757"/>
    <n v="15"/>
    <n v="1930.35"/>
    <s v="Credit Card"/>
    <x v="0"/>
  </r>
  <r>
    <n v="629"/>
    <x v="628"/>
    <n v="63"/>
    <s v="2023-03-28"/>
    <n v="2023"/>
    <x v="1"/>
    <n v="1"/>
    <n v="309.79000000000002"/>
    <n v="5"/>
    <n v="294.3005"/>
    <s v="Credit Card"/>
    <x v="2"/>
  </r>
  <r>
    <n v="630"/>
    <x v="629"/>
    <n v="37"/>
    <s v="2023-07-02"/>
    <n v="2023"/>
    <x v="7"/>
    <n v="1"/>
    <n v="968.87"/>
    <n v="20"/>
    <n v="775.096"/>
    <s v="UPI"/>
    <x v="1"/>
  </r>
  <r>
    <n v="631"/>
    <x v="630"/>
    <n v="16"/>
    <s v="2023-07-04"/>
    <n v="2023"/>
    <x v="7"/>
    <n v="1"/>
    <n v="693.02"/>
    <n v="0"/>
    <n v="693.02"/>
    <s v="Wallet"/>
    <x v="1"/>
  </r>
  <r>
    <n v="632"/>
    <x v="631"/>
    <n v="20"/>
    <s v="2023-04-02"/>
    <n v="2023"/>
    <x v="3"/>
    <n v="2"/>
    <n v="613.27"/>
    <n v="20"/>
    <n v="981.23199999999997"/>
    <s v="UPI"/>
    <x v="1"/>
  </r>
  <r>
    <n v="633"/>
    <x v="632"/>
    <n v="77"/>
    <s v="2023-04-03"/>
    <n v="2023"/>
    <x v="3"/>
    <n v="3"/>
    <n v="1078.19"/>
    <n v="15"/>
    <n v="2749.3845000000001"/>
    <s v="Debit Card"/>
    <x v="1"/>
  </r>
  <r>
    <n v="634"/>
    <x v="633"/>
    <n v="39"/>
    <s v="2023-11-16"/>
    <n v="2023"/>
    <x v="11"/>
    <n v="2"/>
    <n v="256.08999999999997"/>
    <n v="10"/>
    <n v="460.96199999999999"/>
    <s v="Credit Card"/>
    <x v="0"/>
  </r>
  <r>
    <n v="635"/>
    <x v="634"/>
    <n v="35"/>
    <s v="2024-04-14"/>
    <n v="2024"/>
    <x v="3"/>
    <n v="2"/>
    <n v="958.87"/>
    <n v="10"/>
    <n v="1725.9660000000001"/>
    <s v="UPI"/>
    <x v="0"/>
  </r>
  <r>
    <n v="636"/>
    <x v="635"/>
    <n v="10"/>
    <s v="2024-02-08"/>
    <n v="2024"/>
    <x v="9"/>
    <n v="1"/>
    <n v="64.11"/>
    <n v="5"/>
    <n v="60.904499999999999"/>
    <s v="Debit Card"/>
    <x v="0"/>
  </r>
  <r>
    <n v="637"/>
    <x v="636"/>
    <n v="41"/>
    <s v="2023-03-17"/>
    <n v="2023"/>
    <x v="1"/>
    <n v="2"/>
    <n v="554.80999999999995"/>
    <n v="15"/>
    <n v="943.17699999999991"/>
    <s v="COD"/>
    <x v="1"/>
  </r>
  <r>
    <n v="638"/>
    <x v="637"/>
    <n v="9"/>
    <s v="2023-02-27"/>
    <n v="2023"/>
    <x v="9"/>
    <n v="3"/>
    <n v="43.26"/>
    <n v="15"/>
    <n v="110.313"/>
    <s v="UPI"/>
    <x v="2"/>
  </r>
  <r>
    <n v="639"/>
    <x v="638"/>
    <n v="19"/>
    <s v="2023-02-16"/>
    <n v="2023"/>
    <x v="9"/>
    <n v="2"/>
    <n v="262.97000000000003"/>
    <n v="5"/>
    <n v="499.64300000000003"/>
    <s v="Debit Card"/>
    <x v="3"/>
  </r>
  <r>
    <n v="640"/>
    <x v="639"/>
    <n v="50"/>
    <s v="2023-06-30"/>
    <n v="2023"/>
    <x v="4"/>
    <n v="2"/>
    <n v="1122.8699999999999"/>
    <n v="15"/>
    <n v="1908.8789999999997"/>
    <s v="COD"/>
    <x v="1"/>
  </r>
  <r>
    <n v="641"/>
    <x v="640"/>
    <n v="62"/>
    <s v="2023-12-22"/>
    <n v="2023"/>
    <x v="2"/>
    <n v="2"/>
    <n v="196.96"/>
    <n v="20"/>
    <n v="315.13600000000002"/>
    <s v="UPI"/>
    <x v="2"/>
  </r>
  <r>
    <n v="642"/>
    <x v="641"/>
    <n v="18"/>
    <s v="2024-02-15"/>
    <n v="2024"/>
    <x v="9"/>
    <n v="3"/>
    <n v="138.07"/>
    <n v="5"/>
    <n v="393.49949999999995"/>
    <s v="COD"/>
    <x v="1"/>
  </r>
  <r>
    <n v="643"/>
    <x v="642"/>
    <n v="54"/>
    <s v="2023-10-09"/>
    <n v="2023"/>
    <x v="10"/>
    <n v="2"/>
    <n v="900.79"/>
    <n v="20"/>
    <n v="1441.2640000000001"/>
    <s v="Wallet"/>
    <x v="2"/>
  </r>
  <r>
    <n v="644"/>
    <x v="643"/>
    <n v="64"/>
    <s v="2023-09-30"/>
    <n v="2023"/>
    <x v="8"/>
    <n v="3"/>
    <n v="567.71"/>
    <n v="5"/>
    <n v="1617.9735000000001"/>
    <s v="COD"/>
    <x v="0"/>
  </r>
  <r>
    <n v="645"/>
    <x v="644"/>
    <n v="11"/>
    <s v="2023-10-25"/>
    <n v="2023"/>
    <x v="10"/>
    <n v="3"/>
    <n v="1038.77"/>
    <n v="15"/>
    <n v="2648.8634999999999"/>
    <s v="Wallet"/>
    <x v="3"/>
  </r>
  <r>
    <n v="646"/>
    <x v="645"/>
    <n v="74"/>
    <s v="2024-02-02"/>
    <n v="2024"/>
    <x v="9"/>
    <n v="3"/>
    <n v="1034.31"/>
    <n v="5"/>
    <n v="2947.7834999999995"/>
    <s v="Credit Card"/>
    <x v="2"/>
  </r>
  <r>
    <n v="647"/>
    <x v="646"/>
    <n v="31"/>
    <s v="2023-07-05"/>
    <n v="2023"/>
    <x v="7"/>
    <n v="1"/>
    <n v="131.79"/>
    <n v="5"/>
    <n v="125.20049999999999"/>
    <s v="Credit Card"/>
    <x v="3"/>
  </r>
  <r>
    <n v="648"/>
    <x v="647"/>
    <n v="47"/>
    <s v="2023-10-13"/>
    <n v="2023"/>
    <x v="10"/>
    <n v="2"/>
    <n v="1126.96"/>
    <n v="5"/>
    <n v="2141.2240000000002"/>
    <s v="Credit Card"/>
    <x v="3"/>
  </r>
  <r>
    <n v="649"/>
    <x v="648"/>
    <n v="8"/>
    <s v="2024-04-11"/>
    <n v="2024"/>
    <x v="3"/>
    <n v="2"/>
    <n v="155.08000000000001"/>
    <n v="10"/>
    <n v="279.14400000000001"/>
    <s v="Debit Card"/>
    <x v="0"/>
  </r>
  <r>
    <n v="650"/>
    <x v="649"/>
    <n v="38"/>
    <s v="2023-08-24"/>
    <n v="2023"/>
    <x v="6"/>
    <n v="1"/>
    <n v="802.88"/>
    <n v="20"/>
    <n v="642.30400000000009"/>
    <s v="COD"/>
    <x v="1"/>
  </r>
  <r>
    <n v="651"/>
    <x v="650"/>
    <n v="32"/>
    <s v="2023-04-18"/>
    <n v="2023"/>
    <x v="3"/>
    <n v="1"/>
    <n v="342.57"/>
    <n v="0"/>
    <n v="342.57"/>
    <s v="Debit Card"/>
    <x v="0"/>
  </r>
  <r>
    <n v="652"/>
    <x v="651"/>
    <n v="16"/>
    <s v="2024-05-07"/>
    <n v="2024"/>
    <x v="0"/>
    <n v="3"/>
    <n v="693.02"/>
    <n v="5"/>
    <n v="1975.1069999999997"/>
    <s v="COD"/>
    <x v="1"/>
  </r>
  <r>
    <n v="653"/>
    <x v="652"/>
    <n v="4"/>
    <s v="2023-12-23"/>
    <n v="2023"/>
    <x v="2"/>
    <n v="2"/>
    <n v="800.26"/>
    <n v="10"/>
    <n v="1440.4680000000001"/>
    <s v="Credit Card"/>
    <x v="2"/>
  </r>
  <r>
    <n v="654"/>
    <x v="653"/>
    <n v="14"/>
    <s v="2023-12-06"/>
    <n v="2023"/>
    <x v="2"/>
    <n v="3"/>
    <n v="574.25"/>
    <n v="0"/>
    <n v="1722.75"/>
    <s v="COD"/>
    <x v="3"/>
  </r>
  <r>
    <n v="655"/>
    <x v="654"/>
    <n v="77"/>
    <s v="2024-03-21"/>
    <n v="2024"/>
    <x v="1"/>
    <n v="1"/>
    <n v="1078.19"/>
    <n v="0"/>
    <n v="1078.19"/>
    <s v="Debit Card"/>
    <x v="1"/>
  </r>
  <r>
    <n v="656"/>
    <x v="655"/>
    <n v="47"/>
    <s v="2023-03-14"/>
    <n v="2023"/>
    <x v="1"/>
    <n v="1"/>
    <n v="1126.96"/>
    <n v="5"/>
    <n v="1070.6120000000001"/>
    <s v="Credit Card"/>
    <x v="3"/>
  </r>
  <r>
    <n v="657"/>
    <x v="656"/>
    <n v="2"/>
    <s v="2023-10-19"/>
    <n v="2023"/>
    <x v="10"/>
    <n v="2"/>
    <n v="427.27"/>
    <n v="5"/>
    <n v="811.81299999999987"/>
    <s v="Debit Card"/>
    <x v="1"/>
  </r>
  <r>
    <n v="658"/>
    <x v="657"/>
    <n v="61"/>
    <s v="2024-01-16"/>
    <n v="2024"/>
    <x v="5"/>
    <n v="1"/>
    <n v="498.92"/>
    <n v="20"/>
    <n v="399.13600000000002"/>
    <s v="UPI"/>
    <x v="0"/>
  </r>
  <r>
    <n v="659"/>
    <x v="658"/>
    <n v="61"/>
    <s v="2023-07-30"/>
    <n v="2023"/>
    <x v="7"/>
    <n v="3"/>
    <n v="498.92"/>
    <n v="10"/>
    <n v="1347.0840000000001"/>
    <s v="COD"/>
    <x v="0"/>
  </r>
  <r>
    <n v="660"/>
    <x v="659"/>
    <n v="2"/>
    <s v="2023-05-27"/>
    <n v="2023"/>
    <x v="0"/>
    <n v="1"/>
    <n v="427.27"/>
    <n v="5"/>
    <n v="405.90649999999994"/>
    <s v="Credit Card"/>
    <x v="1"/>
  </r>
  <r>
    <n v="661"/>
    <x v="660"/>
    <n v="5"/>
    <s v="2023-11-06"/>
    <n v="2023"/>
    <x v="11"/>
    <n v="1"/>
    <n v="296.85000000000002"/>
    <n v="20"/>
    <n v="237.48000000000002"/>
    <s v="Debit Card"/>
    <x v="0"/>
  </r>
  <r>
    <n v="662"/>
    <x v="661"/>
    <n v="2"/>
    <s v="2023-07-22"/>
    <n v="2023"/>
    <x v="7"/>
    <n v="2"/>
    <n v="427.27"/>
    <n v="15"/>
    <n v="726.35899999999992"/>
    <s v="Wallet"/>
    <x v="1"/>
  </r>
  <r>
    <n v="663"/>
    <x v="662"/>
    <n v="34"/>
    <s v="2024-04-15"/>
    <n v="2024"/>
    <x v="3"/>
    <n v="3"/>
    <n v="523.98"/>
    <n v="20"/>
    <n v="1257.5520000000001"/>
    <s v="UPI"/>
    <x v="1"/>
  </r>
  <r>
    <n v="664"/>
    <x v="663"/>
    <n v="30"/>
    <s v="2023-08-05"/>
    <n v="2023"/>
    <x v="6"/>
    <n v="1"/>
    <n v="866.89"/>
    <n v="10"/>
    <n v="780.20100000000002"/>
    <s v="Credit Card"/>
    <x v="2"/>
  </r>
  <r>
    <n v="665"/>
    <x v="664"/>
    <n v="67"/>
    <s v="2023-07-13"/>
    <n v="2023"/>
    <x v="7"/>
    <n v="1"/>
    <n v="258.35000000000002"/>
    <n v="5"/>
    <n v="245.4325"/>
    <s v="COD"/>
    <x v="2"/>
  </r>
  <r>
    <n v="666"/>
    <x v="665"/>
    <n v="80"/>
    <s v="2023-01-29"/>
    <n v="2023"/>
    <x v="5"/>
    <n v="1"/>
    <n v="1014.45"/>
    <n v="15"/>
    <n v="862.28250000000003"/>
    <s v="Debit Card"/>
    <x v="3"/>
  </r>
  <r>
    <n v="667"/>
    <x v="666"/>
    <n v="72"/>
    <s v="2023-11-06"/>
    <n v="2023"/>
    <x v="11"/>
    <n v="1"/>
    <n v="1157.27"/>
    <n v="15"/>
    <n v="983.67949999999996"/>
    <s v="COD"/>
    <x v="2"/>
  </r>
  <r>
    <n v="668"/>
    <x v="667"/>
    <n v="41"/>
    <s v="2023-12-01"/>
    <n v="2023"/>
    <x v="2"/>
    <n v="3"/>
    <n v="554.80999999999995"/>
    <n v="15"/>
    <n v="1414.7654999999997"/>
    <s v="COD"/>
    <x v="1"/>
  </r>
  <r>
    <n v="669"/>
    <x v="668"/>
    <n v="22"/>
    <s v="2023-01-28"/>
    <n v="2023"/>
    <x v="5"/>
    <n v="2"/>
    <n v="373.43"/>
    <n v="15"/>
    <n v="634.83100000000002"/>
    <s v="Debit Card"/>
    <x v="3"/>
  </r>
  <r>
    <n v="670"/>
    <x v="669"/>
    <n v="35"/>
    <s v="2023-02-25"/>
    <n v="2023"/>
    <x v="9"/>
    <n v="1"/>
    <n v="958.87"/>
    <n v="0"/>
    <n v="958.87"/>
    <s v="UPI"/>
    <x v="0"/>
  </r>
  <r>
    <n v="671"/>
    <x v="670"/>
    <n v="78"/>
    <s v="2024-02-03"/>
    <n v="2024"/>
    <x v="9"/>
    <n v="2"/>
    <n v="795.77"/>
    <n v="0"/>
    <n v="1591.54"/>
    <s v="Debit Card"/>
    <x v="3"/>
  </r>
  <r>
    <n v="672"/>
    <x v="671"/>
    <n v="37"/>
    <s v="2023-03-25"/>
    <n v="2023"/>
    <x v="1"/>
    <n v="3"/>
    <n v="968.87"/>
    <n v="0"/>
    <n v="2906.61"/>
    <s v="Credit Card"/>
    <x v="1"/>
  </r>
  <r>
    <n v="673"/>
    <x v="672"/>
    <n v="28"/>
    <s v="2023-11-02"/>
    <n v="2023"/>
    <x v="11"/>
    <n v="1"/>
    <n v="494.39"/>
    <n v="10"/>
    <n v="444.95100000000002"/>
    <s v="Debit Card"/>
    <x v="3"/>
  </r>
  <r>
    <n v="674"/>
    <x v="673"/>
    <n v="71"/>
    <s v="2023-04-14"/>
    <n v="2023"/>
    <x v="3"/>
    <n v="3"/>
    <n v="780.27"/>
    <n v="0"/>
    <n v="2340.81"/>
    <s v="Debit Card"/>
    <x v="2"/>
  </r>
  <r>
    <n v="675"/>
    <x v="674"/>
    <n v="35"/>
    <s v="2023-02-13"/>
    <n v="2023"/>
    <x v="9"/>
    <n v="3"/>
    <n v="958.87"/>
    <n v="20"/>
    <n v="2301.288"/>
    <s v="Credit Card"/>
    <x v="0"/>
  </r>
  <r>
    <n v="676"/>
    <x v="675"/>
    <n v="73"/>
    <s v="2024-02-09"/>
    <n v="2024"/>
    <x v="9"/>
    <n v="2"/>
    <n v="943.04"/>
    <n v="0"/>
    <n v="1886.08"/>
    <s v="Credit Card"/>
    <x v="1"/>
  </r>
  <r>
    <n v="677"/>
    <x v="676"/>
    <n v="41"/>
    <s v="2023-02-17"/>
    <n v="2023"/>
    <x v="9"/>
    <n v="2"/>
    <n v="554.80999999999995"/>
    <n v="0"/>
    <n v="1109.6199999999999"/>
    <s v="UPI"/>
    <x v="1"/>
  </r>
  <r>
    <n v="678"/>
    <x v="677"/>
    <n v="37"/>
    <s v="2024-05-05"/>
    <n v="2024"/>
    <x v="0"/>
    <n v="2"/>
    <n v="968.87"/>
    <n v="20"/>
    <n v="1550.192"/>
    <s v="Debit Card"/>
    <x v="1"/>
  </r>
  <r>
    <n v="679"/>
    <x v="678"/>
    <n v="41"/>
    <s v="2024-01-20"/>
    <n v="2024"/>
    <x v="5"/>
    <n v="2"/>
    <n v="554.80999999999995"/>
    <n v="10"/>
    <n v="998.6579999999999"/>
    <s v="Debit Card"/>
    <x v="1"/>
  </r>
  <r>
    <n v="680"/>
    <x v="679"/>
    <n v="13"/>
    <s v="2023-06-19"/>
    <n v="2023"/>
    <x v="4"/>
    <n v="2"/>
    <n v="334.61"/>
    <n v="20"/>
    <n v="535.37600000000009"/>
    <s v="Credit Card"/>
    <x v="1"/>
  </r>
  <r>
    <n v="681"/>
    <x v="680"/>
    <n v="65"/>
    <s v="2024-02-18"/>
    <n v="2024"/>
    <x v="9"/>
    <n v="1"/>
    <n v="1189.73"/>
    <n v="0"/>
    <n v="1189.73"/>
    <s v="Wallet"/>
    <x v="1"/>
  </r>
  <r>
    <n v="682"/>
    <x v="681"/>
    <n v="49"/>
    <s v="2023-09-02"/>
    <n v="2023"/>
    <x v="8"/>
    <n v="3"/>
    <n v="974.54"/>
    <n v="0"/>
    <n v="2923.62"/>
    <s v="UPI"/>
    <x v="1"/>
  </r>
  <r>
    <n v="683"/>
    <x v="682"/>
    <n v="21"/>
    <s v="2023-03-19"/>
    <n v="2023"/>
    <x v="1"/>
    <n v="3"/>
    <n v="420.66"/>
    <n v="15"/>
    <n v="1072.683"/>
    <s v="Credit Card"/>
    <x v="3"/>
  </r>
  <r>
    <n v="684"/>
    <x v="683"/>
    <n v="12"/>
    <s v="2024-05-02"/>
    <n v="2024"/>
    <x v="0"/>
    <n v="3"/>
    <n v="627.41999999999996"/>
    <n v="5"/>
    <n v="1788.1469999999997"/>
    <s v="Debit Card"/>
    <x v="3"/>
  </r>
  <r>
    <n v="685"/>
    <x v="684"/>
    <n v="19"/>
    <s v="2024-01-29"/>
    <n v="2024"/>
    <x v="5"/>
    <n v="3"/>
    <n v="262.97000000000003"/>
    <n v="5"/>
    <n v="749.46450000000004"/>
    <s v="Wallet"/>
    <x v="3"/>
  </r>
  <r>
    <n v="686"/>
    <x v="685"/>
    <n v="67"/>
    <s v="2024-01-09"/>
    <n v="2024"/>
    <x v="5"/>
    <n v="3"/>
    <n v="258.35000000000002"/>
    <n v="20"/>
    <n v="620.04000000000008"/>
    <s v="UPI"/>
    <x v="2"/>
  </r>
  <r>
    <n v="687"/>
    <x v="686"/>
    <n v="58"/>
    <s v="2024-02-07"/>
    <n v="2024"/>
    <x v="9"/>
    <n v="1"/>
    <n v="334.98"/>
    <n v="10"/>
    <n v="301.48200000000003"/>
    <s v="UPI"/>
    <x v="1"/>
  </r>
  <r>
    <n v="688"/>
    <x v="687"/>
    <n v="47"/>
    <s v="2023-11-16"/>
    <n v="2023"/>
    <x v="11"/>
    <n v="2"/>
    <n v="1126.96"/>
    <n v="0"/>
    <n v="2253.92"/>
    <s v="COD"/>
    <x v="3"/>
  </r>
  <r>
    <n v="689"/>
    <x v="688"/>
    <n v="31"/>
    <s v="2023-04-17"/>
    <n v="2023"/>
    <x v="3"/>
    <n v="3"/>
    <n v="131.79"/>
    <n v="20"/>
    <n v="316.29600000000005"/>
    <s v="Credit Card"/>
    <x v="3"/>
  </r>
  <r>
    <n v="690"/>
    <x v="689"/>
    <n v="20"/>
    <s v="2023-10-18"/>
    <n v="2023"/>
    <x v="10"/>
    <n v="3"/>
    <n v="613.27"/>
    <n v="15"/>
    <n v="1563.8384999999998"/>
    <s v="Credit Card"/>
    <x v="1"/>
  </r>
  <r>
    <n v="691"/>
    <x v="690"/>
    <n v="2"/>
    <s v="2023-03-15"/>
    <n v="2023"/>
    <x v="1"/>
    <n v="2"/>
    <n v="427.27"/>
    <n v="20"/>
    <n v="683.63200000000006"/>
    <s v="Credit Card"/>
    <x v="1"/>
  </r>
  <r>
    <n v="692"/>
    <x v="691"/>
    <n v="64"/>
    <s v="2023-02-18"/>
    <n v="2023"/>
    <x v="9"/>
    <n v="2"/>
    <n v="567.71"/>
    <n v="10"/>
    <n v="1021.878"/>
    <s v="Debit Card"/>
    <x v="0"/>
  </r>
  <r>
    <n v="693"/>
    <x v="692"/>
    <n v="38"/>
    <s v="2023-03-24"/>
    <n v="2023"/>
    <x v="1"/>
    <n v="1"/>
    <n v="802.88"/>
    <n v="10"/>
    <n v="722.59199999999998"/>
    <s v="Wallet"/>
    <x v="1"/>
  </r>
  <r>
    <n v="694"/>
    <x v="693"/>
    <n v="47"/>
    <s v="2023-06-30"/>
    <n v="2023"/>
    <x v="4"/>
    <n v="1"/>
    <n v="1126.96"/>
    <n v="0"/>
    <n v="1126.96"/>
    <s v="Debit Card"/>
    <x v="3"/>
  </r>
  <r>
    <n v="695"/>
    <x v="694"/>
    <n v="59"/>
    <s v="2023-05-13"/>
    <n v="2023"/>
    <x v="0"/>
    <n v="2"/>
    <n v="782.33"/>
    <n v="10"/>
    <n v="1408.1940000000002"/>
    <s v="COD"/>
    <x v="0"/>
  </r>
  <r>
    <n v="696"/>
    <x v="695"/>
    <n v="18"/>
    <s v="2024-04-26"/>
    <n v="2024"/>
    <x v="3"/>
    <n v="1"/>
    <n v="138.07"/>
    <n v="20"/>
    <n v="110.456"/>
    <s v="COD"/>
    <x v="1"/>
  </r>
  <r>
    <n v="697"/>
    <x v="696"/>
    <n v="6"/>
    <s v="2023-07-06"/>
    <n v="2023"/>
    <x v="7"/>
    <n v="2"/>
    <n v="719.19"/>
    <n v="15"/>
    <n v="1222.623"/>
    <s v="COD"/>
    <x v="0"/>
  </r>
  <r>
    <n v="698"/>
    <x v="697"/>
    <n v="80"/>
    <s v="2024-04-14"/>
    <n v="2024"/>
    <x v="3"/>
    <n v="3"/>
    <n v="1014.45"/>
    <n v="5"/>
    <n v="2891.1825000000003"/>
    <s v="COD"/>
    <x v="3"/>
  </r>
  <r>
    <n v="699"/>
    <x v="698"/>
    <n v="47"/>
    <s v="2023-09-20"/>
    <n v="2023"/>
    <x v="8"/>
    <n v="3"/>
    <n v="1126.96"/>
    <n v="10"/>
    <n v="3042.7920000000004"/>
    <s v="UPI"/>
    <x v="3"/>
  </r>
  <r>
    <n v="700"/>
    <x v="699"/>
    <n v="11"/>
    <s v="2023-12-16"/>
    <n v="2023"/>
    <x v="2"/>
    <n v="2"/>
    <n v="1038.77"/>
    <n v="20"/>
    <n v="1662.0320000000002"/>
    <s v="COD"/>
    <x v="3"/>
  </r>
  <r>
    <n v="701"/>
    <x v="700"/>
    <n v="34"/>
    <s v="2024-03-25"/>
    <n v="2024"/>
    <x v="1"/>
    <n v="3"/>
    <n v="523.98"/>
    <n v="0"/>
    <n v="1571.94"/>
    <s v="Wallet"/>
    <x v="1"/>
  </r>
  <r>
    <n v="702"/>
    <x v="701"/>
    <n v="8"/>
    <s v="2024-01-15"/>
    <n v="2024"/>
    <x v="5"/>
    <n v="1"/>
    <n v="155.08000000000001"/>
    <n v="20"/>
    <n v="124.06400000000002"/>
    <s v="Credit Card"/>
    <x v="0"/>
  </r>
  <r>
    <n v="703"/>
    <x v="702"/>
    <n v="20"/>
    <s v="2024-03-12"/>
    <n v="2024"/>
    <x v="1"/>
    <n v="1"/>
    <n v="613.27"/>
    <n v="10"/>
    <n v="551.94299999999998"/>
    <s v="COD"/>
    <x v="1"/>
  </r>
  <r>
    <n v="704"/>
    <x v="703"/>
    <n v="21"/>
    <s v="2023-10-19"/>
    <n v="2023"/>
    <x v="10"/>
    <n v="2"/>
    <n v="420.66"/>
    <n v="0"/>
    <n v="841.32"/>
    <s v="Debit Card"/>
    <x v="3"/>
  </r>
  <r>
    <n v="705"/>
    <x v="704"/>
    <n v="50"/>
    <s v="2024-03-23"/>
    <n v="2024"/>
    <x v="1"/>
    <n v="2"/>
    <n v="1122.8699999999999"/>
    <n v="0"/>
    <n v="2245.7399999999998"/>
    <s v="UPI"/>
    <x v="1"/>
  </r>
  <r>
    <n v="706"/>
    <x v="705"/>
    <n v="60"/>
    <s v="2023-08-28"/>
    <n v="2023"/>
    <x v="6"/>
    <n v="3"/>
    <n v="830.49"/>
    <n v="20"/>
    <n v="1993.1760000000004"/>
    <s v="COD"/>
    <x v="0"/>
  </r>
  <r>
    <n v="707"/>
    <x v="706"/>
    <n v="14"/>
    <s v="2023-02-13"/>
    <n v="2023"/>
    <x v="9"/>
    <n v="1"/>
    <n v="574.25"/>
    <n v="0"/>
    <n v="574.25"/>
    <s v="COD"/>
    <x v="3"/>
  </r>
  <r>
    <n v="708"/>
    <x v="707"/>
    <n v="56"/>
    <s v="2023-04-13"/>
    <n v="2023"/>
    <x v="3"/>
    <n v="2"/>
    <n v="396.01"/>
    <n v="10"/>
    <n v="712.81799999999998"/>
    <s v="Credit Card"/>
    <x v="1"/>
  </r>
  <r>
    <n v="709"/>
    <x v="708"/>
    <n v="41"/>
    <s v="2023-06-25"/>
    <n v="2023"/>
    <x v="4"/>
    <n v="3"/>
    <n v="554.80999999999995"/>
    <n v="15"/>
    <n v="1414.7654999999997"/>
    <s v="Debit Card"/>
    <x v="1"/>
  </r>
  <r>
    <n v="710"/>
    <x v="709"/>
    <n v="61"/>
    <s v="2023-02-28"/>
    <n v="2023"/>
    <x v="9"/>
    <n v="2"/>
    <n v="498.92"/>
    <n v="15"/>
    <n v="848.16399999999999"/>
    <s v="Credit Card"/>
    <x v="0"/>
  </r>
  <r>
    <n v="711"/>
    <x v="710"/>
    <n v="70"/>
    <s v="2023-03-21"/>
    <n v="2023"/>
    <x v="1"/>
    <n v="2"/>
    <n v="797.23"/>
    <n v="5"/>
    <n v="1514.7369999999999"/>
    <s v="Debit Card"/>
    <x v="0"/>
  </r>
  <r>
    <n v="712"/>
    <x v="711"/>
    <n v="41"/>
    <s v="2023-10-18"/>
    <n v="2023"/>
    <x v="10"/>
    <n v="1"/>
    <n v="554.80999999999995"/>
    <n v="20"/>
    <n v="443.84799999999996"/>
    <s v="COD"/>
    <x v="1"/>
  </r>
  <r>
    <n v="713"/>
    <x v="712"/>
    <n v="8"/>
    <s v="2024-04-24"/>
    <n v="2024"/>
    <x v="3"/>
    <n v="2"/>
    <n v="155.08000000000001"/>
    <n v="15"/>
    <n v="263.63600000000002"/>
    <s v="COD"/>
    <x v="0"/>
  </r>
  <r>
    <n v="714"/>
    <x v="713"/>
    <n v="28"/>
    <s v="2023-01-28"/>
    <n v="2023"/>
    <x v="5"/>
    <n v="1"/>
    <n v="494.39"/>
    <n v="0"/>
    <n v="494.39"/>
    <s v="COD"/>
    <x v="3"/>
  </r>
  <r>
    <n v="715"/>
    <x v="714"/>
    <n v="35"/>
    <s v="2023-05-10"/>
    <n v="2023"/>
    <x v="0"/>
    <n v="3"/>
    <n v="958.87"/>
    <n v="5"/>
    <n v="2732.7795000000001"/>
    <s v="Credit Card"/>
    <x v="0"/>
  </r>
  <r>
    <n v="716"/>
    <x v="715"/>
    <n v="19"/>
    <s v="2023-02-05"/>
    <n v="2023"/>
    <x v="9"/>
    <n v="2"/>
    <n v="262.97000000000003"/>
    <n v="15"/>
    <n v="447.04900000000004"/>
    <s v="Credit Card"/>
    <x v="3"/>
  </r>
  <r>
    <n v="717"/>
    <x v="716"/>
    <n v="39"/>
    <s v="2024-03-23"/>
    <n v="2024"/>
    <x v="1"/>
    <n v="3"/>
    <n v="256.08999999999997"/>
    <n v="15"/>
    <n v="653.02949999999998"/>
    <s v="COD"/>
    <x v="0"/>
  </r>
  <r>
    <n v="718"/>
    <x v="717"/>
    <n v="68"/>
    <s v="2023-04-20"/>
    <n v="2023"/>
    <x v="3"/>
    <n v="3"/>
    <n v="180.99"/>
    <n v="10"/>
    <n v="488.67300000000006"/>
    <s v="Debit Card"/>
    <x v="0"/>
  </r>
  <r>
    <n v="719"/>
    <x v="718"/>
    <n v="7"/>
    <s v="2023-02-17"/>
    <n v="2023"/>
    <x v="9"/>
    <n v="2"/>
    <n v="97.29"/>
    <n v="10"/>
    <n v="175.12200000000001"/>
    <s v="UPI"/>
    <x v="3"/>
  </r>
  <r>
    <n v="720"/>
    <x v="719"/>
    <n v="22"/>
    <s v="2023-04-12"/>
    <n v="2023"/>
    <x v="3"/>
    <n v="2"/>
    <n v="373.43"/>
    <n v="15"/>
    <n v="634.83100000000002"/>
    <s v="COD"/>
    <x v="3"/>
  </r>
  <r>
    <n v="721"/>
    <x v="720"/>
    <n v="61"/>
    <s v="2023-10-02"/>
    <n v="2023"/>
    <x v="10"/>
    <n v="3"/>
    <n v="498.92"/>
    <n v="5"/>
    <n v="1421.922"/>
    <s v="COD"/>
    <x v="0"/>
  </r>
  <r>
    <n v="722"/>
    <x v="721"/>
    <n v="46"/>
    <s v="2024-04-12"/>
    <n v="2024"/>
    <x v="3"/>
    <n v="3"/>
    <n v="1155.3"/>
    <n v="20"/>
    <n v="2772.72"/>
    <s v="COD"/>
    <x v="3"/>
  </r>
  <r>
    <n v="723"/>
    <x v="722"/>
    <n v="2"/>
    <s v="2023-10-15"/>
    <n v="2023"/>
    <x v="10"/>
    <n v="3"/>
    <n v="427.27"/>
    <n v="5"/>
    <n v="1217.7194999999999"/>
    <s v="Credit Card"/>
    <x v="1"/>
  </r>
  <r>
    <n v="724"/>
    <x v="723"/>
    <n v="75"/>
    <s v="2023-11-12"/>
    <n v="2023"/>
    <x v="11"/>
    <n v="1"/>
    <n v="390.41"/>
    <n v="10"/>
    <n v="351.36900000000003"/>
    <s v="UPI"/>
    <x v="2"/>
  </r>
  <r>
    <n v="725"/>
    <x v="724"/>
    <n v="2"/>
    <s v="2023-03-19"/>
    <n v="2023"/>
    <x v="1"/>
    <n v="2"/>
    <n v="427.27"/>
    <n v="5"/>
    <n v="811.81299999999987"/>
    <s v="COD"/>
    <x v="1"/>
  </r>
  <r>
    <n v="726"/>
    <x v="725"/>
    <n v="41"/>
    <s v="2023-02-28"/>
    <n v="2023"/>
    <x v="9"/>
    <n v="3"/>
    <n v="554.80999999999995"/>
    <n v="15"/>
    <n v="1414.7654999999997"/>
    <s v="UPI"/>
    <x v="1"/>
  </r>
  <r>
    <n v="727"/>
    <x v="726"/>
    <n v="67"/>
    <s v="2024-01-05"/>
    <n v="2024"/>
    <x v="5"/>
    <n v="1"/>
    <n v="258.35000000000002"/>
    <n v="15"/>
    <n v="219.59750000000003"/>
    <s v="Debit Card"/>
    <x v="2"/>
  </r>
  <r>
    <n v="728"/>
    <x v="727"/>
    <n v="58"/>
    <s v="2023-11-24"/>
    <n v="2023"/>
    <x v="11"/>
    <n v="3"/>
    <n v="334.98"/>
    <n v="0"/>
    <n v="1004.94"/>
    <s v="Credit Card"/>
    <x v="1"/>
  </r>
  <r>
    <n v="729"/>
    <x v="728"/>
    <n v="28"/>
    <s v="2024-01-17"/>
    <n v="2024"/>
    <x v="5"/>
    <n v="1"/>
    <n v="494.39"/>
    <n v="15"/>
    <n v="420.23149999999998"/>
    <s v="Wallet"/>
    <x v="3"/>
  </r>
  <r>
    <n v="730"/>
    <x v="729"/>
    <n v="22"/>
    <s v="2023-11-04"/>
    <n v="2023"/>
    <x v="11"/>
    <n v="2"/>
    <n v="373.43"/>
    <n v="5"/>
    <n v="709.51699999999994"/>
    <s v="UPI"/>
    <x v="3"/>
  </r>
  <r>
    <n v="731"/>
    <x v="730"/>
    <n v="27"/>
    <s v="2024-05-02"/>
    <n v="2024"/>
    <x v="0"/>
    <n v="1"/>
    <n v="76.09"/>
    <n v="20"/>
    <n v="60.872000000000007"/>
    <s v="Credit Card"/>
    <x v="0"/>
  </r>
  <r>
    <n v="732"/>
    <x v="731"/>
    <n v="48"/>
    <s v="2024-02-21"/>
    <n v="2024"/>
    <x v="9"/>
    <n v="2"/>
    <n v="1125.8499999999999"/>
    <n v="0"/>
    <n v="2251.6999999999998"/>
    <s v="UPI"/>
    <x v="0"/>
  </r>
  <r>
    <n v="733"/>
    <x v="732"/>
    <n v="40"/>
    <s v="2023-09-15"/>
    <n v="2023"/>
    <x v="8"/>
    <n v="1"/>
    <n v="316.49"/>
    <n v="15"/>
    <n v="269.01650000000001"/>
    <s v="COD"/>
    <x v="1"/>
  </r>
  <r>
    <n v="734"/>
    <x v="733"/>
    <n v="53"/>
    <s v="2023-07-30"/>
    <n v="2023"/>
    <x v="7"/>
    <n v="2"/>
    <n v="194.34"/>
    <n v="10"/>
    <n v="349.81200000000001"/>
    <s v="Wallet"/>
    <x v="1"/>
  </r>
  <r>
    <n v="735"/>
    <x v="734"/>
    <n v="55"/>
    <s v="2023-09-25"/>
    <n v="2023"/>
    <x v="8"/>
    <n v="2"/>
    <n v="1016.06"/>
    <n v="0"/>
    <n v="2032.12"/>
    <s v="Debit Card"/>
    <x v="0"/>
  </r>
  <r>
    <n v="736"/>
    <x v="735"/>
    <n v="59"/>
    <s v="2023-08-08"/>
    <n v="2023"/>
    <x v="6"/>
    <n v="2"/>
    <n v="782.33"/>
    <n v="5"/>
    <n v="1486.4269999999999"/>
    <s v="Wallet"/>
    <x v="0"/>
  </r>
  <r>
    <n v="737"/>
    <x v="736"/>
    <n v="77"/>
    <s v="2023-03-25"/>
    <n v="2023"/>
    <x v="1"/>
    <n v="3"/>
    <n v="1078.19"/>
    <n v="15"/>
    <n v="2749.3845000000001"/>
    <s v="COD"/>
    <x v="1"/>
  </r>
  <r>
    <n v="738"/>
    <x v="737"/>
    <n v="37"/>
    <s v="2024-03-08"/>
    <n v="2024"/>
    <x v="1"/>
    <n v="3"/>
    <n v="968.87"/>
    <n v="15"/>
    <n v="2470.6185"/>
    <s v="UPI"/>
    <x v="1"/>
  </r>
  <r>
    <n v="739"/>
    <x v="738"/>
    <n v="80"/>
    <s v="2024-04-25"/>
    <n v="2024"/>
    <x v="3"/>
    <n v="1"/>
    <n v="1014.45"/>
    <n v="0"/>
    <n v="1014.45"/>
    <s v="Credit Card"/>
    <x v="3"/>
  </r>
  <r>
    <n v="740"/>
    <x v="739"/>
    <n v="12"/>
    <s v="2023-11-29"/>
    <n v="2023"/>
    <x v="11"/>
    <n v="1"/>
    <n v="627.41999999999996"/>
    <n v="20"/>
    <n v="501.93599999999998"/>
    <s v="COD"/>
    <x v="3"/>
  </r>
  <r>
    <n v="741"/>
    <x v="740"/>
    <n v="14"/>
    <s v="2023-09-12"/>
    <n v="2023"/>
    <x v="8"/>
    <n v="3"/>
    <n v="574.25"/>
    <n v="20"/>
    <n v="1378.2"/>
    <s v="Wallet"/>
    <x v="3"/>
  </r>
  <r>
    <n v="742"/>
    <x v="741"/>
    <n v="13"/>
    <s v="2023-11-21"/>
    <n v="2023"/>
    <x v="11"/>
    <n v="2"/>
    <n v="334.61"/>
    <n v="20"/>
    <n v="535.37600000000009"/>
    <s v="Wallet"/>
    <x v="1"/>
  </r>
  <r>
    <n v="743"/>
    <x v="742"/>
    <n v="5"/>
    <s v="2023-12-08"/>
    <n v="2023"/>
    <x v="2"/>
    <n v="2"/>
    <n v="296.85000000000002"/>
    <n v="15"/>
    <n v="504.64500000000004"/>
    <s v="Debit Card"/>
    <x v="0"/>
  </r>
  <r>
    <n v="744"/>
    <x v="743"/>
    <n v="29"/>
    <s v="2024-02-02"/>
    <n v="2024"/>
    <x v="9"/>
    <n v="2"/>
    <n v="757"/>
    <n v="20"/>
    <n v="1211.2"/>
    <s v="COD"/>
    <x v="0"/>
  </r>
  <r>
    <n v="745"/>
    <x v="744"/>
    <n v="15"/>
    <s v="2023-04-11"/>
    <n v="2023"/>
    <x v="3"/>
    <n v="2"/>
    <n v="1183.2"/>
    <n v="0"/>
    <n v="2366.4"/>
    <s v="UPI"/>
    <x v="2"/>
  </r>
  <r>
    <n v="746"/>
    <x v="745"/>
    <n v="60"/>
    <s v="2023-07-31"/>
    <n v="2023"/>
    <x v="7"/>
    <n v="3"/>
    <n v="830.49"/>
    <n v="15"/>
    <n v="2117.7495000000004"/>
    <s v="Credit Card"/>
    <x v="0"/>
  </r>
  <r>
    <n v="747"/>
    <x v="746"/>
    <n v="48"/>
    <s v="2024-02-05"/>
    <n v="2024"/>
    <x v="9"/>
    <n v="1"/>
    <n v="1125.8499999999999"/>
    <n v="20"/>
    <n v="900.68"/>
    <s v="UPI"/>
    <x v="0"/>
  </r>
  <r>
    <n v="748"/>
    <x v="747"/>
    <n v="35"/>
    <s v="2024-03-26"/>
    <n v="2024"/>
    <x v="1"/>
    <n v="3"/>
    <n v="958.87"/>
    <n v="10"/>
    <n v="2588.9490000000001"/>
    <s v="UPI"/>
    <x v="0"/>
  </r>
  <r>
    <n v="749"/>
    <x v="748"/>
    <n v="54"/>
    <s v="2023-12-11"/>
    <n v="2023"/>
    <x v="2"/>
    <n v="1"/>
    <n v="900.79"/>
    <n v="0"/>
    <n v="900.79"/>
    <s v="COD"/>
    <x v="2"/>
  </r>
  <r>
    <n v="750"/>
    <x v="749"/>
    <n v="5"/>
    <s v="2023-01-08"/>
    <n v="2023"/>
    <x v="5"/>
    <n v="1"/>
    <n v="296.85000000000002"/>
    <n v="5"/>
    <n v="282.00749999999999"/>
    <s v="UPI"/>
    <x v="0"/>
  </r>
  <r>
    <n v="751"/>
    <x v="750"/>
    <n v="67"/>
    <s v="2024-02-24"/>
    <n v="2024"/>
    <x v="9"/>
    <n v="3"/>
    <n v="258.35000000000002"/>
    <n v="20"/>
    <n v="620.04000000000008"/>
    <s v="UPI"/>
    <x v="2"/>
  </r>
  <r>
    <n v="752"/>
    <x v="751"/>
    <n v="43"/>
    <s v="2023-03-29"/>
    <n v="2023"/>
    <x v="1"/>
    <n v="3"/>
    <n v="760.86"/>
    <n v="15"/>
    <n v="1940.193"/>
    <s v="Debit Card"/>
    <x v="2"/>
  </r>
  <r>
    <n v="753"/>
    <x v="752"/>
    <n v="72"/>
    <s v="2024-05-13"/>
    <n v="2024"/>
    <x v="0"/>
    <n v="2"/>
    <n v="1157.27"/>
    <n v="5"/>
    <n v="2198.8129999999996"/>
    <s v="Wallet"/>
    <x v="2"/>
  </r>
  <r>
    <n v="754"/>
    <x v="753"/>
    <n v="51"/>
    <s v="2024-02-29"/>
    <n v="2024"/>
    <x v="9"/>
    <n v="1"/>
    <n v="759.57"/>
    <n v="20"/>
    <n v="607.65600000000006"/>
    <s v="COD"/>
    <x v="3"/>
  </r>
  <r>
    <n v="755"/>
    <x v="754"/>
    <n v="17"/>
    <s v="2024-04-25"/>
    <n v="2024"/>
    <x v="3"/>
    <n v="3"/>
    <n v="695.6"/>
    <n v="15"/>
    <n v="1773.7800000000002"/>
    <s v="Debit Card"/>
    <x v="0"/>
  </r>
  <r>
    <n v="756"/>
    <x v="755"/>
    <n v="52"/>
    <s v="2024-04-07"/>
    <n v="2024"/>
    <x v="3"/>
    <n v="2"/>
    <n v="256.76"/>
    <n v="20"/>
    <n v="410.81600000000003"/>
    <s v="Debit Card"/>
    <x v="1"/>
  </r>
  <r>
    <n v="757"/>
    <x v="756"/>
    <n v="56"/>
    <s v="2023-04-29"/>
    <n v="2023"/>
    <x v="3"/>
    <n v="1"/>
    <n v="396.01"/>
    <n v="5"/>
    <n v="376.20949999999999"/>
    <s v="Wallet"/>
    <x v="1"/>
  </r>
  <r>
    <n v="758"/>
    <x v="757"/>
    <n v="16"/>
    <s v="2023-11-20"/>
    <n v="2023"/>
    <x v="11"/>
    <n v="3"/>
    <n v="693.02"/>
    <n v="15"/>
    <n v="1767.2009999999998"/>
    <s v="UPI"/>
    <x v="1"/>
  </r>
  <r>
    <n v="759"/>
    <x v="758"/>
    <n v="71"/>
    <s v="2023-03-23"/>
    <n v="2023"/>
    <x v="1"/>
    <n v="2"/>
    <n v="780.27"/>
    <n v="5"/>
    <n v="1482.5129999999999"/>
    <s v="Credit Card"/>
    <x v="2"/>
  </r>
  <r>
    <n v="760"/>
    <x v="759"/>
    <n v="12"/>
    <s v="2023-01-14"/>
    <n v="2023"/>
    <x v="5"/>
    <n v="2"/>
    <n v="627.41999999999996"/>
    <n v="0"/>
    <n v="1254.8399999999999"/>
    <s v="Wallet"/>
    <x v="3"/>
  </r>
  <r>
    <n v="761"/>
    <x v="760"/>
    <n v="20"/>
    <s v="2023-01-15"/>
    <n v="2023"/>
    <x v="5"/>
    <n v="3"/>
    <n v="613.27"/>
    <n v="20"/>
    <n v="1471.848"/>
    <s v="Credit Card"/>
    <x v="1"/>
  </r>
  <r>
    <n v="762"/>
    <x v="761"/>
    <n v="74"/>
    <s v="2023-07-15"/>
    <n v="2023"/>
    <x v="7"/>
    <n v="1"/>
    <n v="1034.31"/>
    <n v="5"/>
    <n v="982.59449999999993"/>
    <s v="COD"/>
    <x v="2"/>
  </r>
  <r>
    <n v="763"/>
    <x v="762"/>
    <n v="46"/>
    <s v="2023-04-06"/>
    <n v="2023"/>
    <x v="3"/>
    <n v="1"/>
    <n v="1155.3"/>
    <n v="5"/>
    <n v="1097.5349999999999"/>
    <s v="UPI"/>
    <x v="3"/>
  </r>
  <r>
    <n v="764"/>
    <x v="763"/>
    <n v="25"/>
    <s v="2023-10-02"/>
    <n v="2023"/>
    <x v="10"/>
    <n v="1"/>
    <n v="1011.65"/>
    <n v="15"/>
    <n v="859.90249999999992"/>
    <s v="UPI"/>
    <x v="2"/>
  </r>
  <r>
    <n v="765"/>
    <x v="764"/>
    <n v="7"/>
    <s v="2023-05-21"/>
    <n v="2023"/>
    <x v="0"/>
    <n v="1"/>
    <n v="97.29"/>
    <n v="5"/>
    <n v="92.4255"/>
    <s v="Credit Card"/>
    <x v="3"/>
  </r>
  <r>
    <n v="766"/>
    <x v="765"/>
    <n v="75"/>
    <s v="2024-03-19"/>
    <n v="2024"/>
    <x v="1"/>
    <n v="1"/>
    <n v="390.41"/>
    <n v="0"/>
    <n v="390.41"/>
    <s v="COD"/>
    <x v="2"/>
  </r>
  <r>
    <n v="767"/>
    <x v="766"/>
    <n v="77"/>
    <s v="2023-03-04"/>
    <n v="2023"/>
    <x v="1"/>
    <n v="1"/>
    <n v="1078.19"/>
    <n v="5"/>
    <n v="1024.2805000000001"/>
    <s v="UPI"/>
    <x v="1"/>
  </r>
  <r>
    <n v="768"/>
    <x v="767"/>
    <n v="34"/>
    <s v="2024-04-03"/>
    <n v="2024"/>
    <x v="3"/>
    <n v="1"/>
    <n v="523.98"/>
    <n v="0"/>
    <n v="523.98"/>
    <s v="Credit Card"/>
    <x v="1"/>
  </r>
  <r>
    <n v="769"/>
    <x v="768"/>
    <n v="64"/>
    <s v="2024-03-08"/>
    <n v="2024"/>
    <x v="1"/>
    <n v="2"/>
    <n v="567.71"/>
    <n v="5"/>
    <n v="1078.6490000000001"/>
    <s v="COD"/>
    <x v="0"/>
  </r>
  <r>
    <n v="770"/>
    <x v="769"/>
    <n v="13"/>
    <s v="2023-09-09"/>
    <n v="2023"/>
    <x v="8"/>
    <n v="1"/>
    <n v="334.61"/>
    <n v="15"/>
    <n v="284.41849999999999"/>
    <s v="Credit Card"/>
    <x v="1"/>
  </r>
  <r>
    <n v="771"/>
    <x v="770"/>
    <n v="63"/>
    <s v="2024-05-06"/>
    <n v="2024"/>
    <x v="0"/>
    <n v="3"/>
    <n v="309.79000000000002"/>
    <n v="0"/>
    <n v="929.37000000000012"/>
    <s v="Debit Card"/>
    <x v="2"/>
  </r>
  <r>
    <n v="772"/>
    <x v="771"/>
    <n v="54"/>
    <s v="2023-07-12"/>
    <n v="2023"/>
    <x v="7"/>
    <n v="2"/>
    <n v="900.79"/>
    <n v="15"/>
    <n v="1531.3429999999998"/>
    <s v="Debit Card"/>
    <x v="2"/>
  </r>
  <r>
    <n v="773"/>
    <x v="772"/>
    <n v="24"/>
    <s v="2023-06-02"/>
    <n v="2023"/>
    <x v="4"/>
    <n v="1"/>
    <n v="1019.85"/>
    <n v="5"/>
    <n v="968.85749999999996"/>
    <s v="Wallet"/>
    <x v="3"/>
  </r>
  <r>
    <n v="774"/>
    <x v="773"/>
    <n v="78"/>
    <s v="2024-03-13"/>
    <n v="2024"/>
    <x v="1"/>
    <n v="1"/>
    <n v="795.77"/>
    <n v="0"/>
    <n v="795.77"/>
    <s v="UPI"/>
    <x v="3"/>
  </r>
  <r>
    <n v="775"/>
    <x v="774"/>
    <n v="45"/>
    <s v="2023-09-05"/>
    <n v="2023"/>
    <x v="8"/>
    <n v="3"/>
    <n v="609.05999999999995"/>
    <n v="20"/>
    <n v="1461.7439999999999"/>
    <s v="Wallet"/>
    <x v="3"/>
  </r>
  <r>
    <n v="776"/>
    <x v="775"/>
    <n v="1"/>
    <s v="2023-03-23"/>
    <n v="2023"/>
    <x v="1"/>
    <n v="3"/>
    <n v="469.08"/>
    <n v="10"/>
    <n v="1266.5160000000001"/>
    <s v="Credit Card"/>
    <x v="0"/>
  </r>
  <r>
    <n v="777"/>
    <x v="776"/>
    <n v="25"/>
    <s v="2023-11-07"/>
    <n v="2023"/>
    <x v="11"/>
    <n v="1"/>
    <n v="1011.65"/>
    <n v="20"/>
    <n v="809.32"/>
    <s v="Credit Card"/>
    <x v="2"/>
  </r>
  <r>
    <n v="778"/>
    <x v="777"/>
    <n v="67"/>
    <s v="2023-09-20"/>
    <n v="2023"/>
    <x v="8"/>
    <n v="1"/>
    <n v="258.35000000000002"/>
    <n v="5"/>
    <n v="245.4325"/>
    <s v="UPI"/>
    <x v="2"/>
  </r>
  <r>
    <n v="779"/>
    <x v="778"/>
    <n v="15"/>
    <s v="2024-04-05"/>
    <n v="2024"/>
    <x v="3"/>
    <n v="1"/>
    <n v="1183.2"/>
    <n v="0"/>
    <n v="1183.2"/>
    <s v="UPI"/>
    <x v="2"/>
  </r>
  <r>
    <n v="780"/>
    <x v="779"/>
    <n v="18"/>
    <s v="2023-04-23"/>
    <n v="2023"/>
    <x v="3"/>
    <n v="1"/>
    <n v="138.07"/>
    <n v="5"/>
    <n v="131.16649999999998"/>
    <s v="UPI"/>
    <x v="1"/>
  </r>
  <r>
    <n v="781"/>
    <x v="780"/>
    <n v="36"/>
    <s v="2023-09-04"/>
    <n v="2023"/>
    <x v="8"/>
    <n v="1"/>
    <n v="992.01"/>
    <n v="0"/>
    <n v="992.01"/>
    <s v="UPI"/>
    <x v="3"/>
  </r>
  <r>
    <n v="782"/>
    <x v="780"/>
    <n v="71"/>
    <s v="2023-11-30"/>
    <n v="2023"/>
    <x v="11"/>
    <n v="2"/>
    <n v="780.27"/>
    <n v="15"/>
    <n v="1326.4589999999998"/>
    <s v="COD"/>
    <x v="2"/>
  </r>
  <r>
    <n v="783"/>
    <x v="781"/>
    <n v="56"/>
    <s v="2023-09-20"/>
    <n v="2023"/>
    <x v="8"/>
    <n v="2"/>
    <n v="396.01"/>
    <n v="5"/>
    <n v="752.41899999999998"/>
    <s v="UPI"/>
    <x v="1"/>
  </r>
  <r>
    <n v="784"/>
    <x v="781"/>
    <n v="23"/>
    <s v="2023-04-12"/>
    <n v="2023"/>
    <x v="3"/>
    <n v="3"/>
    <n v="258.08"/>
    <n v="10"/>
    <n v="696.81600000000003"/>
    <s v="COD"/>
    <x v="1"/>
  </r>
  <r>
    <n v="785"/>
    <x v="782"/>
    <n v="14"/>
    <s v="2023-10-26"/>
    <n v="2023"/>
    <x v="10"/>
    <n v="3"/>
    <n v="574.25"/>
    <n v="10"/>
    <n v="1550.4750000000001"/>
    <s v="Debit Card"/>
    <x v="3"/>
  </r>
  <r>
    <n v="786"/>
    <x v="782"/>
    <n v="27"/>
    <s v="2024-05-03"/>
    <n v="2024"/>
    <x v="0"/>
    <n v="3"/>
    <n v="76.09"/>
    <n v="15"/>
    <n v="194.02950000000001"/>
    <s v="COD"/>
    <x v="0"/>
  </r>
  <r>
    <n v="787"/>
    <x v="783"/>
    <n v="58"/>
    <s v="2023-08-05"/>
    <n v="2023"/>
    <x v="6"/>
    <n v="3"/>
    <n v="334.98"/>
    <n v="10"/>
    <n v="904.44600000000003"/>
    <s v="UPI"/>
    <x v="1"/>
  </r>
  <r>
    <n v="788"/>
    <x v="783"/>
    <n v="80"/>
    <s v="2023-02-25"/>
    <n v="2023"/>
    <x v="9"/>
    <n v="3"/>
    <n v="1014.45"/>
    <n v="15"/>
    <n v="2586.8475000000003"/>
    <s v="COD"/>
    <x v="3"/>
  </r>
  <r>
    <n v="789"/>
    <x v="784"/>
    <n v="26"/>
    <s v="2023-10-18"/>
    <n v="2023"/>
    <x v="10"/>
    <n v="2"/>
    <n v="272.61"/>
    <n v="10"/>
    <n v="490.69800000000004"/>
    <s v="Credit Card"/>
    <x v="1"/>
  </r>
  <r>
    <n v="790"/>
    <x v="784"/>
    <n v="58"/>
    <s v="2023-03-27"/>
    <n v="2023"/>
    <x v="1"/>
    <n v="1"/>
    <n v="334.98"/>
    <n v="20"/>
    <n v="267.98400000000004"/>
    <s v="UPI"/>
    <x v="1"/>
  </r>
  <r>
    <n v="791"/>
    <x v="785"/>
    <n v="76"/>
    <s v="2023-07-29"/>
    <n v="2023"/>
    <x v="7"/>
    <n v="2"/>
    <n v="1043.26"/>
    <n v="20"/>
    <n v="1669.2160000000001"/>
    <s v="Wallet"/>
    <x v="0"/>
  </r>
  <r>
    <n v="792"/>
    <x v="785"/>
    <n v="46"/>
    <s v="2023-07-23"/>
    <n v="2023"/>
    <x v="7"/>
    <n v="1"/>
    <n v="1155.3"/>
    <n v="0"/>
    <n v="1155.3"/>
    <s v="Debit Card"/>
    <x v="3"/>
  </r>
  <r>
    <n v="793"/>
    <x v="786"/>
    <n v="42"/>
    <s v="2023-08-08"/>
    <n v="2023"/>
    <x v="6"/>
    <n v="1"/>
    <n v="233.11"/>
    <n v="10"/>
    <n v="209.79900000000001"/>
    <s v="Debit Card"/>
    <x v="1"/>
  </r>
  <r>
    <n v="794"/>
    <x v="786"/>
    <n v="10"/>
    <s v="2023-04-21"/>
    <n v="2023"/>
    <x v="3"/>
    <n v="3"/>
    <n v="64.11"/>
    <n v="10"/>
    <n v="173.09699999999998"/>
    <s v="UPI"/>
    <x v="0"/>
  </r>
  <r>
    <n v="795"/>
    <x v="787"/>
    <n v="19"/>
    <s v="2024-02-04"/>
    <n v="2024"/>
    <x v="9"/>
    <n v="2"/>
    <n v="262.97000000000003"/>
    <n v="0"/>
    <n v="525.94000000000005"/>
    <s v="Credit Card"/>
    <x v="3"/>
  </r>
  <r>
    <n v="796"/>
    <x v="787"/>
    <n v="41"/>
    <s v="2023-12-19"/>
    <n v="2023"/>
    <x v="2"/>
    <n v="1"/>
    <n v="554.80999999999995"/>
    <n v="10"/>
    <n v="499.32899999999995"/>
    <s v="Debit Card"/>
    <x v="1"/>
  </r>
  <r>
    <n v="797"/>
    <x v="788"/>
    <n v="60"/>
    <s v="2023-10-18"/>
    <n v="2023"/>
    <x v="10"/>
    <n v="2"/>
    <n v="830.49"/>
    <n v="5"/>
    <n v="1577.931"/>
    <s v="Wallet"/>
    <x v="0"/>
  </r>
  <r>
    <n v="798"/>
    <x v="788"/>
    <n v="9"/>
    <s v="2023-07-17"/>
    <n v="2023"/>
    <x v="7"/>
    <n v="2"/>
    <n v="43.26"/>
    <n v="20"/>
    <n v="69.215999999999994"/>
    <s v="Debit Card"/>
    <x v="2"/>
  </r>
  <r>
    <n v="799"/>
    <x v="789"/>
    <n v="68"/>
    <s v="2023-04-22"/>
    <n v="2023"/>
    <x v="3"/>
    <n v="1"/>
    <n v="180.99"/>
    <n v="20"/>
    <n v="144.792"/>
    <s v="UPI"/>
    <x v="0"/>
  </r>
  <r>
    <n v="800"/>
    <x v="789"/>
    <n v="78"/>
    <s v="2024-04-29"/>
    <n v="2024"/>
    <x v="3"/>
    <n v="3"/>
    <n v="795.77"/>
    <n v="0"/>
    <n v="2387.31"/>
    <s v="Wallet"/>
    <x v="3"/>
  </r>
  <r>
    <n v="801"/>
    <x v="790"/>
    <n v="54"/>
    <s v="2023-12-16"/>
    <n v="2023"/>
    <x v="2"/>
    <n v="2"/>
    <n v="900.79"/>
    <n v="10"/>
    <n v="1621.422"/>
    <s v="UPI"/>
    <x v="2"/>
  </r>
  <r>
    <n v="802"/>
    <x v="790"/>
    <n v="26"/>
    <s v="2023-04-11"/>
    <n v="2023"/>
    <x v="3"/>
    <n v="1"/>
    <n v="272.61"/>
    <n v="15"/>
    <n v="231.71850000000001"/>
    <s v="COD"/>
    <x v="1"/>
  </r>
  <r>
    <n v="803"/>
    <x v="791"/>
    <n v="6"/>
    <s v="2023-05-21"/>
    <n v="2023"/>
    <x v="0"/>
    <n v="2"/>
    <n v="719.19"/>
    <n v="0"/>
    <n v="1438.38"/>
    <s v="Credit Card"/>
    <x v="0"/>
  </r>
  <r>
    <n v="804"/>
    <x v="791"/>
    <n v="58"/>
    <s v="2023-03-29"/>
    <n v="2023"/>
    <x v="1"/>
    <n v="3"/>
    <n v="334.98"/>
    <n v="10"/>
    <n v="904.44600000000003"/>
    <s v="Wallet"/>
    <x v="1"/>
  </r>
  <r>
    <n v="805"/>
    <x v="792"/>
    <n v="50"/>
    <s v="2023-05-02"/>
    <n v="2023"/>
    <x v="0"/>
    <n v="3"/>
    <n v="1122.8699999999999"/>
    <n v="0"/>
    <n v="3368.6099999999997"/>
    <s v="UPI"/>
    <x v="1"/>
  </r>
  <r>
    <n v="806"/>
    <x v="792"/>
    <n v="3"/>
    <s v="2023-11-26"/>
    <n v="2023"/>
    <x v="11"/>
    <n v="3"/>
    <n v="506.08"/>
    <n v="0"/>
    <n v="1518.24"/>
    <s v="COD"/>
    <x v="0"/>
  </r>
  <r>
    <n v="807"/>
    <x v="793"/>
    <n v="37"/>
    <s v="2023-03-09"/>
    <n v="2023"/>
    <x v="1"/>
    <n v="2"/>
    <n v="968.87"/>
    <n v="0"/>
    <n v="1937.74"/>
    <s v="Wallet"/>
    <x v="1"/>
  </r>
  <r>
    <n v="808"/>
    <x v="793"/>
    <n v="68"/>
    <s v="2023-01-21"/>
    <n v="2023"/>
    <x v="5"/>
    <n v="2"/>
    <n v="180.99"/>
    <n v="0"/>
    <n v="361.98"/>
    <s v="Credit Card"/>
    <x v="0"/>
  </r>
  <r>
    <n v="809"/>
    <x v="794"/>
    <n v="61"/>
    <s v="2023-02-18"/>
    <n v="2023"/>
    <x v="9"/>
    <n v="2"/>
    <n v="498.92"/>
    <n v="10"/>
    <n v="898.05600000000004"/>
    <s v="UPI"/>
    <x v="0"/>
  </r>
  <r>
    <n v="810"/>
    <x v="794"/>
    <n v="41"/>
    <s v="2024-01-21"/>
    <n v="2024"/>
    <x v="5"/>
    <n v="2"/>
    <n v="554.80999999999995"/>
    <n v="15"/>
    <n v="943.17699999999991"/>
    <s v="Credit Card"/>
    <x v="1"/>
  </r>
  <r>
    <n v="811"/>
    <x v="795"/>
    <n v="72"/>
    <s v="2024-02-01"/>
    <n v="2024"/>
    <x v="9"/>
    <n v="2"/>
    <n v="1157.27"/>
    <n v="15"/>
    <n v="1967.3589999999999"/>
    <s v="Wallet"/>
    <x v="2"/>
  </r>
  <r>
    <n v="812"/>
    <x v="795"/>
    <n v="7"/>
    <s v="2023-07-21"/>
    <n v="2023"/>
    <x v="7"/>
    <n v="2"/>
    <n v="97.29"/>
    <n v="15"/>
    <n v="165.393"/>
    <s v="COD"/>
    <x v="3"/>
  </r>
  <r>
    <n v="813"/>
    <x v="796"/>
    <n v="16"/>
    <s v="2024-03-07"/>
    <n v="2024"/>
    <x v="1"/>
    <n v="2"/>
    <n v="693.02"/>
    <n v="20"/>
    <n v="1108.8320000000001"/>
    <s v="Credit Card"/>
    <x v="1"/>
  </r>
  <r>
    <n v="814"/>
    <x v="796"/>
    <n v="4"/>
    <s v="2023-04-25"/>
    <n v="2023"/>
    <x v="3"/>
    <n v="1"/>
    <n v="800.26"/>
    <n v="0"/>
    <n v="800.26"/>
    <s v="Debit Card"/>
    <x v="2"/>
  </r>
  <r>
    <n v="815"/>
    <x v="797"/>
    <n v="14"/>
    <s v="2023-06-15"/>
    <n v="2023"/>
    <x v="4"/>
    <n v="3"/>
    <n v="574.25"/>
    <n v="15"/>
    <n v="1464.3374999999999"/>
    <s v="Debit Card"/>
    <x v="3"/>
  </r>
  <r>
    <n v="816"/>
    <x v="797"/>
    <n v="22"/>
    <s v="2023-02-15"/>
    <n v="2023"/>
    <x v="9"/>
    <n v="1"/>
    <n v="373.43"/>
    <n v="10"/>
    <n v="336.08699999999999"/>
    <s v="Wallet"/>
    <x v="3"/>
  </r>
  <r>
    <n v="817"/>
    <x v="798"/>
    <n v="1"/>
    <s v="2024-04-23"/>
    <n v="2024"/>
    <x v="3"/>
    <n v="3"/>
    <n v="469.08"/>
    <n v="0"/>
    <n v="1407.24"/>
    <s v="UPI"/>
    <x v="0"/>
  </r>
  <r>
    <n v="818"/>
    <x v="798"/>
    <n v="6"/>
    <s v="2023-02-26"/>
    <n v="2023"/>
    <x v="9"/>
    <n v="1"/>
    <n v="719.19"/>
    <n v="10"/>
    <n v="647.27100000000007"/>
    <s v="Credit Card"/>
    <x v="0"/>
  </r>
  <r>
    <n v="819"/>
    <x v="799"/>
    <n v="34"/>
    <s v="2023-06-18"/>
    <n v="2023"/>
    <x v="4"/>
    <n v="3"/>
    <n v="523.98"/>
    <n v="20"/>
    <n v="1257.5520000000001"/>
    <s v="COD"/>
    <x v="1"/>
  </r>
  <r>
    <n v="820"/>
    <x v="799"/>
    <n v="35"/>
    <s v="2023-12-24"/>
    <n v="2023"/>
    <x v="2"/>
    <n v="1"/>
    <n v="958.87"/>
    <n v="5"/>
    <n v="910.92649999999992"/>
    <s v="Wallet"/>
    <x v="0"/>
  </r>
  <r>
    <n v="821"/>
    <x v="800"/>
    <n v="59"/>
    <s v="2023-03-03"/>
    <n v="2023"/>
    <x v="1"/>
    <n v="1"/>
    <n v="782.33"/>
    <n v="10"/>
    <n v="704.09700000000009"/>
    <s v="Debit Card"/>
    <x v="0"/>
  </r>
  <r>
    <n v="822"/>
    <x v="800"/>
    <n v="75"/>
    <s v="2024-03-30"/>
    <n v="2024"/>
    <x v="1"/>
    <n v="2"/>
    <n v="390.41"/>
    <n v="15"/>
    <n v="663.697"/>
    <s v="Credit Card"/>
    <x v="2"/>
  </r>
  <r>
    <n v="823"/>
    <x v="801"/>
    <n v="67"/>
    <s v="2023-09-28"/>
    <n v="2023"/>
    <x v="8"/>
    <n v="1"/>
    <n v="258.35000000000002"/>
    <n v="20"/>
    <n v="206.68000000000004"/>
    <s v="COD"/>
    <x v="2"/>
  </r>
  <r>
    <n v="824"/>
    <x v="801"/>
    <n v="63"/>
    <s v="2024-05-14"/>
    <n v="2024"/>
    <x v="0"/>
    <n v="2"/>
    <n v="309.79000000000002"/>
    <n v="10"/>
    <n v="557.62200000000007"/>
    <s v="COD"/>
    <x v="2"/>
  </r>
  <r>
    <n v="825"/>
    <x v="802"/>
    <n v="29"/>
    <s v="2023-02-17"/>
    <n v="2023"/>
    <x v="9"/>
    <n v="2"/>
    <n v="757"/>
    <n v="10"/>
    <n v="1362.6000000000001"/>
    <s v="Credit Card"/>
    <x v="0"/>
  </r>
  <r>
    <n v="826"/>
    <x v="802"/>
    <n v="46"/>
    <s v="2023-10-13"/>
    <n v="2023"/>
    <x v="10"/>
    <n v="1"/>
    <n v="1155.3"/>
    <n v="5"/>
    <n v="1097.5349999999999"/>
    <s v="Credit Card"/>
    <x v="3"/>
  </r>
  <r>
    <n v="827"/>
    <x v="803"/>
    <n v="10"/>
    <s v="2024-05-12"/>
    <n v="2024"/>
    <x v="0"/>
    <n v="2"/>
    <n v="64.11"/>
    <n v="0"/>
    <n v="128.22"/>
    <s v="Debit Card"/>
    <x v="0"/>
  </r>
  <r>
    <n v="828"/>
    <x v="803"/>
    <n v="2"/>
    <s v="2023-12-10"/>
    <n v="2023"/>
    <x v="2"/>
    <n v="1"/>
    <n v="427.27"/>
    <n v="15"/>
    <n v="363.17949999999996"/>
    <s v="COD"/>
    <x v="1"/>
  </r>
  <r>
    <n v="829"/>
    <x v="804"/>
    <n v="25"/>
    <s v="2023-09-07"/>
    <n v="2023"/>
    <x v="8"/>
    <n v="1"/>
    <n v="1011.65"/>
    <n v="10"/>
    <n v="910.48500000000001"/>
    <s v="Debit Card"/>
    <x v="2"/>
  </r>
  <r>
    <n v="830"/>
    <x v="804"/>
    <n v="76"/>
    <s v="2024-01-25"/>
    <n v="2024"/>
    <x v="5"/>
    <n v="3"/>
    <n v="1043.26"/>
    <n v="20"/>
    <n v="2503.8240000000001"/>
    <s v="UPI"/>
    <x v="0"/>
  </r>
  <r>
    <n v="831"/>
    <x v="805"/>
    <n v="40"/>
    <s v="2023-12-29"/>
    <n v="2023"/>
    <x v="2"/>
    <n v="2"/>
    <n v="316.49"/>
    <n v="5"/>
    <n v="601.33100000000002"/>
    <s v="Wallet"/>
    <x v="1"/>
  </r>
  <r>
    <n v="832"/>
    <x v="805"/>
    <n v="14"/>
    <s v="2024-04-13"/>
    <n v="2024"/>
    <x v="3"/>
    <n v="1"/>
    <n v="574.25"/>
    <n v="5"/>
    <n v="545.53750000000002"/>
    <s v="UPI"/>
    <x v="3"/>
  </r>
  <r>
    <n v="833"/>
    <x v="806"/>
    <n v="50"/>
    <s v="2024-05-14"/>
    <n v="2024"/>
    <x v="0"/>
    <n v="2"/>
    <n v="1122.8699999999999"/>
    <n v="20"/>
    <n v="1796.5919999999999"/>
    <s v="Wallet"/>
    <x v="1"/>
  </r>
  <r>
    <n v="834"/>
    <x v="806"/>
    <n v="26"/>
    <s v="2024-02-04"/>
    <n v="2024"/>
    <x v="9"/>
    <n v="2"/>
    <n v="272.61"/>
    <n v="5"/>
    <n v="517.95899999999995"/>
    <s v="Credit Card"/>
    <x v="1"/>
  </r>
  <r>
    <n v="835"/>
    <x v="807"/>
    <n v="36"/>
    <s v="2023-08-05"/>
    <n v="2023"/>
    <x v="6"/>
    <n v="1"/>
    <n v="992.01"/>
    <n v="10"/>
    <n v="892.80899999999997"/>
    <s v="Wallet"/>
    <x v="3"/>
  </r>
  <r>
    <n v="836"/>
    <x v="807"/>
    <n v="14"/>
    <s v="2023-03-17"/>
    <n v="2023"/>
    <x v="1"/>
    <n v="2"/>
    <n v="574.25"/>
    <n v="0"/>
    <n v="1148.5"/>
    <s v="Credit Card"/>
    <x v="3"/>
  </r>
  <r>
    <n v="837"/>
    <x v="808"/>
    <n v="31"/>
    <s v="2023-01-09"/>
    <n v="2023"/>
    <x v="5"/>
    <n v="2"/>
    <n v="131.79"/>
    <n v="5"/>
    <n v="250.40099999999998"/>
    <s v="UPI"/>
    <x v="3"/>
  </r>
  <r>
    <n v="838"/>
    <x v="808"/>
    <n v="4"/>
    <s v="2023-09-01"/>
    <n v="2023"/>
    <x v="8"/>
    <n v="3"/>
    <n v="800.26"/>
    <n v="20"/>
    <n v="1920.6239999999998"/>
    <s v="COD"/>
    <x v="2"/>
  </r>
  <r>
    <n v="839"/>
    <x v="809"/>
    <n v="46"/>
    <s v="2023-05-16"/>
    <n v="2023"/>
    <x v="0"/>
    <n v="1"/>
    <n v="1155.3"/>
    <n v="20"/>
    <n v="924.24"/>
    <s v="Credit Card"/>
    <x v="3"/>
  </r>
  <r>
    <n v="840"/>
    <x v="809"/>
    <n v="46"/>
    <s v="2023-08-09"/>
    <n v="2023"/>
    <x v="6"/>
    <n v="1"/>
    <n v="1155.3"/>
    <n v="5"/>
    <n v="1097.5349999999999"/>
    <s v="COD"/>
    <x v="3"/>
  </r>
  <r>
    <n v="841"/>
    <x v="810"/>
    <n v="65"/>
    <s v="2023-08-09"/>
    <n v="2023"/>
    <x v="6"/>
    <n v="3"/>
    <n v="1189.73"/>
    <n v="10"/>
    <n v="3212.2710000000002"/>
    <s v="Credit Card"/>
    <x v="1"/>
  </r>
  <r>
    <n v="842"/>
    <x v="810"/>
    <n v="57"/>
    <s v="2023-05-20"/>
    <n v="2023"/>
    <x v="0"/>
    <n v="2"/>
    <n v="768.03"/>
    <n v="0"/>
    <n v="1536.06"/>
    <s v="Credit Card"/>
    <x v="2"/>
  </r>
  <r>
    <n v="843"/>
    <x v="811"/>
    <n v="49"/>
    <s v="2024-01-10"/>
    <n v="2024"/>
    <x v="5"/>
    <n v="2"/>
    <n v="974.54"/>
    <n v="5"/>
    <n v="1851.6259999999997"/>
    <s v="UPI"/>
    <x v="1"/>
  </r>
  <r>
    <n v="844"/>
    <x v="811"/>
    <n v="25"/>
    <s v="2023-07-26"/>
    <n v="2023"/>
    <x v="7"/>
    <n v="1"/>
    <n v="1011.65"/>
    <n v="20"/>
    <n v="809.32"/>
    <s v="UPI"/>
    <x v="2"/>
  </r>
  <r>
    <n v="845"/>
    <x v="812"/>
    <n v="68"/>
    <s v="2023-11-08"/>
    <n v="2023"/>
    <x v="11"/>
    <n v="2"/>
    <n v="180.99"/>
    <n v="20"/>
    <n v="289.584"/>
    <s v="COD"/>
    <x v="0"/>
  </r>
  <r>
    <n v="846"/>
    <x v="812"/>
    <n v="14"/>
    <s v="2023-12-15"/>
    <n v="2023"/>
    <x v="2"/>
    <n v="1"/>
    <n v="574.25"/>
    <n v="5"/>
    <n v="545.53750000000002"/>
    <s v="Credit Card"/>
    <x v="3"/>
  </r>
  <r>
    <n v="847"/>
    <x v="813"/>
    <n v="29"/>
    <s v="2023-02-28"/>
    <n v="2023"/>
    <x v="9"/>
    <n v="1"/>
    <n v="757"/>
    <n v="0"/>
    <n v="757"/>
    <s v="Wallet"/>
    <x v="0"/>
  </r>
  <r>
    <n v="848"/>
    <x v="813"/>
    <n v="35"/>
    <s v="2023-05-03"/>
    <n v="2023"/>
    <x v="0"/>
    <n v="1"/>
    <n v="958.87"/>
    <n v="20"/>
    <n v="767.096"/>
    <s v="Credit Card"/>
    <x v="0"/>
  </r>
  <r>
    <n v="849"/>
    <x v="814"/>
    <n v="36"/>
    <s v="2023-04-26"/>
    <n v="2023"/>
    <x v="3"/>
    <n v="3"/>
    <n v="992.01"/>
    <n v="15"/>
    <n v="2529.6254999999996"/>
    <s v="COD"/>
    <x v="3"/>
  </r>
  <r>
    <n v="850"/>
    <x v="814"/>
    <n v="51"/>
    <s v="2023-02-21"/>
    <n v="2023"/>
    <x v="9"/>
    <n v="1"/>
    <n v="759.57"/>
    <n v="10"/>
    <n v="683.61300000000006"/>
    <s v="COD"/>
    <x v="3"/>
  </r>
  <r>
    <n v="851"/>
    <x v="815"/>
    <n v="27"/>
    <s v="2023-03-29"/>
    <n v="2023"/>
    <x v="1"/>
    <n v="1"/>
    <n v="76.09"/>
    <n v="10"/>
    <n v="68.481000000000009"/>
    <s v="UPI"/>
    <x v="0"/>
  </r>
  <r>
    <n v="852"/>
    <x v="815"/>
    <n v="77"/>
    <s v="2023-05-28"/>
    <n v="2023"/>
    <x v="0"/>
    <n v="3"/>
    <n v="1078.19"/>
    <n v="0"/>
    <n v="3234.57"/>
    <s v="Credit Card"/>
    <x v="1"/>
  </r>
  <r>
    <n v="853"/>
    <x v="816"/>
    <n v="24"/>
    <s v="2023-09-15"/>
    <n v="2023"/>
    <x v="8"/>
    <n v="3"/>
    <n v="1019.85"/>
    <n v="20"/>
    <n v="2447.6400000000003"/>
    <s v="COD"/>
    <x v="3"/>
  </r>
  <r>
    <n v="854"/>
    <x v="816"/>
    <n v="40"/>
    <s v="2024-03-12"/>
    <n v="2024"/>
    <x v="1"/>
    <n v="3"/>
    <n v="316.49"/>
    <n v="5"/>
    <n v="901.99649999999997"/>
    <s v="Debit Card"/>
    <x v="1"/>
  </r>
  <r>
    <n v="855"/>
    <x v="817"/>
    <n v="41"/>
    <s v="2023-12-15"/>
    <n v="2023"/>
    <x v="2"/>
    <n v="1"/>
    <n v="554.80999999999995"/>
    <n v="5"/>
    <n v="527.06949999999995"/>
    <s v="Debit Card"/>
    <x v="1"/>
  </r>
  <r>
    <n v="856"/>
    <x v="817"/>
    <n v="43"/>
    <s v="2024-04-05"/>
    <n v="2024"/>
    <x v="3"/>
    <n v="2"/>
    <n v="760.86"/>
    <n v="5"/>
    <n v="1445.634"/>
    <s v="Credit Card"/>
    <x v="2"/>
  </r>
  <r>
    <n v="857"/>
    <x v="818"/>
    <n v="61"/>
    <s v="2023-08-08"/>
    <n v="2023"/>
    <x v="6"/>
    <n v="2"/>
    <n v="498.92"/>
    <n v="0"/>
    <n v="997.84"/>
    <s v="Debit Card"/>
    <x v="0"/>
  </r>
  <r>
    <n v="858"/>
    <x v="818"/>
    <n v="34"/>
    <s v="2024-03-27"/>
    <n v="2024"/>
    <x v="1"/>
    <n v="1"/>
    <n v="523.98"/>
    <n v="5"/>
    <n v="497.78100000000001"/>
    <s v="Credit Card"/>
    <x v="1"/>
  </r>
  <r>
    <n v="859"/>
    <x v="819"/>
    <n v="77"/>
    <s v="2023-06-30"/>
    <n v="2023"/>
    <x v="4"/>
    <n v="2"/>
    <n v="1078.19"/>
    <n v="20"/>
    <n v="1725.1040000000003"/>
    <s v="Credit Card"/>
    <x v="1"/>
  </r>
  <r>
    <n v="860"/>
    <x v="819"/>
    <n v="63"/>
    <s v="2024-03-23"/>
    <n v="2024"/>
    <x v="1"/>
    <n v="1"/>
    <n v="309.79000000000002"/>
    <n v="15"/>
    <n v="263.32150000000001"/>
    <s v="Credit Card"/>
    <x v="2"/>
  </r>
  <r>
    <n v="861"/>
    <x v="820"/>
    <n v="6"/>
    <s v="2024-02-24"/>
    <n v="2024"/>
    <x v="9"/>
    <n v="1"/>
    <n v="719.19"/>
    <n v="20"/>
    <n v="575.35200000000009"/>
    <s v="UPI"/>
    <x v="0"/>
  </r>
  <r>
    <n v="862"/>
    <x v="820"/>
    <n v="30"/>
    <s v="2023-09-26"/>
    <n v="2023"/>
    <x v="8"/>
    <n v="3"/>
    <n v="866.89"/>
    <n v="5"/>
    <n v="2470.6365000000001"/>
    <s v="Debit Card"/>
    <x v="2"/>
  </r>
  <r>
    <n v="863"/>
    <x v="821"/>
    <n v="13"/>
    <s v="2023-02-21"/>
    <n v="2023"/>
    <x v="9"/>
    <n v="2"/>
    <n v="334.61"/>
    <n v="10"/>
    <n v="602.298"/>
    <s v="COD"/>
    <x v="1"/>
  </r>
  <r>
    <n v="864"/>
    <x v="821"/>
    <n v="63"/>
    <s v="2024-01-12"/>
    <n v="2024"/>
    <x v="5"/>
    <n v="2"/>
    <n v="309.79000000000002"/>
    <n v="20"/>
    <n v="495.66400000000004"/>
    <s v="UPI"/>
    <x v="2"/>
  </r>
  <r>
    <n v="865"/>
    <x v="822"/>
    <n v="63"/>
    <s v="2023-05-10"/>
    <n v="2023"/>
    <x v="0"/>
    <n v="2"/>
    <n v="309.79000000000002"/>
    <n v="15"/>
    <n v="526.64300000000003"/>
    <s v="Credit Card"/>
    <x v="2"/>
  </r>
  <r>
    <n v="866"/>
    <x v="822"/>
    <n v="46"/>
    <s v="2023-06-04"/>
    <n v="2023"/>
    <x v="4"/>
    <n v="3"/>
    <n v="1155.3"/>
    <n v="10"/>
    <n v="3119.31"/>
    <s v="Wallet"/>
    <x v="3"/>
  </r>
  <r>
    <n v="867"/>
    <x v="823"/>
    <n v="77"/>
    <s v="2023-09-05"/>
    <n v="2023"/>
    <x v="8"/>
    <n v="1"/>
    <n v="1078.19"/>
    <n v="10"/>
    <n v="970.37100000000009"/>
    <s v="Wallet"/>
    <x v="1"/>
  </r>
  <r>
    <n v="868"/>
    <x v="823"/>
    <n v="3"/>
    <s v="2023-03-17"/>
    <n v="2023"/>
    <x v="1"/>
    <n v="2"/>
    <n v="506.08"/>
    <n v="5"/>
    <n v="961.55199999999991"/>
    <s v="Debit Card"/>
    <x v="0"/>
  </r>
  <r>
    <n v="869"/>
    <x v="824"/>
    <n v="46"/>
    <s v="2023-09-12"/>
    <n v="2023"/>
    <x v="8"/>
    <n v="1"/>
    <n v="1155.3"/>
    <n v="5"/>
    <n v="1097.5349999999999"/>
    <s v="Wallet"/>
    <x v="3"/>
  </r>
  <r>
    <n v="870"/>
    <x v="824"/>
    <n v="56"/>
    <s v="2023-07-04"/>
    <n v="2023"/>
    <x v="7"/>
    <n v="1"/>
    <n v="396.01"/>
    <n v="0"/>
    <n v="396.01"/>
    <s v="Debit Card"/>
    <x v="1"/>
  </r>
  <r>
    <n v="871"/>
    <x v="825"/>
    <n v="49"/>
    <s v="2023-11-24"/>
    <n v="2023"/>
    <x v="11"/>
    <n v="1"/>
    <n v="974.54"/>
    <n v="10"/>
    <n v="877.08600000000001"/>
    <s v="Wallet"/>
    <x v="1"/>
  </r>
  <r>
    <n v="872"/>
    <x v="825"/>
    <n v="58"/>
    <s v="2024-05-05"/>
    <n v="2024"/>
    <x v="0"/>
    <n v="3"/>
    <n v="334.98"/>
    <n v="5"/>
    <n v="954.69299999999998"/>
    <s v="UPI"/>
    <x v="1"/>
  </r>
  <r>
    <n v="873"/>
    <x v="826"/>
    <n v="45"/>
    <s v="2024-03-30"/>
    <n v="2024"/>
    <x v="1"/>
    <n v="2"/>
    <n v="609.05999999999995"/>
    <n v="15"/>
    <n v="1035.4019999999998"/>
    <s v="Wallet"/>
    <x v="3"/>
  </r>
  <r>
    <n v="874"/>
    <x v="826"/>
    <n v="54"/>
    <s v="2024-04-28"/>
    <n v="2024"/>
    <x v="3"/>
    <n v="2"/>
    <n v="900.79"/>
    <n v="10"/>
    <n v="1621.422"/>
    <s v="Debit Card"/>
    <x v="2"/>
  </r>
  <r>
    <n v="875"/>
    <x v="827"/>
    <n v="6"/>
    <s v="2023-10-24"/>
    <n v="2023"/>
    <x v="10"/>
    <n v="3"/>
    <n v="719.19"/>
    <n v="10"/>
    <n v="1941.8130000000001"/>
    <s v="Wallet"/>
    <x v="0"/>
  </r>
  <r>
    <n v="876"/>
    <x v="827"/>
    <n v="16"/>
    <s v="2023-08-10"/>
    <n v="2023"/>
    <x v="6"/>
    <n v="2"/>
    <n v="693.02"/>
    <n v="20"/>
    <n v="1108.8320000000001"/>
    <s v="UPI"/>
    <x v="1"/>
  </r>
  <r>
    <n v="877"/>
    <x v="828"/>
    <n v="37"/>
    <s v="2023-02-26"/>
    <n v="2023"/>
    <x v="9"/>
    <n v="1"/>
    <n v="968.87"/>
    <n v="15"/>
    <n v="823.53949999999998"/>
    <s v="Debit Card"/>
    <x v="1"/>
  </r>
  <r>
    <n v="878"/>
    <x v="828"/>
    <n v="60"/>
    <s v="2023-12-15"/>
    <n v="2023"/>
    <x v="2"/>
    <n v="1"/>
    <n v="830.49"/>
    <n v="20"/>
    <n v="664.39200000000005"/>
    <s v="UPI"/>
    <x v="0"/>
  </r>
  <r>
    <n v="879"/>
    <x v="829"/>
    <n v="80"/>
    <s v="2023-10-13"/>
    <n v="2023"/>
    <x v="10"/>
    <n v="3"/>
    <n v="1014.45"/>
    <n v="5"/>
    <n v="2891.1825000000003"/>
    <s v="UPI"/>
    <x v="3"/>
  </r>
  <r>
    <n v="880"/>
    <x v="829"/>
    <n v="63"/>
    <s v="2023-05-28"/>
    <n v="2023"/>
    <x v="0"/>
    <n v="1"/>
    <n v="309.79000000000002"/>
    <n v="10"/>
    <n v="278.81100000000004"/>
    <s v="Credit Card"/>
    <x v="2"/>
  </r>
  <r>
    <n v="881"/>
    <x v="830"/>
    <n v="59"/>
    <s v="2023-01-21"/>
    <n v="2023"/>
    <x v="5"/>
    <n v="1"/>
    <n v="782.33"/>
    <n v="10"/>
    <n v="704.09700000000009"/>
    <s v="Wallet"/>
    <x v="0"/>
  </r>
  <r>
    <n v="882"/>
    <x v="830"/>
    <n v="16"/>
    <s v="2023-01-28"/>
    <n v="2023"/>
    <x v="5"/>
    <n v="2"/>
    <n v="693.02"/>
    <n v="10"/>
    <n v="1247.4359999999999"/>
    <s v="Credit Card"/>
    <x v="1"/>
  </r>
  <r>
    <n v="883"/>
    <x v="831"/>
    <n v="56"/>
    <s v="2023-06-30"/>
    <n v="2023"/>
    <x v="4"/>
    <n v="3"/>
    <n v="396.01"/>
    <n v="0"/>
    <n v="1188.03"/>
    <s v="Credit Card"/>
    <x v="1"/>
  </r>
  <r>
    <n v="884"/>
    <x v="831"/>
    <n v="33"/>
    <s v="2023-03-12"/>
    <n v="2023"/>
    <x v="1"/>
    <n v="2"/>
    <n v="965.4"/>
    <n v="10"/>
    <n v="1737.72"/>
    <s v="Wallet"/>
    <x v="3"/>
  </r>
  <r>
    <n v="885"/>
    <x v="832"/>
    <n v="72"/>
    <s v="2023-03-21"/>
    <n v="2023"/>
    <x v="1"/>
    <n v="1"/>
    <n v="1157.27"/>
    <n v="10"/>
    <n v="1041.5430000000001"/>
    <s v="Debit Card"/>
    <x v="2"/>
  </r>
  <r>
    <n v="886"/>
    <x v="832"/>
    <n v="26"/>
    <s v="2023-08-10"/>
    <n v="2023"/>
    <x v="6"/>
    <n v="3"/>
    <n v="272.61"/>
    <n v="0"/>
    <n v="817.83"/>
    <s v="UPI"/>
    <x v="1"/>
  </r>
  <r>
    <n v="887"/>
    <x v="833"/>
    <n v="29"/>
    <s v="2023-01-17"/>
    <n v="2023"/>
    <x v="5"/>
    <n v="2"/>
    <n v="757"/>
    <n v="10"/>
    <n v="1362.6000000000001"/>
    <s v="Debit Card"/>
    <x v="0"/>
  </r>
  <r>
    <n v="888"/>
    <x v="833"/>
    <n v="50"/>
    <s v="2023-08-05"/>
    <n v="2023"/>
    <x v="6"/>
    <n v="2"/>
    <n v="1122.8699999999999"/>
    <n v="0"/>
    <n v="2245.7399999999998"/>
    <s v="UPI"/>
    <x v="1"/>
  </r>
  <r>
    <n v="889"/>
    <x v="834"/>
    <n v="39"/>
    <s v="2023-11-02"/>
    <n v="2023"/>
    <x v="11"/>
    <n v="2"/>
    <n v="256.08999999999997"/>
    <n v="5"/>
    <n v="486.57099999999991"/>
    <s v="Wallet"/>
    <x v="0"/>
  </r>
  <r>
    <n v="890"/>
    <x v="834"/>
    <n v="56"/>
    <s v="2023-12-14"/>
    <n v="2023"/>
    <x v="2"/>
    <n v="2"/>
    <n v="396.01"/>
    <n v="20"/>
    <n v="633.61599999999999"/>
    <s v="Debit Card"/>
    <x v="1"/>
  </r>
  <r>
    <n v="891"/>
    <x v="835"/>
    <n v="26"/>
    <s v="2023-05-09"/>
    <n v="2023"/>
    <x v="0"/>
    <n v="1"/>
    <n v="272.61"/>
    <n v="15"/>
    <n v="231.71850000000001"/>
    <s v="Wallet"/>
    <x v="1"/>
  </r>
  <r>
    <n v="892"/>
    <x v="835"/>
    <n v="26"/>
    <s v="2023-06-04"/>
    <n v="2023"/>
    <x v="4"/>
    <n v="2"/>
    <n v="272.61"/>
    <n v="0"/>
    <n v="545.22"/>
    <s v="UPI"/>
    <x v="1"/>
  </r>
  <r>
    <n v="893"/>
    <x v="836"/>
    <n v="73"/>
    <s v="2024-04-19"/>
    <n v="2024"/>
    <x v="3"/>
    <n v="3"/>
    <n v="943.04"/>
    <n v="15"/>
    <n v="2404.752"/>
    <s v="Wallet"/>
    <x v="1"/>
  </r>
  <r>
    <n v="894"/>
    <x v="836"/>
    <n v="24"/>
    <s v="2023-07-12"/>
    <n v="2023"/>
    <x v="7"/>
    <n v="2"/>
    <n v="1019.85"/>
    <n v="0"/>
    <n v="2039.7"/>
    <s v="Debit Card"/>
    <x v="3"/>
  </r>
  <r>
    <n v="895"/>
    <x v="837"/>
    <n v="68"/>
    <s v="2023-08-15"/>
    <n v="2023"/>
    <x v="6"/>
    <n v="3"/>
    <n v="180.99"/>
    <n v="10"/>
    <n v="488.67300000000006"/>
    <s v="Wallet"/>
    <x v="0"/>
  </r>
  <r>
    <n v="896"/>
    <x v="837"/>
    <n v="46"/>
    <s v="2023-08-28"/>
    <n v="2023"/>
    <x v="6"/>
    <n v="2"/>
    <n v="1155.3"/>
    <n v="15"/>
    <n v="1964.0099999999998"/>
    <s v="COD"/>
    <x v="3"/>
  </r>
  <r>
    <n v="897"/>
    <x v="838"/>
    <n v="54"/>
    <s v="2024-05-07"/>
    <n v="2024"/>
    <x v="0"/>
    <n v="2"/>
    <n v="900.79"/>
    <n v="15"/>
    <n v="1531.3429999999998"/>
    <s v="Credit Card"/>
    <x v="2"/>
  </r>
  <r>
    <n v="898"/>
    <x v="838"/>
    <n v="72"/>
    <s v="2023-01-14"/>
    <n v="2023"/>
    <x v="5"/>
    <n v="2"/>
    <n v="1157.27"/>
    <n v="0"/>
    <n v="2314.54"/>
    <s v="Debit Card"/>
    <x v="2"/>
  </r>
  <r>
    <n v="899"/>
    <x v="839"/>
    <n v="79"/>
    <s v="2024-04-09"/>
    <n v="2024"/>
    <x v="3"/>
    <n v="2"/>
    <n v="488.34"/>
    <n v="5"/>
    <n v="927.84599999999989"/>
    <s v="Wallet"/>
    <x v="2"/>
  </r>
  <r>
    <n v="900"/>
    <x v="839"/>
    <n v="66"/>
    <s v="2023-07-11"/>
    <n v="2023"/>
    <x v="7"/>
    <n v="1"/>
    <n v="783.37"/>
    <n v="20"/>
    <n v="626.69600000000003"/>
    <s v="Wallet"/>
    <x v="1"/>
  </r>
  <r>
    <n v="901"/>
    <x v="840"/>
    <n v="73"/>
    <s v="2024-03-25"/>
    <n v="2024"/>
    <x v="1"/>
    <n v="2"/>
    <n v="943.04"/>
    <n v="0"/>
    <n v="1886.08"/>
    <s v="COD"/>
    <x v="1"/>
  </r>
  <r>
    <n v="902"/>
    <x v="840"/>
    <n v="17"/>
    <s v="2023-07-26"/>
    <n v="2023"/>
    <x v="7"/>
    <n v="3"/>
    <n v="695.6"/>
    <n v="0"/>
    <n v="2086.8000000000002"/>
    <s v="COD"/>
    <x v="0"/>
  </r>
  <r>
    <n v="903"/>
    <x v="841"/>
    <n v="67"/>
    <s v="2023-08-24"/>
    <n v="2023"/>
    <x v="6"/>
    <n v="1"/>
    <n v="258.35000000000002"/>
    <n v="0"/>
    <n v="258.35000000000002"/>
    <s v="Credit Card"/>
    <x v="2"/>
  </r>
  <r>
    <n v="904"/>
    <x v="841"/>
    <n v="35"/>
    <s v="2024-02-29"/>
    <n v="2024"/>
    <x v="9"/>
    <n v="3"/>
    <n v="958.87"/>
    <n v="0"/>
    <n v="2876.61"/>
    <s v="UPI"/>
    <x v="0"/>
  </r>
  <r>
    <n v="905"/>
    <x v="842"/>
    <n v="77"/>
    <s v="2023-02-19"/>
    <n v="2023"/>
    <x v="9"/>
    <n v="2"/>
    <n v="1078.19"/>
    <n v="20"/>
    <n v="1725.1040000000003"/>
    <s v="COD"/>
    <x v="1"/>
  </r>
  <r>
    <n v="906"/>
    <x v="842"/>
    <n v="43"/>
    <s v="2024-03-18"/>
    <n v="2024"/>
    <x v="1"/>
    <n v="1"/>
    <n v="760.86"/>
    <n v="0"/>
    <n v="760.86"/>
    <s v="Wallet"/>
    <x v="2"/>
  </r>
  <r>
    <n v="907"/>
    <x v="843"/>
    <n v="66"/>
    <s v="2024-01-14"/>
    <n v="2024"/>
    <x v="5"/>
    <n v="3"/>
    <n v="783.37"/>
    <n v="0"/>
    <n v="2350.11"/>
    <s v="Debit Card"/>
    <x v="1"/>
  </r>
  <r>
    <n v="908"/>
    <x v="843"/>
    <n v="67"/>
    <s v="2023-03-15"/>
    <n v="2023"/>
    <x v="1"/>
    <n v="3"/>
    <n v="258.35000000000002"/>
    <n v="15"/>
    <n v="658.79250000000002"/>
    <s v="Debit Card"/>
    <x v="2"/>
  </r>
  <r>
    <n v="909"/>
    <x v="844"/>
    <n v="29"/>
    <s v="2024-04-03"/>
    <n v="2024"/>
    <x v="3"/>
    <n v="3"/>
    <n v="757"/>
    <n v="5"/>
    <n v="2157.4499999999998"/>
    <s v="UPI"/>
    <x v="0"/>
  </r>
  <r>
    <n v="910"/>
    <x v="844"/>
    <n v="40"/>
    <s v="2024-01-04"/>
    <n v="2024"/>
    <x v="5"/>
    <n v="1"/>
    <n v="316.49"/>
    <n v="15"/>
    <n v="269.01650000000001"/>
    <s v="Wallet"/>
    <x v="1"/>
  </r>
  <r>
    <n v="911"/>
    <x v="845"/>
    <n v="26"/>
    <s v="2023-02-28"/>
    <n v="2023"/>
    <x v="9"/>
    <n v="1"/>
    <n v="272.61"/>
    <n v="0"/>
    <n v="272.61"/>
    <s v="Debit Card"/>
    <x v="1"/>
  </r>
  <r>
    <n v="912"/>
    <x v="845"/>
    <n v="78"/>
    <s v="2024-03-26"/>
    <n v="2024"/>
    <x v="1"/>
    <n v="1"/>
    <n v="795.77"/>
    <n v="20"/>
    <n v="636.61599999999999"/>
    <s v="Credit Card"/>
    <x v="3"/>
  </r>
  <r>
    <n v="913"/>
    <x v="846"/>
    <n v="32"/>
    <s v="2023-04-15"/>
    <n v="2023"/>
    <x v="3"/>
    <n v="1"/>
    <n v="342.57"/>
    <n v="15"/>
    <n v="291.18450000000001"/>
    <s v="Credit Card"/>
    <x v="0"/>
  </r>
  <r>
    <n v="914"/>
    <x v="846"/>
    <n v="65"/>
    <s v="2023-08-16"/>
    <n v="2023"/>
    <x v="6"/>
    <n v="2"/>
    <n v="1189.73"/>
    <n v="0"/>
    <n v="2379.46"/>
    <s v="Credit Card"/>
    <x v="1"/>
  </r>
  <r>
    <n v="915"/>
    <x v="847"/>
    <n v="39"/>
    <s v="2023-07-27"/>
    <n v="2023"/>
    <x v="7"/>
    <n v="2"/>
    <n v="256.08999999999997"/>
    <n v="5"/>
    <n v="486.57099999999991"/>
    <s v="Debit Card"/>
    <x v="0"/>
  </r>
  <r>
    <n v="916"/>
    <x v="847"/>
    <n v="70"/>
    <s v="2023-05-14"/>
    <n v="2023"/>
    <x v="0"/>
    <n v="3"/>
    <n v="797.23"/>
    <n v="15"/>
    <n v="2032.9365"/>
    <s v="Wallet"/>
    <x v="0"/>
  </r>
  <r>
    <n v="917"/>
    <x v="848"/>
    <n v="16"/>
    <s v="2023-08-10"/>
    <n v="2023"/>
    <x v="6"/>
    <n v="1"/>
    <n v="693.02"/>
    <n v="0"/>
    <n v="693.02"/>
    <s v="Debit Card"/>
    <x v="1"/>
  </r>
  <r>
    <n v="918"/>
    <x v="848"/>
    <n v="19"/>
    <s v="2024-02-24"/>
    <n v="2024"/>
    <x v="9"/>
    <n v="3"/>
    <n v="262.97000000000003"/>
    <n v="5"/>
    <n v="749.46450000000004"/>
    <s v="Debit Card"/>
    <x v="3"/>
  </r>
  <r>
    <n v="919"/>
    <x v="849"/>
    <n v="66"/>
    <s v="2024-01-15"/>
    <n v="2024"/>
    <x v="5"/>
    <n v="3"/>
    <n v="783.37"/>
    <n v="20"/>
    <n v="1880.0880000000002"/>
    <s v="Debit Card"/>
    <x v="1"/>
  </r>
  <r>
    <n v="920"/>
    <x v="849"/>
    <n v="61"/>
    <s v="2023-09-03"/>
    <n v="2023"/>
    <x v="8"/>
    <n v="2"/>
    <n v="498.92"/>
    <n v="10"/>
    <n v="898.05600000000004"/>
    <s v="Credit Card"/>
    <x v="0"/>
  </r>
  <r>
    <n v="921"/>
    <x v="850"/>
    <n v="76"/>
    <s v="2023-09-10"/>
    <n v="2023"/>
    <x v="8"/>
    <n v="2"/>
    <n v="1043.26"/>
    <n v="10"/>
    <n v="1877.8679999999999"/>
    <s v="COD"/>
    <x v="0"/>
  </r>
  <r>
    <n v="922"/>
    <x v="850"/>
    <n v="50"/>
    <s v="2023-12-24"/>
    <n v="2023"/>
    <x v="2"/>
    <n v="1"/>
    <n v="1122.8699999999999"/>
    <n v="15"/>
    <n v="954.43949999999984"/>
    <s v="COD"/>
    <x v="1"/>
  </r>
  <r>
    <n v="923"/>
    <x v="851"/>
    <n v="55"/>
    <s v="2023-03-17"/>
    <n v="2023"/>
    <x v="1"/>
    <n v="1"/>
    <n v="1016.06"/>
    <n v="10"/>
    <n v="914.45399999999995"/>
    <s v="COD"/>
    <x v="0"/>
  </r>
  <r>
    <n v="924"/>
    <x v="851"/>
    <n v="16"/>
    <s v="2023-10-16"/>
    <n v="2023"/>
    <x v="10"/>
    <n v="2"/>
    <n v="693.02"/>
    <n v="0"/>
    <n v="1386.04"/>
    <s v="Wallet"/>
    <x v="1"/>
  </r>
  <r>
    <n v="925"/>
    <x v="852"/>
    <n v="39"/>
    <s v="2023-01-18"/>
    <n v="2023"/>
    <x v="5"/>
    <n v="3"/>
    <n v="256.08999999999997"/>
    <n v="20"/>
    <n v="614.61599999999999"/>
    <s v="COD"/>
    <x v="0"/>
  </r>
  <r>
    <n v="926"/>
    <x v="852"/>
    <n v="6"/>
    <s v="2024-04-09"/>
    <n v="2024"/>
    <x v="3"/>
    <n v="2"/>
    <n v="719.19"/>
    <n v="5"/>
    <n v="1366.461"/>
    <s v="COD"/>
    <x v="0"/>
  </r>
  <r>
    <n v="927"/>
    <x v="853"/>
    <n v="59"/>
    <s v="2023-05-22"/>
    <n v="2023"/>
    <x v="0"/>
    <n v="1"/>
    <n v="782.33"/>
    <n v="5"/>
    <n v="743.21349999999995"/>
    <s v="UPI"/>
    <x v="0"/>
  </r>
  <r>
    <n v="928"/>
    <x v="853"/>
    <n v="65"/>
    <s v="2024-03-14"/>
    <n v="2024"/>
    <x v="1"/>
    <n v="3"/>
    <n v="1189.73"/>
    <n v="5"/>
    <n v="3390.7305000000001"/>
    <s v="UPI"/>
    <x v="1"/>
  </r>
  <r>
    <n v="929"/>
    <x v="854"/>
    <n v="68"/>
    <s v="2023-07-19"/>
    <n v="2023"/>
    <x v="7"/>
    <n v="3"/>
    <n v="180.99"/>
    <n v="0"/>
    <n v="542.97"/>
    <s v="Debit Card"/>
    <x v="0"/>
  </r>
  <r>
    <n v="930"/>
    <x v="854"/>
    <n v="20"/>
    <s v="2023-06-30"/>
    <n v="2023"/>
    <x v="4"/>
    <n v="3"/>
    <n v="613.27"/>
    <n v="20"/>
    <n v="1471.848"/>
    <s v="UPI"/>
    <x v="1"/>
  </r>
  <r>
    <n v="931"/>
    <x v="855"/>
    <n v="59"/>
    <s v="2024-01-02"/>
    <n v="2024"/>
    <x v="5"/>
    <n v="1"/>
    <n v="782.33"/>
    <n v="10"/>
    <n v="704.09700000000009"/>
    <s v="UPI"/>
    <x v="0"/>
  </r>
  <r>
    <n v="932"/>
    <x v="855"/>
    <n v="51"/>
    <s v="2023-02-04"/>
    <n v="2023"/>
    <x v="9"/>
    <n v="3"/>
    <n v="759.57"/>
    <n v="15"/>
    <n v="1936.9034999999999"/>
    <s v="COD"/>
    <x v="3"/>
  </r>
  <r>
    <n v="933"/>
    <x v="856"/>
    <n v="61"/>
    <s v="2023-11-07"/>
    <n v="2023"/>
    <x v="11"/>
    <n v="3"/>
    <n v="498.92"/>
    <n v="5"/>
    <n v="1421.922"/>
    <s v="Wallet"/>
    <x v="0"/>
  </r>
  <r>
    <n v="934"/>
    <x v="856"/>
    <n v="65"/>
    <s v="2024-02-02"/>
    <n v="2024"/>
    <x v="9"/>
    <n v="3"/>
    <n v="1189.73"/>
    <n v="20"/>
    <n v="2855.3520000000003"/>
    <s v="UPI"/>
    <x v="1"/>
  </r>
  <r>
    <n v="935"/>
    <x v="857"/>
    <n v="17"/>
    <s v="2023-12-24"/>
    <n v="2023"/>
    <x v="2"/>
    <n v="2"/>
    <n v="695.6"/>
    <n v="20"/>
    <n v="1112.96"/>
    <s v="Wallet"/>
    <x v="0"/>
  </r>
  <r>
    <n v="936"/>
    <x v="857"/>
    <n v="45"/>
    <s v="2023-10-27"/>
    <n v="2023"/>
    <x v="10"/>
    <n v="3"/>
    <n v="609.05999999999995"/>
    <n v="15"/>
    <n v="1553.1029999999998"/>
    <s v="Credit Card"/>
    <x v="3"/>
  </r>
  <r>
    <n v="937"/>
    <x v="858"/>
    <n v="6"/>
    <s v="2023-01-16"/>
    <n v="2023"/>
    <x v="5"/>
    <n v="3"/>
    <n v="719.19"/>
    <n v="5"/>
    <n v="2049.6914999999999"/>
    <s v="Debit Card"/>
    <x v="0"/>
  </r>
  <r>
    <n v="938"/>
    <x v="858"/>
    <n v="13"/>
    <s v="2023-12-07"/>
    <n v="2023"/>
    <x v="2"/>
    <n v="1"/>
    <n v="334.61"/>
    <n v="15"/>
    <n v="284.41849999999999"/>
    <s v="COD"/>
    <x v="1"/>
  </r>
  <r>
    <n v="939"/>
    <x v="859"/>
    <n v="42"/>
    <s v="2024-01-25"/>
    <n v="2024"/>
    <x v="5"/>
    <n v="1"/>
    <n v="233.11"/>
    <n v="5"/>
    <n v="221.4545"/>
    <s v="Credit Card"/>
    <x v="1"/>
  </r>
  <r>
    <n v="940"/>
    <x v="859"/>
    <n v="23"/>
    <s v="2024-01-08"/>
    <n v="2024"/>
    <x v="5"/>
    <n v="2"/>
    <n v="258.08"/>
    <n v="15"/>
    <n v="438.73599999999993"/>
    <s v="Credit Card"/>
    <x v="1"/>
  </r>
  <r>
    <n v="941"/>
    <x v="860"/>
    <n v="8"/>
    <s v="2023-11-10"/>
    <n v="2023"/>
    <x v="11"/>
    <n v="2"/>
    <n v="155.08000000000001"/>
    <n v="0"/>
    <n v="310.16000000000003"/>
    <s v="Credit Card"/>
    <x v="0"/>
  </r>
  <r>
    <n v="942"/>
    <x v="860"/>
    <n v="10"/>
    <s v="2023-08-15"/>
    <n v="2023"/>
    <x v="6"/>
    <n v="2"/>
    <n v="64.11"/>
    <n v="20"/>
    <n v="102.57600000000001"/>
    <s v="Credit Card"/>
    <x v="0"/>
  </r>
  <r>
    <n v="943"/>
    <x v="861"/>
    <n v="23"/>
    <s v="2023-06-14"/>
    <n v="2023"/>
    <x v="4"/>
    <n v="1"/>
    <n v="258.08"/>
    <n v="15"/>
    <n v="219.36799999999997"/>
    <s v="COD"/>
    <x v="1"/>
  </r>
  <r>
    <n v="944"/>
    <x v="861"/>
    <n v="18"/>
    <s v="2023-11-23"/>
    <n v="2023"/>
    <x v="11"/>
    <n v="3"/>
    <n v="138.07"/>
    <n v="20"/>
    <n v="331.36799999999999"/>
    <s v="Debit Card"/>
    <x v="1"/>
  </r>
  <r>
    <n v="945"/>
    <x v="862"/>
    <n v="26"/>
    <s v="2023-05-10"/>
    <n v="2023"/>
    <x v="0"/>
    <n v="2"/>
    <n v="272.61"/>
    <n v="15"/>
    <n v="463.43700000000001"/>
    <s v="UPI"/>
    <x v="1"/>
  </r>
  <r>
    <n v="946"/>
    <x v="862"/>
    <n v="29"/>
    <s v="2023-04-14"/>
    <n v="2023"/>
    <x v="3"/>
    <n v="3"/>
    <n v="757"/>
    <n v="5"/>
    <n v="2157.4499999999998"/>
    <s v="COD"/>
    <x v="0"/>
  </r>
  <r>
    <n v="947"/>
    <x v="863"/>
    <n v="68"/>
    <s v="2024-02-19"/>
    <n v="2024"/>
    <x v="9"/>
    <n v="1"/>
    <n v="180.99"/>
    <n v="0"/>
    <n v="180.99"/>
    <s v="Wallet"/>
    <x v="0"/>
  </r>
  <r>
    <n v="948"/>
    <x v="863"/>
    <n v="4"/>
    <s v="2023-11-19"/>
    <n v="2023"/>
    <x v="11"/>
    <n v="3"/>
    <n v="800.26"/>
    <n v="0"/>
    <n v="2400.7799999999997"/>
    <s v="Debit Card"/>
    <x v="2"/>
  </r>
  <r>
    <n v="949"/>
    <x v="864"/>
    <n v="5"/>
    <s v="2024-02-19"/>
    <n v="2024"/>
    <x v="9"/>
    <n v="1"/>
    <n v="296.85000000000002"/>
    <n v="0"/>
    <n v="296.85000000000002"/>
    <s v="UPI"/>
    <x v="0"/>
  </r>
  <r>
    <n v="950"/>
    <x v="864"/>
    <n v="53"/>
    <s v="2023-10-18"/>
    <n v="2023"/>
    <x v="10"/>
    <n v="3"/>
    <n v="194.34"/>
    <n v="0"/>
    <n v="583.02"/>
    <s v="UPI"/>
    <x v="1"/>
  </r>
  <r>
    <n v="951"/>
    <x v="865"/>
    <n v="24"/>
    <s v="2023-12-16"/>
    <n v="2023"/>
    <x v="2"/>
    <n v="3"/>
    <n v="1019.85"/>
    <n v="20"/>
    <n v="2447.6400000000003"/>
    <s v="COD"/>
    <x v="3"/>
  </r>
  <r>
    <n v="952"/>
    <x v="865"/>
    <n v="25"/>
    <s v="2024-03-02"/>
    <n v="2024"/>
    <x v="1"/>
    <n v="1"/>
    <n v="1011.65"/>
    <n v="20"/>
    <n v="809.32"/>
    <s v="COD"/>
    <x v="2"/>
  </r>
  <r>
    <n v="953"/>
    <x v="866"/>
    <n v="65"/>
    <s v="2023-06-30"/>
    <n v="2023"/>
    <x v="4"/>
    <n v="2"/>
    <n v="1189.73"/>
    <n v="20"/>
    <n v="1903.5680000000002"/>
    <s v="Wallet"/>
    <x v="1"/>
  </r>
  <r>
    <n v="954"/>
    <x v="866"/>
    <n v="18"/>
    <s v="2024-02-15"/>
    <n v="2024"/>
    <x v="9"/>
    <n v="1"/>
    <n v="138.07"/>
    <n v="15"/>
    <n v="117.3595"/>
    <s v="COD"/>
    <x v="1"/>
  </r>
  <r>
    <n v="955"/>
    <x v="867"/>
    <n v="49"/>
    <s v="2024-03-23"/>
    <n v="2024"/>
    <x v="1"/>
    <n v="1"/>
    <n v="974.54"/>
    <n v="20"/>
    <n v="779.63200000000006"/>
    <s v="Credit Card"/>
    <x v="1"/>
  </r>
  <r>
    <n v="956"/>
    <x v="867"/>
    <n v="17"/>
    <s v="2024-02-05"/>
    <n v="2024"/>
    <x v="9"/>
    <n v="3"/>
    <n v="695.6"/>
    <n v="10"/>
    <n v="1878.1200000000001"/>
    <s v="Credit Card"/>
    <x v="0"/>
  </r>
  <r>
    <n v="957"/>
    <x v="868"/>
    <n v="16"/>
    <s v="2023-09-13"/>
    <n v="2023"/>
    <x v="8"/>
    <n v="1"/>
    <n v="693.02"/>
    <n v="0"/>
    <n v="693.02"/>
    <s v="Wallet"/>
    <x v="1"/>
  </r>
  <r>
    <n v="958"/>
    <x v="868"/>
    <n v="70"/>
    <s v="2023-06-19"/>
    <n v="2023"/>
    <x v="4"/>
    <n v="1"/>
    <n v="797.23"/>
    <n v="5"/>
    <n v="757.36849999999993"/>
    <s v="UPI"/>
    <x v="0"/>
  </r>
  <r>
    <n v="959"/>
    <x v="869"/>
    <n v="33"/>
    <s v="2023-07-19"/>
    <n v="2023"/>
    <x v="7"/>
    <n v="3"/>
    <n v="965.4"/>
    <n v="10"/>
    <n v="2606.58"/>
    <s v="Credit Card"/>
    <x v="3"/>
  </r>
  <r>
    <n v="960"/>
    <x v="869"/>
    <n v="21"/>
    <s v="2024-05-10"/>
    <n v="2024"/>
    <x v="0"/>
    <n v="2"/>
    <n v="420.66"/>
    <n v="0"/>
    <n v="841.32"/>
    <s v="Wallet"/>
    <x v="3"/>
  </r>
  <r>
    <n v="961"/>
    <x v="870"/>
    <n v="74"/>
    <s v="2023-05-04"/>
    <n v="2023"/>
    <x v="0"/>
    <n v="3"/>
    <n v="1034.31"/>
    <n v="20"/>
    <n v="2482.3440000000001"/>
    <s v="Wallet"/>
    <x v="2"/>
  </r>
  <r>
    <n v="962"/>
    <x v="870"/>
    <n v="40"/>
    <s v="2023-07-24"/>
    <n v="2023"/>
    <x v="7"/>
    <n v="3"/>
    <n v="316.49"/>
    <n v="0"/>
    <n v="949.47"/>
    <s v="Wallet"/>
    <x v="1"/>
  </r>
  <r>
    <n v="963"/>
    <x v="871"/>
    <n v="15"/>
    <s v="2023-10-26"/>
    <n v="2023"/>
    <x v="10"/>
    <n v="2"/>
    <n v="1183.2"/>
    <n v="10"/>
    <n v="2129.7600000000002"/>
    <s v="Credit Card"/>
    <x v="2"/>
  </r>
  <r>
    <n v="964"/>
    <x v="871"/>
    <n v="5"/>
    <s v="2023-06-23"/>
    <n v="2023"/>
    <x v="4"/>
    <n v="2"/>
    <n v="296.85000000000002"/>
    <n v="10"/>
    <n v="534.33000000000004"/>
    <s v="Debit Card"/>
    <x v="0"/>
  </r>
  <r>
    <n v="965"/>
    <x v="872"/>
    <n v="43"/>
    <s v="2024-03-30"/>
    <n v="2024"/>
    <x v="1"/>
    <n v="1"/>
    <n v="760.86"/>
    <n v="5"/>
    <n v="722.81700000000001"/>
    <s v="Debit Card"/>
    <x v="2"/>
  </r>
  <r>
    <n v="966"/>
    <x v="872"/>
    <n v="71"/>
    <s v="2024-02-23"/>
    <n v="2024"/>
    <x v="9"/>
    <n v="3"/>
    <n v="780.27"/>
    <n v="10"/>
    <n v="2106.7289999999998"/>
    <s v="Credit Card"/>
    <x v="2"/>
  </r>
  <r>
    <n v="967"/>
    <x v="873"/>
    <n v="31"/>
    <s v="2023-09-10"/>
    <n v="2023"/>
    <x v="8"/>
    <n v="1"/>
    <n v="131.79"/>
    <n v="20"/>
    <n v="105.432"/>
    <s v="Wallet"/>
    <x v="3"/>
  </r>
  <r>
    <n v="968"/>
    <x v="873"/>
    <n v="5"/>
    <s v="2023-06-27"/>
    <n v="2023"/>
    <x v="4"/>
    <n v="1"/>
    <n v="296.85000000000002"/>
    <n v="15"/>
    <n v="252.32250000000002"/>
    <s v="Wallet"/>
    <x v="0"/>
  </r>
  <r>
    <n v="969"/>
    <x v="874"/>
    <n v="79"/>
    <s v="2024-04-20"/>
    <n v="2024"/>
    <x v="3"/>
    <n v="1"/>
    <n v="488.34"/>
    <n v="20"/>
    <n v="390.67200000000003"/>
    <s v="COD"/>
    <x v="2"/>
  </r>
  <r>
    <n v="970"/>
    <x v="874"/>
    <n v="17"/>
    <s v="2023-05-19"/>
    <n v="2023"/>
    <x v="0"/>
    <n v="3"/>
    <n v="695.6"/>
    <n v="0"/>
    <n v="2086.8000000000002"/>
    <s v="Credit Card"/>
    <x v="0"/>
  </r>
  <r>
    <n v="971"/>
    <x v="875"/>
    <n v="5"/>
    <s v="2023-09-12"/>
    <n v="2023"/>
    <x v="8"/>
    <n v="3"/>
    <n v="296.85000000000002"/>
    <n v="5"/>
    <n v="846.02250000000004"/>
    <s v="UPI"/>
    <x v="0"/>
  </r>
  <r>
    <n v="972"/>
    <x v="875"/>
    <n v="56"/>
    <s v="2023-09-02"/>
    <n v="2023"/>
    <x v="8"/>
    <n v="2"/>
    <n v="396.01"/>
    <n v="5"/>
    <n v="752.41899999999998"/>
    <s v="Credit Card"/>
    <x v="1"/>
  </r>
  <r>
    <n v="973"/>
    <x v="876"/>
    <n v="8"/>
    <s v="2023-01-14"/>
    <n v="2023"/>
    <x v="5"/>
    <n v="1"/>
    <n v="155.08000000000001"/>
    <n v="20"/>
    <n v="124.06400000000002"/>
    <s v="Wallet"/>
    <x v="0"/>
  </r>
  <r>
    <n v="974"/>
    <x v="876"/>
    <n v="49"/>
    <s v="2023-12-16"/>
    <n v="2023"/>
    <x v="2"/>
    <n v="3"/>
    <n v="974.54"/>
    <n v="0"/>
    <n v="2923.62"/>
    <s v="Wallet"/>
    <x v="1"/>
  </r>
  <r>
    <n v="975"/>
    <x v="877"/>
    <n v="62"/>
    <s v="2023-01-27"/>
    <n v="2023"/>
    <x v="5"/>
    <n v="2"/>
    <n v="196.96"/>
    <n v="15"/>
    <n v="334.83199999999999"/>
    <s v="Debit Card"/>
    <x v="2"/>
  </r>
  <r>
    <n v="976"/>
    <x v="877"/>
    <n v="56"/>
    <s v="2023-12-26"/>
    <n v="2023"/>
    <x v="2"/>
    <n v="2"/>
    <n v="396.01"/>
    <n v="20"/>
    <n v="633.61599999999999"/>
    <s v="Debit Card"/>
    <x v="1"/>
  </r>
  <r>
    <n v="977"/>
    <x v="878"/>
    <n v="15"/>
    <s v="2023-08-13"/>
    <n v="2023"/>
    <x v="6"/>
    <n v="1"/>
    <n v="1183.2"/>
    <n v="20"/>
    <n v="946.56000000000006"/>
    <s v="UPI"/>
    <x v="2"/>
  </r>
  <r>
    <n v="978"/>
    <x v="878"/>
    <n v="46"/>
    <s v="2023-04-10"/>
    <n v="2023"/>
    <x v="3"/>
    <n v="2"/>
    <n v="1155.3"/>
    <n v="15"/>
    <n v="1964.0099999999998"/>
    <s v="Credit Card"/>
    <x v="3"/>
  </r>
  <r>
    <n v="979"/>
    <x v="879"/>
    <n v="31"/>
    <s v="2023-04-29"/>
    <n v="2023"/>
    <x v="3"/>
    <n v="1"/>
    <n v="131.79"/>
    <n v="20"/>
    <n v="105.432"/>
    <s v="Credit Card"/>
    <x v="3"/>
  </r>
  <r>
    <n v="980"/>
    <x v="879"/>
    <n v="30"/>
    <s v="2023-07-31"/>
    <n v="2023"/>
    <x v="7"/>
    <n v="3"/>
    <n v="866.89"/>
    <n v="20"/>
    <n v="2080.5360000000001"/>
    <s v="Wallet"/>
    <x v="2"/>
  </r>
  <r>
    <n v="981"/>
    <x v="880"/>
    <n v="6"/>
    <s v="2024-02-15"/>
    <n v="2024"/>
    <x v="9"/>
    <n v="1"/>
    <n v="719.19"/>
    <n v="5"/>
    <n v="683.23050000000001"/>
    <s v="Credit Card"/>
    <x v="0"/>
  </r>
  <r>
    <n v="982"/>
    <x v="880"/>
    <n v="10"/>
    <s v="2023-01-30"/>
    <n v="2023"/>
    <x v="5"/>
    <n v="1"/>
    <n v="64.11"/>
    <n v="15"/>
    <n v="54.493499999999997"/>
    <s v="Debit Card"/>
    <x v="0"/>
  </r>
  <r>
    <n v="983"/>
    <x v="881"/>
    <n v="37"/>
    <s v="2023-01-23"/>
    <n v="2023"/>
    <x v="5"/>
    <n v="2"/>
    <n v="968.87"/>
    <n v="10"/>
    <n v="1743.9660000000001"/>
    <s v="Wallet"/>
    <x v="1"/>
  </r>
  <r>
    <n v="984"/>
    <x v="881"/>
    <n v="32"/>
    <s v="2023-05-30"/>
    <n v="2023"/>
    <x v="0"/>
    <n v="1"/>
    <n v="342.57"/>
    <n v="20"/>
    <n v="274.05599999999998"/>
    <s v="COD"/>
    <x v="0"/>
  </r>
  <r>
    <n v="985"/>
    <x v="882"/>
    <n v="62"/>
    <s v="2023-12-03"/>
    <n v="2023"/>
    <x v="2"/>
    <n v="1"/>
    <n v="196.96"/>
    <n v="0"/>
    <n v="196.96"/>
    <s v="Credit Card"/>
    <x v="2"/>
  </r>
  <r>
    <n v="986"/>
    <x v="882"/>
    <n v="33"/>
    <s v="2024-04-25"/>
    <n v="2024"/>
    <x v="3"/>
    <n v="3"/>
    <n v="965.4"/>
    <n v="5"/>
    <n v="2751.39"/>
    <s v="COD"/>
    <x v="3"/>
  </r>
  <r>
    <n v="987"/>
    <x v="883"/>
    <n v="46"/>
    <s v="2024-04-04"/>
    <n v="2024"/>
    <x v="3"/>
    <n v="1"/>
    <n v="1155.3"/>
    <n v="15"/>
    <n v="982.00499999999988"/>
    <s v="UPI"/>
    <x v="3"/>
  </r>
  <r>
    <n v="988"/>
    <x v="883"/>
    <n v="47"/>
    <s v="2024-02-04"/>
    <n v="2024"/>
    <x v="9"/>
    <n v="3"/>
    <n v="1126.96"/>
    <n v="10"/>
    <n v="3042.7920000000004"/>
    <s v="Debit Card"/>
    <x v="3"/>
  </r>
  <r>
    <n v="989"/>
    <x v="884"/>
    <n v="68"/>
    <s v="2024-04-02"/>
    <n v="2024"/>
    <x v="3"/>
    <n v="2"/>
    <n v="180.99"/>
    <n v="10"/>
    <n v="325.78200000000004"/>
    <s v="Wallet"/>
    <x v="0"/>
  </r>
  <r>
    <n v="990"/>
    <x v="884"/>
    <n v="65"/>
    <s v="2023-02-23"/>
    <n v="2023"/>
    <x v="9"/>
    <n v="1"/>
    <n v="1189.73"/>
    <n v="10"/>
    <n v="1070.7570000000001"/>
    <s v="COD"/>
    <x v="1"/>
  </r>
  <r>
    <n v="991"/>
    <x v="885"/>
    <n v="80"/>
    <s v="2023-09-06"/>
    <n v="2023"/>
    <x v="8"/>
    <n v="2"/>
    <n v="1014.45"/>
    <n v="0"/>
    <n v="2028.9"/>
    <s v="Debit Card"/>
    <x v="3"/>
  </r>
  <r>
    <n v="992"/>
    <x v="885"/>
    <n v="18"/>
    <s v="2024-03-06"/>
    <n v="2024"/>
    <x v="1"/>
    <n v="3"/>
    <n v="138.07"/>
    <n v="5"/>
    <n v="393.49949999999995"/>
    <s v="UPI"/>
    <x v="1"/>
  </r>
  <r>
    <n v="993"/>
    <x v="886"/>
    <n v="71"/>
    <s v="2023-04-18"/>
    <n v="2023"/>
    <x v="3"/>
    <n v="1"/>
    <n v="780.27"/>
    <n v="10"/>
    <n v="702.24300000000005"/>
    <s v="Debit Card"/>
    <x v="2"/>
  </r>
  <r>
    <n v="994"/>
    <x v="886"/>
    <n v="5"/>
    <s v="2024-05-15"/>
    <n v="2024"/>
    <x v="0"/>
    <n v="1"/>
    <n v="296.85000000000002"/>
    <n v="15"/>
    <n v="252.32250000000002"/>
    <s v="COD"/>
    <x v="0"/>
  </r>
  <r>
    <n v="995"/>
    <x v="887"/>
    <n v="15"/>
    <s v="2023-01-11"/>
    <n v="2023"/>
    <x v="5"/>
    <n v="2"/>
    <n v="1183.2"/>
    <n v="0"/>
    <n v="2366.4"/>
    <s v="UPI"/>
    <x v="2"/>
  </r>
  <r>
    <n v="996"/>
    <x v="887"/>
    <n v="36"/>
    <s v="2023-10-29"/>
    <n v="2023"/>
    <x v="10"/>
    <n v="2"/>
    <n v="992.01"/>
    <n v="10"/>
    <n v="1785.6179999999999"/>
    <s v="Credit Card"/>
    <x v="3"/>
  </r>
  <r>
    <n v="997"/>
    <x v="888"/>
    <n v="8"/>
    <s v="2023-05-23"/>
    <n v="2023"/>
    <x v="0"/>
    <n v="3"/>
    <n v="155.08000000000001"/>
    <n v="15"/>
    <n v="395.45400000000001"/>
    <s v="COD"/>
    <x v="0"/>
  </r>
  <r>
    <n v="998"/>
    <x v="888"/>
    <n v="3"/>
    <s v="2024-03-17"/>
    <n v="2024"/>
    <x v="1"/>
    <n v="2"/>
    <n v="506.08"/>
    <n v="15"/>
    <n v="860.3359999999999"/>
    <s v="COD"/>
    <x v="0"/>
  </r>
  <r>
    <n v="999"/>
    <x v="889"/>
    <n v="6"/>
    <s v="2023-04-25"/>
    <n v="2023"/>
    <x v="3"/>
    <n v="1"/>
    <n v="719.19"/>
    <n v="15"/>
    <n v="611.31150000000002"/>
    <s v="Debit Card"/>
    <x v="0"/>
  </r>
  <r>
    <n v="1000"/>
    <x v="889"/>
    <n v="56"/>
    <s v="2023-09-30"/>
    <n v="2023"/>
    <x v="8"/>
    <n v="1"/>
    <n v="396.01"/>
    <n v="10"/>
    <n v="356.40899999999999"/>
    <s v="Credit Card"/>
    <x v="1"/>
  </r>
  <r>
    <n v="1001"/>
    <x v="890"/>
    <n v="70"/>
    <s v="2024-01-26"/>
    <n v="2024"/>
    <x v="5"/>
    <n v="2"/>
    <n v="797.23"/>
    <n v="0"/>
    <n v="1594.46"/>
    <s v="Wallet"/>
    <x v="0"/>
  </r>
  <r>
    <n v="1002"/>
    <x v="890"/>
    <n v="44"/>
    <s v="2024-04-17"/>
    <n v="2024"/>
    <x v="3"/>
    <n v="2"/>
    <n v="1038"/>
    <n v="20"/>
    <n v="1660.8000000000002"/>
    <s v="Debit Card"/>
    <x v="1"/>
  </r>
  <r>
    <n v="1003"/>
    <x v="891"/>
    <n v="4"/>
    <s v="2023-06-24"/>
    <n v="2023"/>
    <x v="4"/>
    <n v="3"/>
    <n v="800.26"/>
    <n v="20"/>
    <n v="1920.6239999999998"/>
    <s v="COD"/>
    <x v="2"/>
  </r>
  <r>
    <n v="1004"/>
    <x v="891"/>
    <n v="55"/>
    <s v="2024-02-05"/>
    <n v="2024"/>
    <x v="9"/>
    <n v="3"/>
    <n v="1016.06"/>
    <n v="0"/>
    <n v="3048.18"/>
    <s v="Credit Card"/>
    <x v="0"/>
  </r>
  <r>
    <n v="1005"/>
    <x v="892"/>
    <n v="71"/>
    <s v="2023-07-18"/>
    <n v="2023"/>
    <x v="7"/>
    <n v="3"/>
    <n v="780.27"/>
    <n v="10"/>
    <n v="2106.7289999999998"/>
    <s v="Wallet"/>
    <x v="2"/>
  </r>
  <r>
    <n v="1006"/>
    <x v="892"/>
    <n v="60"/>
    <s v="2023-08-06"/>
    <n v="2023"/>
    <x v="6"/>
    <n v="3"/>
    <n v="830.49"/>
    <n v="20"/>
    <n v="1993.1760000000004"/>
    <s v="Wallet"/>
    <x v="0"/>
  </r>
  <r>
    <n v="1007"/>
    <x v="893"/>
    <n v="34"/>
    <s v="2023-03-25"/>
    <n v="2023"/>
    <x v="1"/>
    <n v="2"/>
    <n v="523.98"/>
    <n v="15"/>
    <n v="890.76599999999996"/>
    <s v="Debit Card"/>
    <x v="1"/>
  </r>
  <r>
    <n v="1008"/>
    <x v="893"/>
    <n v="17"/>
    <s v="2024-04-09"/>
    <n v="2024"/>
    <x v="3"/>
    <n v="1"/>
    <n v="695.6"/>
    <n v="10"/>
    <n v="626.04000000000008"/>
    <s v="UPI"/>
    <x v="0"/>
  </r>
  <r>
    <n v="1009"/>
    <x v="894"/>
    <n v="11"/>
    <s v="2023-05-08"/>
    <n v="2023"/>
    <x v="0"/>
    <n v="3"/>
    <n v="1038.77"/>
    <n v="10"/>
    <n v="2804.6790000000001"/>
    <s v="UPI"/>
    <x v="3"/>
  </r>
  <r>
    <n v="1010"/>
    <x v="894"/>
    <n v="74"/>
    <s v="2023-07-22"/>
    <n v="2023"/>
    <x v="7"/>
    <n v="1"/>
    <n v="1034.31"/>
    <n v="20"/>
    <n v="827.44799999999998"/>
    <s v="UPI"/>
    <x v="2"/>
  </r>
  <r>
    <n v="1011"/>
    <x v="895"/>
    <n v="47"/>
    <s v="2023-05-18"/>
    <n v="2023"/>
    <x v="0"/>
    <n v="3"/>
    <n v="1126.96"/>
    <n v="10"/>
    <n v="3042.7920000000004"/>
    <s v="Wallet"/>
    <x v="3"/>
  </r>
  <r>
    <n v="1012"/>
    <x v="895"/>
    <n v="2"/>
    <s v="2023-03-05"/>
    <n v="2023"/>
    <x v="1"/>
    <n v="2"/>
    <n v="427.27"/>
    <n v="20"/>
    <n v="683.63200000000006"/>
    <s v="UPI"/>
    <x v="1"/>
  </r>
  <r>
    <n v="1013"/>
    <x v="896"/>
    <n v="34"/>
    <s v="2024-03-09"/>
    <n v="2024"/>
    <x v="1"/>
    <n v="1"/>
    <n v="523.98"/>
    <n v="15"/>
    <n v="445.38299999999998"/>
    <s v="COD"/>
    <x v="1"/>
  </r>
  <r>
    <n v="1014"/>
    <x v="896"/>
    <n v="3"/>
    <s v="2023-08-14"/>
    <n v="2023"/>
    <x v="6"/>
    <n v="1"/>
    <n v="506.08"/>
    <n v="15"/>
    <n v="430.16799999999995"/>
    <s v="Credit Card"/>
    <x v="0"/>
  </r>
  <r>
    <n v="1015"/>
    <x v="897"/>
    <n v="46"/>
    <s v="2023-09-03"/>
    <n v="2023"/>
    <x v="8"/>
    <n v="3"/>
    <n v="1155.3"/>
    <n v="20"/>
    <n v="2772.72"/>
    <s v="Debit Card"/>
    <x v="3"/>
  </r>
  <r>
    <n v="1016"/>
    <x v="897"/>
    <n v="53"/>
    <s v="2023-01-30"/>
    <n v="2023"/>
    <x v="5"/>
    <n v="3"/>
    <n v="194.34"/>
    <n v="0"/>
    <n v="583.02"/>
    <s v="UPI"/>
    <x v="1"/>
  </r>
  <r>
    <n v="1017"/>
    <x v="898"/>
    <n v="79"/>
    <s v="2023-10-10"/>
    <n v="2023"/>
    <x v="10"/>
    <n v="2"/>
    <n v="488.34"/>
    <n v="0"/>
    <n v="976.68"/>
    <s v="COD"/>
    <x v="2"/>
  </r>
  <r>
    <n v="1018"/>
    <x v="898"/>
    <n v="24"/>
    <s v="2023-05-13"/>
    <n v="2023"/>
    <x v="0"/>
    <n v="2"/>
    <n v="1019.85"/>
    <n v="10"/>
    <n v="1835.73"/>
    <s v="COD"/>
    <x v="3"/>
  </r>
  <r>
    <n v="1019"/>
    <x v="899"/>
    <n v="17"/>
    <s v="2023-04-27"/>
    <n v="2023"/>
    <x v="3"/>
    <n v="3"/>
    <n v="695.6"/>
    <n v="5"/>
    <n v="1982.46"/>
    <s v="Debit Card"/>
    <x v="0"/>
  </r>
  <r>
    <n v="1020"/>
    <x v="899"/>
    <n v="80"/>
    <s v="2023-12-02"/>
    <n v="2023"/>
    <x v="2"/>
    <n v="1"/>
    <n v="1014.45"/>
    <n v="5"/>
    <n v="963.72749999999996"/>
    <s v="Credit Card"/>
    <x v="3"/>
  </r>
  <r>
    <n v="1021"/>
    <x v="900"/>
    <n v="5"/>
    <s v="2023-04-05"/>
    <n v="2023"/>
    <x v="3"/>
    <n v="3"/>
    <n v="296.85000000000002"/>
    <n v="20"/>
    <n v="712.44"/>
    <s v="COD"/>
    <x v="0"/>
  </r>
  <r>
    <n v="1022"/>
    <x v="900"/>
    <n v="75"/>
    <s v="2023-06-12"/>
    <n v="2023"/>
    <x v="4"/>
    <n v="1"/>
    <n v="390.41"/>
    <n v="20"/>
    <n v="312.32800000000003"/>
    <s v="Debit Card"/>
    <x v="2"/>
  </r>
  <r>
    <n v="1023"/>
    <x v="901"/>
    <n v="8"/>
    <s v="2024-05-02"/>
    <n v="2024"/>
    <x v="0"/>
    <n v="3"/>
    <n v="155.08000000000001"/>
    <n v="10"/>
    <n v="418.71600000000001"/>
    <s v="UPI"/>
    <x v="0"/>
  </r>
  <r>
    <n v="1024"/>
    <x v="901"/>
    <n v="3"/>
    <s v="2023-12-14"/>
    <n v="2023"/>
    <x v="2"/>
    <n v="2"/>
    <n v="506.08"/>
    <n v="20"/>
    <n v="809.72800000000007"/>
    <s v="Credit Card"/>
    <x v="0"/>
  </r>
  <r>
    <n v="1025"/>
    <x v="902"/>
    <n v="77"/>
    <s v="2023-05-01"/>
    <n v="2023"/>
    <x v="0"/>
    <n v="2"/>
    <n v="1078.19"/>
    <n v="0"/>
    <n v="2156.38"/>
    <s v="Credit Card"/>
    <x v="1"/>
  </r>
  <r>
    <n v="1026"/>
    <x v="902"/>
    <n v="65"/>
    <s v="2023-08-16"/>
    <n v="2023"/>
    <x v="6"/>
    <n v="1"/>
    <n v="1189.73"/>
    <n v="20"/>
    <n v="951.78400000000011"/>
    <s v="Credit Card"/>
    <x v="1"/>
  </r>
  <r>
    <n v="1027"/>
    <x v="903"/>
    <n v="31"/>
    <s v="2023-04-15"/>
    <n v="2023"/>
    <x v="3"/>
    <n v="2"/>
    <n v="131.79"/>
    <n v="20"/>
    <n v="210.864"/>
    <s v="UPI"/>
    <x v="3"/>
  </r>
  <r>
    <n v="1028"/>
    <x v="903"/>
    <n v="54"/>
    <s v="2023-02-06"/>
    <n v="2023"/>
    <x v="9"/>
    <n v="3"/>
    <n v="900.79"/>
    <n v="15"/>
    <n v="2297.0144999999998"/>
    <s v="UPI"/>
    <x v="2"/>
  </r>
  <r>
    <n v="1029"/>
    <x v="904"/>
    <n v="19"/>
    <s v="2023-01-13"/>
    <n v="2023"/>
    <x v="5"/>
    <n v="2"/>
    <n v="262.97000000000003"/>
    <n v="20"/>
    <n v="420.75200000000007"/>
    <s v="UPI"/>
    <x v="3"/>
  </r>
  <r>
    <n v="1030"/>
    <x v="904"/>
    <n v="43"/>
    <s v="2024-05-14"/>
    <n v="2024"/>
    <x v="0"/>
    <n v="2"/>
    <n v="760.86"/>
    <n v="10"/>
    <n v="1369.548"/>
    <s v="COD"/>
    <x v="2"/>
  </r>
  <r>
    <n v="1031"/>
    <x v="905"/>
    <n v="38"/>
    <s v="2023-11-15"/>
    <n v="2023"/>
    <x v="11"/>
    <n v="1"/>
    <n v="802.88"/>
    <n v="5"/>
    <n v="762.73599999999999"/>
    <s v="UPI"/>
    <x v="1"/>
  </r>
  <r>
    <n v="1032"/>
    <x v="905"/>
    <n v="6"/>
    <s v="2023-05-29"/>
    <n v="2023"/>
    <x v="0"/>
    <n v="1"/>
    <n v="719.19"/>
    <n v="20"/>
    <n v="575.35200000000009"/>
    <s v="Credit Card"/>
    <x v="0"/>
  </r>
  <r>
    <n v="1033"/>
    <x v="906"/>
    <n v="14"/>
    <s v="2023-11-08"/>
    <n v="2023"/>
    <x v="11"/>
    <n v="1"/>
    <n v="574.25"/>
    <n v="10"/>
    <n v="516.82500000000005"/>
    <s v="Wallet"/>
    <x v="3"/>
  </r>
  <r>
    <n v="1034"/>
    <x v="906"/>
    <n v="66"/>
    <s v="2024-02-06"/>
    <n v="2024"/>
    <x v="9"/>
    <n v="3"/>
    <n v="783.37"/>
    <n v="10"/>
    <n v="2115.0990000000002"/>
    <s v="Debit Card"/>
    <x v="1"/>
  </r>
  <r>
    <n v="1035"/>
    <x v="907"/>
    <n v="49"/>
    <s v="2024-03-01"/>
    <n v="2024"/>
    <x v="1"/>
    <n v="3"/>
    <n v="974.54"/>
    <n v="0"/>
    <n v="2923.62"/>
    <s v="Debit Card"/>
    <x v="1"/>
  </r>
  <r>
    <n v="1036"/>
    <x v="907"/>
    <n v="49"/>
    <s v="2024-01-26"/>
    <n v="2024"/>
    <x v="5"/>
    <n v="3"/>
    <n v="974.54"/>
    <n v="0"/>
    <n v="2923.62"/>
    <s v="Credit Card"/>
    <x v="1"/>
  </r>
  <r>
    <n v="1037"/>
    <x v="908"/>
    <n v="29"/>
    <s v="2023-10-17"/>
    <n v="2023"/>
    <x v="10"/>
    <n v="3"/>
    <n v="757"/>
    <n v="20"/>
    <n v="1816.8000000000002"/>
    <s v="Wallet"/>
    <x v="0"/>
  </r>
  <r>
    <n v="1038"/>
    <x v="908"/>
    <n v="54"/>
    <s v="2023-10-03"/>
    <n v="2023"/>
    <x v="10"/>
    <n v="3"/>
    <n v="900.79"/>
    <n v="0"/>
    <n v="2702.37"/>
    <s v="Wallet"/>
    <x v="2"/>
  </r>
  <r>
    <n v="1039"/>
    <x v="909"/>
    <n v="7"/>
    <s v="2023-11-07"/>
    <n v="2023"/>
    <x v="11"/>
    <n v="2"/>
    <n v="97.29"/>
    <n v="20"/>
    <n v="155.66400000000002"/>
    <s v="Wallet"/>
    <x v="3"/>
  </r>
  <r>
    <n v="1040"/>
    <x v="909"/>
    <n v="57"/>
    <s v="2023-06-12"/>
    <n v="2023"/>
    <x v="4"/>
    <n v="2"/>
    <n v="768.03"/>
    <n v="5"/>
    <n v="1459.2569999999998"/>
    <s v="Wallet"/>
    <x v="2"/>
  </r>
  <r>
    <n v="1041"/>
    <x v="910"/>
    <n v="38"/>
    <s v="2024-04-11"/>
    <n v="2024"/>
    <x v="3"/>
    <n v="1"/>
    <n v="802.88"/>
    <n v="10"/>
    <n v="722.59199999999998"/>
    <s v="Debit Card"/>
    <x v="1"/>
  </r>
  <r>
    <n v="1042"/>
    <x v="910"/>
    <n v="47"/>
    <s v="2023-04-29"/>
    <n v="2023"/>
    <x v="3"/>
    <n v="2"/>
    <n v="1126.96"/>
    <n v="10"/>
    <n v="2028.528"/>
    <s v="Credit Card"/>
    <x v="3"/>
  </r>
  <r>
    <n v="1043"/>
    <x v="911"/>
    <n v="31"/>
    <s v="2023-08-16"/>
    <n v="2023"/>
    <x v="6"/>
    <n v="3"/>
    <n v="131.79"/>
    <n v="15"/>
    <n v="336.06450000000001"/>
    <s v="UPI"/>
    <x v="3"/>
  </r>
  <r>
    <n v="1044"/>
    <x v="911"/>
    <n v="11"/>
    <s v="2023-06-30"/>
    <n v="2023"/>
    <x v="4"/>
    <n v="3"/>
    <n v="1038.77"/>
    <n v="20"/>
    <n v="2493.0480000000002"/>
    <s v="Credit Card"/>
    <x v="3"/>
  </r>
  <r>
    <n v="1045"/>
    <x v="912"/>
    <n v="47"/>
    <s v="2023-12-01"/>
    <n v="2023"/>
    <x v="2"/>
    <n v="2"/>
    <n v="1126.96"/>
    <n v="20"/>
    <n v="1803.1360000000002"/>
    <s v="Debit Card"/>
    <x v="3"/>
  </r>
  <r>
    <n v="1046"/>
    <x v="912"/>
    <n v="58"/>
    <s v="2024-02-07"/>
    <n v="2024"/>
    <x v="9"/>
    <n v="2"/>
    <n v="334.98"/>
    <n v="5"/>
    <n v="636.46199999999999"/>
    <s v="Wallet"/>
    <x v="1"/>
  </r>
  <r>
    <n v="1047"/>
    <x v="913"/>
    <n v="17"/>
    <s v="2024-04-18"/>
    <n v="2024"/>
    <x v="3"/>
    <n v="3"/>
    <n v="695.6"/>
    <n v="5"/>
    <n v="1982.46"/>
    <s v="COD"/>
    <x v="0"/>
  </r>
  <r>
    <n v="1048"/>
    <x v="913"/>
    <n v="75"/>
    <s v="2023-12-07"/>
    <n v="2023"/>
    <x v="2"/>
    <n v="1"/>
    <n v="390.41"/>
    <n v="20"/>
    <n v="312.32800000000003"/>
    <s v="UPI"/>
    <x v="2"/>
  </r>
  <r>
    <n v="1049"/>
    <x v="914"/>
    <n v="37"/>
    <s v="2023-06-24"/>
    <n v="2023"/>
    <x v="4"/>
    <n v="2"/>
    <n v="968.87"/>
    <n v="0"/>
    <n v="1937.74"/>
    <s v="Credit Card"/>
    <x v="1"/>
  </r>
  <r>
    <n v="1050"/>
    <x v="914"/>
    <n v="53"/>
    <s v="2023-08-04"/>
    <n v="2023"/>
    <x v="6"/>
    <n v="3"/>
    <n v="194.34"/>
    <n v="5"/>
    <n v="553.86899999999991"/>
    <s v="Wallet"/>
    <x v="1"/>
  </r>
  <r>
    <n v="1051"/>
    <x v="915"/>
    <n v="64"/>
    <s v="2023-11-20"/>
    <n v="2023"/>
    <x v="11"/>
    <n v="1"/>
    <n v="567.71"/>
    <n v="5"/>
    <n v="539.32450000000006"/>
    <s v="COD"/>
    <x v="0"/>
  </r>
  <r>
    <n v="1052"/>
    <x v="915"/>
    <n v="2"/>
    <s v="2023-03-27"/>
    <n v="2023"/>
    <x v="1"/>
    <n v="1"/>
    <n v="427.27"/>
    <n v="15"/>
    <n v="363.17949999999996"/>
    <s v="UPI"/>
    <x v="1"/>
  </r>
  <r>
    <n v="1053"/>
    <x v="916"/>
    <n v="71"/>
    <s v="2023-12-31"/>
    <n v="2023"/>
    <x v="2"/>
    <n v="2"/>
    <n v="780.27"/>
    <n v="0"/>
    <n v="1560.54"/>
    <s v="Debit Card"/>
    <x v="2"/>
  </r>
  <r>
    <n v="1054"/>
    <x v="916"/>
    <n v="5"/>
    <s v="2024-03-02"/>
    <n v="2024"/>
    <x v="1"/>
    <n v="2"/>
    <n v="296.85000000000002"/>
    <n v="0"/>
    <n v="593.70000000000005"/>
    <s v="Debit Card"/>
    <x v="0"/>
  </r>
  <r>
    <n v="1055"/>
    <x v="917"/>
    <n v="10"/>
    <s v="2023-03-09"/>
    <n v="2023"/>
    <x v="1"/>
    <n v="3"/>
    <n v="64.11"/>
    <n v="20"/>
    <n v="153.864"/>
    <s v="COD"/>
    <x v="0"/>
  </r>
  <r>
    <n v="1056"/>
    <x v="917"/>
    <n v="55"/>
    <s v="2023-07-01"/>
    <n v="2023"/>
    <x v="7"/>
    <n v="1"/>
    <n v="1016.06"/>
    <n v="15"/>
    <n v="863.65099999999995"/>
    <s v="Wallet"/>
    <x v="0"/>
  </r>
  <r>
    <n v="1057"/>
    <x v="918"/>
    <n v="31"/>
    <s v="2023-12-31"/>
    <n v="2023"/>
    <x v="2"/>
    <n v="2"/>
    <n v="131.79"/>
    <n v="0"/>
    <n v="263.58"/>
    <s v="UPI"/>
    <x v="3"/>
  </r>
  <r>
    <n v="1058"/>
    <x v="918"/>
    <n v="44"/>
    <s v="2023-10-30"/>
    <n v="2023"/>
    <x v="10"/>
    <n v="3"/>
    <n v="1038"/>
    <n v="20"/>
    <n v="2491.2000000000003"/>
    <s v="Credit Card"/>
    <x v="1"/>
  </r>
  <r>
    <n v="1059"/>
    <x v="919"/>
    <n v="6"/>
    <s v="2023-02-07"/>
    <n v="2023"/>
    <x v="9"/>
    <n v="3"/>
    <n v="719.19"/>
    <n v="10"/>
    <n v="1941.8130000000001"/>
    <s v="COD"/>
    <x v="0"/>
  </r>
  <r>
    <n v="1060"/>
    <x v="919"/>
    <n v="53"/>
    <s v="2023-11-19"/>
    <n v="2023"/>
    <x v="11"/>
    <n v="2"/>
    <n v="194.34"/>
    <n v="15"/>
    <n v="330.37799999999999"/>
    <s v="UPI"/>
    <x v="1"/>
  </r>
  <r>
    <n v="1061"/>
    <x v="920"/>
    <n v="62"/>
    <s v="2023-12-25"/>
    <n v="2023"/>
    <x v="2"/>
    <n v="1"/>
    <n v="196.96"/>
    <n v="5"/>
    <n v="187.11199999999999"/>
    <s v="Wallet"/>
    <x v="2"/>
  </r>
  <r>
    <n v="1062"/>
    <x v="920"/>
    <n v="66"/>
    <s v="2023-02-12"/>
    <n v="2023"/>
    <x v="9"/>
    <n v="1"/>
    <n v="783.37"/>
    <n v="0"/>
    <n v="783.37"/>
    <s v="Wallet"/>
    <x v="1"/>
  </r>
  <r>
    <n v="1063"/>
    <x v="921"/>
    <n v="76"/>
    <s v="2023-07-09"/>
    <n v="2023"/>
    <x v="7"/>
    <n v="3"/>
    <n v="1043.26"/>
    <n v="15"/>
    <n v="2660.3129999999996"/>
    <s v="COD"/>
    <x v="0"/>
  </r>
  <r>
    <n v="1064"/>
    <x v="921"/>
    <n v="42"/>
    <s v="2023-08-13"/>
    <n v="2023"/>
    <x v="6"/>
    <n v="1"/>
    <n v="233.11"/>
    <n v="20"/>
    <n v="186.48800000000003"/>
    <s v="Wallet"/>
    <x v="1"/>
  </r>
  <r>
    <n v="1065"/>
    <x v="922"/>
    <n v="36"/>
    <s v="2024-04-28"/>
    <n v="2024"/>
    <x v="3"/>
    <n v="1"/>
    <n v="992.01"/>
    <n v="5"/>
    <n v="942.40949999999998"/>
    <s v="UPI"/>
    <x v="3"/>
  </r>
  <r>
    <n v="1066"/>
    <x v="922"/>
    <n v="64"/>
    <s v="2023-06-24"/>
    <n v="2023"/>
    <x v="4"/>
    <n v="1"/>
    <n v="567.71"/>
    <n v="20"/>
    <n v="454.16800000000006"/>
    <s v="Wallet"/>
    <x v="0"/>
  </r>
  <r>
    <n v="1067"/>
    <x v="923"/>
    <n v="68"/>
    <s v="2023-10-24"/>
    <n v="2023"/>
    <x v="10"/>
    <n v="3"/>
    <n v="180.99"/>
    <n v="15"/>
    <n v="461.52449999999999"/>
    <s v="UPI"/>
    <x v="0"/>
  </r>
  <r>
    <n v="1068"/>
    <x v="923"/>
    <n v="42"/>
    <s v="2023-07-16"/>
    <n v="2023"/>
    <x v="7"/>
    <n v="2"/>
    <n v="233.11"/>
    <n v="5"/>
    <n v="442.90899999999999"/>
    <s v="Debit Card"/>
    <x v="1"/>
  </r>
  <r>
    <n v="1069"/>
    <x v="924"/>
    <n v="6"/>
    <s v="2024-02-21"/>
    <n v="2024"/>
    <x v="9"/>
    <n v="3"/>
    <n v="719.19"/>
    <n v="5"/>
    <n v="2049.6914999999999"/>
    <s v="COD"/>
    <x v="0"/>
  </r>
  <r>
    <n v="1070"/>
    <x v="924"/>
    <n v="67"/>
    <s v="2023-05-23"/>
    <n v="2023"/>
    <x v="0"/>
    <n v="3"/>
    <n v="258.35000000000002"/>
    <n v="20"/>
    <n v="620.04000000000008"/>
    <s v="UPI"/>
    <x v="2"/>
  </r>
  <r>
    <n v="1071"/>
    <x v="925"/>
    <n v="13"/>
    <s v="2023-06-27"/>
    <n v="2023"/>
    <x v="4"/>
    <n v="2"/>
    <n v="334.61"/>
    <n v="5"/>
    <n v="635.75900000000001"/>
    <s v="Credit Card"/>
    <x v="1"/>
  </r>
  <r>
    <n v="1072"/>
    <x v="925"/>
    <n v="37"/>
    <s v="2023-05-21"/>
    <n v="2023"/>
    <x v="0"/>
    <n v="2"/>
    <n v="968.87"/>
    <n v="15"/>
    <n v="1647.079"/>
    <s v="Debit Card"/>
    <x v="1"/>
  </r>
  <r>
    <n v="1073"/>
    <x v="926"/>
    <n v="22"/>
    <s v="2023-05-28"/>
    <n v="2023"/>
    <x v="0"/>
    <n v="2"/>
    <n v="373.43"/>
    <n v="20"/>
    <n v="597.48800000000006"/>
    <s v="Credit Card"/>
    <x v="3"/>
  </r>
  <r>
    <n v="1074"/>
    <x v="926"/>
    <n v="30"/>
    <s v="2023-12-08"/>
    <n v="2023"/>
    <x v="2"/>
    <n v="2"/>
    <n v="866.89"/>
    <n v="5"/>
    <n v="1647.0909999999999"/>
    <s v="Credit Card"/>
    <x v="2"/>
  </r>
  <r>
    <n v="1075"/>
    <x v="927"/>
    <n v="27"/>
    <s v="2023-10-10"/>
    <n v="2023"/>
    <x v="10"/>
    <n v="3"/>
    <n v="76.09"/>
    <n v="5"/>
    <n v="216.85650000000001"/>
    <s v="Credit Card"/>
    <x v="0"/>
  </r>
  <r>
    <n v="1076"/>
    <x v="927"/>
    <n v="77"/>
    <s v="2024-04-07"/>
    <n v="2024"/>
    <x v="3"/>
    <n v="1"/>
    <n v="1078.19"/>
    <n v="20"/>
    <n v="862.55200000000013"/>
    <s v="Wallet"/>
    <x v="1"/>
  </r>
  <r>
    <n v="1077"/>
    <x v="928"/>
    <n v="25"/>
    <s v="2023-01-04"/>
    <n v="2023"/>
    <x v="5"/>
    <n v="2"/>
    <n v="1011.65"/>
    <n v="0"/>
    <n v="2023.3"/>
    <s v="UPI"/>
    <x v="2"/>
  </r>
  <r>
    <n v="1078"/>
    <x v="928"/>
    <n v="27"/>
    <s v="2023-05-25"/>
    <n v="2023"/>
    <x v="0"/>
    <n v="3"/>
    <n v="76.09"/>
    <n v="15"/>
    <n v="194.02950000000001"/>
    <s v="COD"/>
    <x v="0"/>
  </r>
  <r>
    <n v="1079"/>
    <x v="929"/>
    <n v="67"/>
    <s v="2023-03-06"/>
    <n v="2023"/>
    <x v="1"/>
    <n v="2"/>
    <n v="258.35000000000002"/>
    <n v="10"/>
    <n v="465.03000000000003"/>
    <s v="Credit Card"/>
    <x v="2"/>
  </r>
  <r>
    <n v="1080"/>
    <x v="929"/>
    <n v="16"/>
    <s v="2023-08-16"/>
    <n v="2023"/>
    <x v="6"/>
    <n v="2"/>
    <n v="693.02"/>
    <n v="15"/>
    <n v="1178.134"/>
    <s v="UPI"/>
    <x v="1"/>
  </r>
  <r>
    <n v="1081"/>
    <x v="930"/>
    <n v="12"/>
    <s v="2024-03-18"/>
    <n v="2024"/>
    <x v="1"/>
    <n v="1"/>
    <n v="627.41999999999996"/>
    <n v="10"/>
    <n v="564.678"/>
    <s v="Credit Card"/>
    <x v="3"/>
  </r>
  <r>
    <n v="1082"/>
    <x v="930"/>
    <n v="46"/>
    <s v="2024-02-16"/>
    <n v="2024"/>
    <x v="9"/>
    <n v="1"/>
    <n v="1155.3"/>
    <n v="5"/>
    <n v="1097.5349999999999"/>
    <s v="Credit Card"/>
    <x v="3"/>
  </r>
  <r>
    <n v="1083"/>
    <x v="931"/>
    <n v="42"/>
    <s v="2023-03-22"/>
    <n v="2023"/>
    <x v="1"/>
    <n v="3"/>
    <n v="233.11"/>
    <n v="10"/>
    <n v="629.39700000000005"/>
    <s v="UPI"/>
    <x v="1"/>
  </r>
  <r>
    <n v="1084"/>
    <x v="931"/>
    <n v="59"/>
    <s v="2023-11-19"/>
    <n v="2023"/>
    <x v="11"/>
    <n v="3"/>
    <n v="782.33"/>
    <n v="20"/>
    <n v="1877.5920000000003"/>
    <s v="Credit Card"/>
    <x v="0"/>
  </r>
  <r>
    <n v="1085"/>
    <x v="932"/>
    <n v="41"/>
    <s v="2024-04-01"/>
    <n v="2024"/>
    <x v="3"/>
    <n v="1"/>
    <n v="554.80999999999995"/>
    <n v="15"/>
    <n v="471.58849999999995"/>
    <s v="Credit Card"/>
    <x v="1"/>
  </r>
  <r>
    <n v="1086"/>
    <x v="932"/>
    <n v="67"/>
    <s v="2023-06-12"/>
    <n v="2023"/>
    <x v="4"/>
    <n v="1"/>
    <n v="258.35000000000002"/>
    <n v="20"/>
    <n v="206.68000000000004"/>
    <s v="Credit Card"/>
    <x v="2"/>
  </r>
  <r>
    <n v="1087"/>
    <x v="933"/>
    <n v="2"/>
    <s v="2023-05-06"/>
    <n v="2023"/>
    <x v="0"/>
    <n v="1"/>
    <n v="427.27"/>
    <n v="20"/>
    <n v="341.81600000000003"/>
    <s v="COD"/>
    <x v="1"/>
  </r>
  <r>
    <n v="1088"/>
    <x v="933"/>
    <n v="29"/>
    <s v="2023-12-11"/>
    <n v="2023"/>
    <x v="2"/>
    <n v="1"/>
    <n v="757"/>
    <n v="10"/>
    <n v="681.30000000000007"/>
    <s v="COD"/>
    <x v="0"/>
  </r>
  <r>
    <n v="1089"/>
    <x v="934"/>
    <n v="20"/>
    <s v="2023-09-06"/>
    <n v="2023"/>
    <x v="8"/>
    <n v="1"/>
    <n v="613.27"/>
    <n v="15"/>
    <n v="521.27949999999998"/>
    <s v="UPI"/>
    <x v="1"/>
  </r>
  <r>
    <n v="1090"/>
    <x v="934"/>
    <n v="17"/>
    <s v="2023-04-12"/>
    <n v="2023"/>
    <x v="3"/>
    <n v="3"/>
    <n v="695.6"/>
    <n v="0"/>
    <n v="2086.8000000000002"/>
    <s v="Wallet"/>
    <x v="0"/>
  </r>
  <r>
    <n v="1091"/>
    <x v="935"/>
    <n v="28"/>
    <s v="2023-01-02"/>
    <n v="2023"/>
    <x v="5"/>
    <n v="2"/>
    <n v="494.39"/>
    <n v="0"/>
    <n v="988.78"/>
    <s v="COD"/>
    <x v="3"/>
  </r>
  <r>
    <n v="1092"/>
    <x v="935"/>
    <n v="72"/>
    <s v="2023-11-09"/>
    <n v="2023"/>
    <x v="11"/>
    <n v="1"/>
    <n v="1157.27"/>
    <n v="5"/>
    <n v="1099.4064999999998"/>
    <s v="Credit Card"/>
    <x v="2"/>
  </r>
  <r>
    <n v="1093"/>
    <x v="936"/>
    <n v="54"/>
    <s v="2023-12-19"/>
    <n v="2023"/>
    <x v="2"/>
    <n v="2"/>
    <n v="900.79"/>
    <n v="20"/>
    <n v="1441.2640000000001"/>
    <s v="COD"/>
    <x v="2"/>
  </r>
  <r>
    <n v="1094"/>
    <x v="936"/>
    <n v="75"/>
    <s v="2023-05-01"/>
    <n v="2023"/>
    <x v="0"/>
    <n v="3"/>
    <n v="390.41"/>
    <n v="10"/>
    <n v="1054.107"/>
    <s v="COD"/>
    <x v="2"/>
  </r>
  <r>
    <n v="1095"/>
    <x v="937"/>
    <n v="68"/>
    <s v="2023-12-03"/>
    <n v="2023"/>
    <x v="2"/>
    <n v="1"/>
    <n v="180.99"/>
    <n v="10"/>
    <n v="162.89100000000002"/>
    <s v="Debit Card"/>
    <x v="0"/>
  </r>
  <r>
    <n v="1096"/>
    <x v="937"/>
    <n v="38"/>
    <s v="2023-12-09"/>
    <n v="2023"/>
    <x v="2"/>
    <n v="2"/>
    <n v="802.88"/>
    <n v="15"/>
    <n v="1364.896"/>
    <s v="COD"/>
    <x v="1"/>
  </r>
  <r>
    <n v="1097"/>
    <x v="938"/>
    <n v="77"/>
    <s v="2023-07-02"/>
    <n v="2023"/>
    <x v="7"/>
    <n v="3"/>
    <n v="1078.19"/>
    <n v="15"/>
    <n v="2749.3845000000001"/>
    <s v="UPI"/>
    <x v="1"/>
  </r>
  <r>
    <n v="1098"/>
    <x v="938"/>
    <n v="13"/>
    <s v="2023-04-23"/>
    <n v="2023"/>
    <x v="3"/>
    <n v="1"/>
    <n v="334.61"/>
    <n v="10"/>
    <n v="301.149"/>
    <s v="COD"/>
    <x v="1"/>
  </r>
  <r>
    <n v="1099"/>
    <x v="939"/>
    <n v="58"/>
    <s v="2023-06-16"/>
    <n v="2023"/>
    <x v="4"/>
    <n v="1"/>
    <n v="334.98"/>
    <n v="15"/>
    <n v="284.733"/>
    <s v="Credit Card"/>
    <x v="1"/>
  </r>
  <r>
    <n v="1100"/>
    <x v="939"/>
    <n v="23"/>
    <s v="2023-08-26"/>
    <n v="2023"/>
    <x v="6"/>
    <n v="2"/>
    <n v="258.08"/>
    <n v="0"/>
    <n v="516.16"/>
    <s v="UPI"/>
    <x v="1"/>
  </r>
  <r>
    <n v="1101"/>
    <x v="940"/>
    <n v="51"/>
    <s v="2023-12-27"/>
    <n v="2023"/>
    <x v="2"/>
    <n v="1"/>
    <n v="759.57"/>
    <n v="15"/>
    <n v="645.6345"/>
    <s v="COD"/>
    <x v="3"/>
  </r>
  <r>
    <n v="1102"/>
    <x v="940"/>
    <n v="77"/>
    <s v="2023-07-30"/>
    <n v="2023"/>
    <x v="7"/>
    <n v="3"/>
    <n v="1078.19"/>
    <n v="5"/>
    <n v="3072.8415"/>
    <s v="Credit Card"/>
    <x v="1"/>
  </r>
  <r>
    <n v="1103"/>
    <x v="941"/>
    <n v="38"/>
    <s v="2023-05-18"/>
    <n v="2023"/>
    <x v="0"/>
    <n v="3"/>
    <n v="802.88"/>
    <n v="5"/>
    <n v="2288.2079999999996"/>
    <s v="COD"/>
    <x v="1"/>
  </r>
  <r>
    <n v="1104"/>
    <x v="941"/>
    <n v="8"/>
    <s v="2023-10-15"/>
    <n v="2023"/>
    <x v="10"/>
    <n v="2"/>
    <n v="155.08000000000001"/>
    <n v="10"/>
    <n v="279.14400000000001"/>
    <s v="UPI"/>
    <x v="0"/>
  </r>
  <r>
    <n v="1105"/>
    <x v="942"/>
    <n v="53"/>
    <s v="2023-07-20"/>
    <n v="2023"/>
    <x v="7"/>
    <n v="2"/>
    <n v="194.34"/>
    <n v="15"/>
    <n v="330.37799999999999"/>
    <s v="COD"/>
    <x v="1"/>
  </r>
  <r>
    <n v="1106"/>
    <x v="942"/>
    <n v="34"/>
    <s v="2024-04-12"/>
    <n v="2024"/>
    <x v="3"/>
    <n v="1"/>
    <n v="523.98"/>
    <n v="10"/>
    <n v="471.58200000000005"/>
    <s v="COD"/>
    <x v="1"/>
  </r>
  <r>
    <n v="1107"/>
    <x v="943"/>
    <n v="29"/>
    <s v="2023-06-23"/>
    <n v="2023"/>
    <x v="4"/>
    <n v="3"/>
    <n v="757"/>
    <n v="0"/>
    <n v="2271"/>
    <s v="UPI"/>
    <x v="0"/>
  </r>
  <r>
    <n v="1108"/>
    <x v="943"/>
    <n v="58"/>
    <s v="2023-07-29"/>
    <n v="2023"/>
    <x v="7"/>
    <n v="1"/>
    <n v="334.98"/>
    <n v="20"/>
    <n v="267.98400000000004"/>
    <s v="Debit Card"/>
    <x v="1"/>
  </r>
  <r>
    <n v="1109"/>
    <x v="944"/>
    <n v="69"/>
    <s v="2023-04-16"/>
    <n v="2023"/>
    <x v="3"/>
    <n v="3"/>
    <n v="951.81"/>
    <n v="0"/>
    <n v="2855.43"/>
    <s v="Wallet"/>
    <x v="0"/>
  </r>
  <r>
    <n v="1110"/>
    <x v="944"/>
    <n v="79"/>
    <s v="2023-06-18"/>
    <n v="2023"/>
    <x v="4"/>
    <n v="1"/>
    <n v="488.34"/>
    <n v="20"/>
    <n v="390.67200000000003"/>
    <s v="Wallet"/>
    <x v="2"/>
  </r>
  <r>
    <n v="1111"/>
    <x v="945"/>
    <n v="3"/>
    <s v="2024-05-01"/>
    <n v="2024"/>
    <x v="0"/>
    <n v="3"/>
    <n v="506.08"/>
    <n v="0"/>
    <n v="1518.24"/>
    <s v="COD"/>
    <x v="0"/>
  </r>
  <r>
    <n v="1112"/>
    <x v="945"/>
    <n v="12"/>
    <s v="2024-02-04"/>
    <n v="2024"/>
    <x v="9"/>
    <n v="3"/>
    <n v="627.41999999999996"/>
    <n v="10"/>
    <n v="1694.0339999999999"/>
    <s v="UPI"/>
    <x v="3"/>
  </r>
  <r>
    <n v="1113"/>
    <x v="946"/>
    <n v="71"/>
    <s v="2023-02-02"/>
    <n v="2023"/>
    <x v="9"/>
    <n v="3"/>
    <n v="780.27"/>
    <n v="0"/>
    <n v="2340.81"/>
    <s v="Wallet"/>
    <x v="2"/>
  </r>
  <r>
    <n v="1114"/>
    <x v="946"/>
    <n v="27"/>
    <s v="2023-07-05"/>
    <n v="2023"/>
    <x v="7"/>
    <n v="3"/>
    <n v="76.09"/>
    <n v="5"/>
    <n v="216.85650000000001"/>
    <s v="Debit Card"/>
    <x v="0"/>
  </r>
  <r>
    <n v="1115"/>
    <x v="947"/>
    <n v="69"/>
    <s v="2023-07-22"/>
    <n v="2023"/>
    <x v="7"/>
    <n v="3"/>
    <n v="951.81"/>
    <n v="5"/>
    <n v="2712.6584999999995"/>
    <s v="UPI"/>
    <x v="0"/>
  </r>
  <r>
    <n v="1116"/>
    <x v="947"/>
    <n v="21"/>
    <s v="2024-04-11"/>
    <n v="2024"/>
    <x v="3"/>
    <n v="2"/>
    <n v="420.66"/>
    <n v="10"/>
    <n v="757.1880000000001"/>
    <s v="COD"/>
    <x v="3"/>
  </r>
  <r>
    <n v="1117"/>
    <x v="948"/>
    <n v="28"/>
    <s v="2023-10-11"/>
    <n v="2023"/>
    <x v="10"/>
    <n v="3"/>
    <n v="494.39"/>
    <n v="5"/>
    <n v="1409.0115000000001"/>
    <s v="Credit Card"/>
    <x v="3"/>
  </r>
  <r>
    <n v="1118"/>
    <x v="948"/>
    <n v="5"/>
    <s v="2024-03-08"/>
    <n v="2024"/>
    <x v="1"/>
    <n v="1"/>
    <n v="296.85000000000002"/>
    <n v="20"/>
    <n v="237.48000000000002"/>
    <s v="Credit Card"/>
    <x v="0"/>
  </r>
  <r>
    <n v="1119"/>
    <x v="949"/>
    <n v="65"/>
    <s v="2023-07-23"/>
    <n v="2023"/>
    <x v="7"/>
    <n v="2"/>
    <n v="1189.73"/>
    <n v="0"/>
    <n v="2379.46"/>
    <s v="Debit Card"/>
    <x v="1"/>
  </r>
  <r>
    <n v="1120"/>
    <x v="949"/>
    <n v="37"/>
    <s v="2023-06-04"/>
    <n v="2023"/>
    <x v="4"/>
    <n v="1"/>
    <n v="968.87"/>
    <n v="5"/>
    <n v="920.42649999999992"/>
    <s v="Debit Card"/>
    <x v="1"/>
  </r>
  <r>
    <n v="1121"/>
    <x v="950"/>
    <n v="5"/>
    <s v="2023-05-20"/>
    <n v="2023"/>
    <x v="0"/>
    <n v="3"/>
    <n v="296.85000000000002"/>
    <n v="0"/>
    <n v="890.55000000000007"/>
    <s v="COD"/>
    <x v="0"/>
  </r>
  <r>
    <n v="1122"/>
    <x v="950"/>
    <n v="52"/>
    <s v="2023-03-09"/>
    <n v="2023"/>
    <x v="1"/>
    <n v="3"/>
    <n v="256.76"/>
    <n v="10"/>
    <n v="693.25199999999995"/>
    <s v="Credit Card"/>
    <x v="1"/>
  </r>
  <r>
    <n v="1123"/>
    <x v="951"/>
    <n v="10"/>
    <s v="2023-02-07"/>
    <n v="2023"/>
    <x v="9"/>
    <n v="3"/>
    <n v="64.11"/>
    <n v="15"/>
    <n v="163.48049999999998"/>
    <s v="Credit Card"/>
    <x v="0"/>
  </r>
  <r>
    <n v="1124"/>
    <x v="951"/>
    <n v="2"/>
    <s v="2024-01-16"/>
    <n v="2024"/>
    <x v="5"/>
    <n v="3"/>
    <n v="427.27"/>
    <n v="20"/>
    <n v="1025.4480000000001"/>
    <s v="Debit Card"/>
    <x v="1"/>
  </r>
  <r>
    <n v="1125"/>
    <x v="952"/>
    <n v="13"/>
    <s v="2024-01-12"/>
    <n v="2024"/>
    <x v="5"/>
    <n v="3"/>
    <n v="334.61"/>
    <n v="15"/>
    <n v="853.25549999999998"/>
    <s v="Debit Card"/>
    <x v="1"/>
  </r>
  <r>
    <n v="1126"/>
    <x v="952"/>
    <n v="78"/>
    <s v="2024-03-15"/>
    <n v="2024"/>
    <x v="1"/>
    <n v="2"/>
    <n v="795.77"/>
    <n v="10"/>
    <n v="1432.386"/>
    <s v="COD"/>
    <x v="3"/>
  </r>
  <r>
    <n v="1127"/>
    <x v="953"/>
    <n v="66"/>
    <s v="2024-01-16"/>
    <n v="2024"/>
    <x v="5"/>
    <n v="1"/>
    <n v="783.37"/>
    <n v="10"/>
    <n v="705.03300000000002"/>
    <s v="UPI"/>
    <x v="1"/>
  </r>
  <r>
    <n v="1128"/>
    <x v="953"/>
    <n v="59"/>
    <s v="2023-04-14"/>
    <n v="2023"/>
    <x v="3"/>
    <n v="1"/>
    <n v="782.33"/>
    <n v="10"/>
    <n v="704.09700000000009"/>
    <s v="Wallet"/>
    <x v="0"/>
  </r>
  <r>
    <n v="1129"/>
    <x v="954"/>
    <n v="61"/>
    <s v="2023-07-12"/>
    <n v="2023"/>
    <x v="7"/>
    <n v="2"/>
    <n v="498.92"/>
    <n v="15"/>
    <n v="848.16399999999999"/>
    <s v="Credit Card"/>
    <x v="0"/>
  </r>
  <r>
    <n v="1130"/>
    <x v="954"/>
    <n v="29"/>
    <s v="2024-05-10"/>
    <n v="2024"/>
    <x v="0"/>
    <n v="2"/>
    <n v="757"/>
    <n v="20"/>
    <n v="1211.2"/>
    <s v="UPI"/>
    <x v="0"/>
  </r>
  <r>
    <n v="1131"/>
    <x v="955"/>
    <n v="62"/>
    <s v="2023-05-26"/>
    <n v="2023"/>
    <x v="0"/>
    <n v="3"/>
    <n v="196.96"/>
    <n v="20"/>
    <n v="472.70400000000001"/>
    <s v="Wallet"/>
    <x v="2"/>
  </r>
  <r>
    <n v="1132"/>
    <x v="955"/>
    <n v="32"/>
    <s v="2023-07-15"/>
    <n v="2023"/>
    <x v="7"/>
    <n v="1"/>
    <n v="342.57"/>
    <n v="15"/>
    <n v="291.18450000000001"/>
    <s v="COD"/>
    <x v="0"/>
  </r>
  <r>
    <n v="1133"/>
    <x v="956"/>
    <n v="48"/>
    <s v="2024-01-26"/>
    <n v="2024"/>
    <x v="5"/>
    <n v="3"/>
    <n v="1125.8499999999999"/>
    <n v="0"/>
    <n v="3377.5499999999997"/>
    <s v="COD"/>
    <x v="0"/>
  </r>
  <r>
    <n v="1134"/>
    <x v="956"/>
    <n v="29"/>
    <s v="2023-10-23"/>
    <n v="2023"/>
    <x v="10"/>
    <n v="1"/>
    <n v="757"/>
    <n v="15"/>
    <n v="643.44999999999993"/>
    <s v="Debit Card"/>
    <x v="0"/>
  </r>
  <r>
    <n v="1135"/>
    <x v="957"/>
    <n v="58"/>
    <s v="2023-07-09"/>
    <n v="2023"/>
    <x v="7"/>
    <n v="2"/>
    <n v="334.98"/>
    <n v="20"/>
    <n v="535.96800000000007"/>
    <s v="Credit Card"/>
    <x v="1"/>
  </r>
  <r>
    <n v="1136"/>
    <x v="957"/>
    <n v="40"/>
    <s v="2023-06-20"/>
    <n v="2023"/>
    <x v="4"/>
    <n v="1"/>
    <n v="316.49"/>
    <n v="0"/>
    <n v="316.49"/>
    <s v="Credit Card"/>
    <x v="1"/>
  </r>
  <r>
    <n v="1137"/>
    <x v="958"/>
    <n v="72"/>
    <s v="2023-03-28"/>
    <n v="2023"/>
    <x v="1"/>
    <n v="1"/>
    <n v="1157.27"/>
    <n v="15"/>
    <n v="983.67949999999996"/>
    <s v="Wallet"/>
    <x v="2"/>
  </r>
  <r>
    <n v="1138"/>
    <x v="958"/>
    <n v="32"/>
    <s v="2023-02-12"/>
    <n v="2023"/>
    <x v="9"/>
    <n v="1"/>
    <n v="342.57"/>
    <n v="15"/>
    <n v="291.18450000000001"/>
    <s v="Wallet"/>
    <x v="0"/>
  </r>
  <r>
    <n v="1139"/>
    <x v="959"/>
    <n v="61"/>
    <s v="2023-09-25"/>
    <n v="2023"/>
    <x v="8"/>
    <n v="3"/>
    <n v="498.92"/>
    <n v="20"/>
    <n v="1197.4080000000001"/>
    <s v="Debit Card"/>
    <x v="0"/>
  </r>
  <r>
    <n v="1140"/>
    <x v="959"/>
    <n v="8"/>
    <s v="2024-01-28"/>
    <n v="2024"/>
    <x v="5"/>
    <n v="2"/>
    <n v="155.08000000000001"/>
    <n v="10"/>
    <n v="279.14400000000001"/>
    <s v="COD"/>
    <x v="0"/>
  </r>
  <r>
    <n v="1141"/>
    <x v="960"/>
    <n v="40"/>
    <s v="2024-01-15"/>
    <n v="2024"/>
    <x v="5"/>
    <n v="2"/>
    <n v="316.49"/>
    <n v="5"/>
    <n v="601.33100000000002"/>
    <s v="Credit Card"/>
    <x v="1"/>
  </r>
  <r>
    <n v="1142"/>
    <x v="960"/>
    <n v="42"/>
    <s v="2023-12-19"/>
    <n v="2023"/>
    <x v="2"/>
    <n v="3"/>
    <n v="233.11"/>
    <n v="20"/>
    <n v="559.46400000000006"/>
    <s v="COD"/>
    <x v="1"/>
  </r>
  <r>
    <n v="1143"/>
    <x v="961"/>
    <n v="1"/>
    <s v="2023-05-18"/>
    <n v="2023"/>
    <x v="0"/>
    <n v="3"/>
    <n v="469.08"/>
    <n v="5"/>
    <n v="1336.8779999999999"/>
    <s v="Wallet"/>
    <x v="0"/>
  </r>
  <r>
    <n v="1144"/>
    <x v="961"/>
    <n v="63"/>
    <s v="2023-10-07"/>
    <n v="2023"/>
    <x v="10"/>
    <n v="2"/>
    <n v="309.79000000000002"/>
    <n v="10"/>
    <n v="557.62200000000007"/>
    <s v="Debit Card"/>
    <x v="2"/>
  </r>
  <r>
    <n v="1145"/>
    <x v="962"/>
    <n v="42"/>
    <s v="2023-08-25"/>
    <n v="2023"/>
    <x v="6"/>
    <n v="3"/>
    <n v="233.11"/>
    <n v="15"/>
    <n v="594.43050000000005"/>
    <s v="Wallet"/>
    <x v="1"/>
  </r>
  <r>
    <n v="1146"/>
    <x v="962"/>
    <n v="72"/>
    <s v="2024-03-15"/>
    <n v="2024"/>
    <x v="1"/>
    <n v="3"/>
    <n v="1157.27"/>
    <n v="0"/>
    <n v="3471.81"/>
    <s v="Credit Card"/>
    <x v="2"/>
  </r>
  <r>
    <n v="1147"/>
    <x v="963"/>
    <n v="55"/>
    <s v="2023-12-25"/>
    <n v="2023"/>
    <x v="2"/>
    <n v="1"/>
    <n v="1016.06"/>
    <n v="15"/>
    <n v="863.65099999999995"/>
    <s v="Debit Card"/>
    <x v="0"/>
  </r>
  <r>
    <n v="1148"/>
    <x v="963"/>
    <n v="2"/>
    <s v="2023-03-24"/>
    <n v="2023"/>
    <x v="1"/>
    <n v="3"/>
    <n v="427.27"/>
    <n v="0"/>
    <n v="1281.81"/>
    <s v="Debit Card"/>
    <x v="1"/>
  </r>
  <r>
    <n v="1149"/>
    <x v="964"/>
    <n v="26"/>
    <s v="2023-08-13"/>
    <n v="2023"/>
    <x v="6"/>
    <n v="1"/>
    <n v="272.61"/>
    <n v="0"/>
    <n v="272.61"/>
    <s v="COD"/>
    <x v="1"/>
  </r>
  <r>
    <n v="1150"/>
    <x v="964"/>
    <n v="64"/>
    <s v="2023-03-29"/>
    <n v="2023"/>
    <x v="1"/>
    <n v="3"/>
    <n v="567.71"/>
    <n v="20"/>
    <n v="1362.5040000000001"/>
    <s v="COD"/>
    <x v="0"/>
  </r>
  <r>
    <n v="1151"/>
    <x v="965"/>
    <n v="18"/>
    <s v="2024-01-19"/>
    <n v="2024"/>
    <x v="5"/>
    <n v="3"/>
    <n v="138.07"/>
    <n v="15"/>
    <n v="352.07849999999996"/>
    <s v="COD"/>
    <x v="1"/>
  </r>
  <r>
    <n v="1152"/>
    <x v="965"/>
    <n v="2"/>
    <s v="2023-06-01"/>
    <n v="2023"/>
    <x v="4"/>
    <n v="1"/>
    <n v="427.27"/>
    <n v="15"/>
    <n v="363.17949999999996"/>
    <s v="UPI"/>
    <x v="1"/>
  </r>
  <r>
    <n v="1153"/>
    <x v="966"/>
    <n v="35"/>
    <s v="2023-09-25"/>
    <n v="2023"/>
    <x v="8"/>
    <n v="2"/>
    <n v="958.87"/>
    <n v="20"/>
    <n v="1534.192"/>
    <s v="UPI"/>
    <x v="0"/>
  </r>
  <r>
    <n v="1154"/>
    <x v="966"/>
    <n v="73"/>
    <s v="2023-11-29"/>
    <n v="2023"/>
    <x v="11"/>
    <n v="1"/>
    <n v="943.04"/>
    <n v="5"/>
    <n v="895.88799999999992"/>
    <s v="UPI"/>
    <x v="1"/>
  </r>
  <r>
    <n v="1155"/>
    <x v="967"/>
    <n v="67"/>
    <s v="2023-12-17"/>
    <n v="2023"/>
    <x v="2"/>
    <n v="1"/>
    <n v="258.35000000000002"/>
    <n v="20"/>
    <n v="206.68000000000004"/>
    <s v="UPI"/>
    <x v="2"/>
  </r>
  <r>
    <n v="1156"/>
    <x v="967"/>
    <n v="67"/>
    <s v="2023-11-06"/>
    <n v="2023"/>
    <x v="11"/>
    <n v="2"/>
    <n v="258.35000000000002"/>
    <n v="15"/>
    <n v="439.19500000000005"/>
    <s v="COD"/>
    <x v="2"/>
  </r>
  <r>
    <n v="1157"/>
    <x v="968"/>
    <n v="27"/>
    <s v="2024-04-24"/>
    <n v="2024"/>
    <x v="3"/>
    <n v="2"/>
    <n v="76.09"/>
    <n v="5"/>
    <n v="144.571"/>
    <s v="Debit Card"/>
    <x v="0"/>
  </r>
  <r>
    <n v="1158"/>
    <x v="968"/>
    <n v="68"/>
    <s v="2024-01-02"/>
    <n v="2024"/>
    <x v="5"/>
    <n v="2"/>
    <n v="180.99"/>
    <n v="0"/>
    <n v="361.98"/>
    <s v="UPI"/>
    <x v="0"/>
  </r>
  <r>
    <n v="1159"/>
    <x v="969"/>
    <n v="54"/>
    <s v="2023-04-02"/>
    <n v="2023"/>
    <x v="3"/>
    <n v="1"/>
    <n v="900.79"/>
    <n v="15"/>
    <n v="765.67149999999992"/>
    <s v="Credit Card"/>
    <x v="2"/>
  </r>
  <r>
    <n v="1160"/>
    <x v="969"/>
    <n v="1"/>
    <s v="2023-06-09"/>
    <n v="2023"/>
    <x v="4"/>
    <n v="3"/>
    <n v="469.08"/>
    <n v="5"/>
    <n v="1336.8779999999999"/>
    <s v="Debit Card"/>
    <x v="0"/>
  </r>
  <r>
    <n v="1161"/>
    <x v="970"/>
    <n v="13"/>
    <s v="2023-10-03"/>
    <n v="2023"/>
    <x v="10"/>
    <n v="2"/>
    <n v="334.61"/>
    <n v="10"/>
    <n v="602.298"/>
    <s v="Credit Card"/>
    <x v="1"/>
  </r>
  <r>
    <n v="1162"/>
    <x v="970"/>
    <n v="8"/>
    <s v="2023-11-16"/>
    <n v="2023"/>
    <x v="11"/>
    <n v="2"/>
    <n v="155.08000000000001"/>
    <n v="20"/>
    <n v="248.12800000000004"/>
    <s v="Debit Card"/>
    <x v="0"/>
  </r>
  <r>
    <n v="1163"/>
    <x v="971"/>
    <n v="9"/>
    <s v="2023-06-29"/>
    <n v="2023"/>
    <x v="4"/>
    <n v="3"/>
    <n v="43.26"/>
    <n v="20"/>
    <n v="103.82400000000001"/>
    <s v="Debit Card"/>
    <x v="2"/>
  </r>
  <r>
    <n v="1164"/>
    <x v="971"/>
    <n v="45"/>
    <s v="2023-11-18"/>
    <n v="2023"/>
    <x v="11"/>
    <n v="1"/>
    <n v="609.05999999999995"/>
    <n v="5"/>
    <n v="578.60699999999997"/>
    <s v="UPI"/>
    <x v="3"/>
  </r>
  <r>
    <n v="1165"/>
    <x v="972"/>
    <n v="37"/>
    <s v="2024-02-25"/>
    <n v="2024"/>
    <x v="9"/>
    <n v="2"/>
    <n v="968.87"/>
    <n v="20"/>
    <n v="1550.192"/>
    <s v="UPI"/>
    <x v="1"/>
  </r>
  <r>
    <n v="1166"/>
    <x v="972"/>
    <n v="48"/>
    <s v="2023-11-16"/>
    <n v="2023"/>
    <x v="11"/>
    <n v="2"/>
    <n v="1125.8499999999999"/>
    <n v="10"/>
    <n v="2026.53"/>
    <s v="Wallet"/>
    <x v="0"/>
  </r>
  <r>
    <n v="1167"/>
    <x v="973"/>
    <n v="70"/>
    <s v="2023-11-25"/>
    <n v="2023"/>
    <x v="11"/>
    <n v="3"/>
    <n v="797.23"/>
    <n v="5"/>
    <n v="2272.1055000000001"/>
    <s v="Credit Card"/>
    <x v="0"/>
  </r>
  <r>
    <n v="1168"/>
    <x v="973"/>
    <n v="76"/>
    <s v="2023-03-20"/>
    <n v="2023"/>
    <x v="1"/>
    <n v="1"/>
    <n v="1043.26"/>
    <n v="5"/>
    <n v="991.09699999999998"/>
    <s v="UPI"/>
    <x v="0"/>
  </r>
  <r>
    <n v="1169"/>
    <x v="974"/>
    <n v="23"/>
    <s v="2023-05-15"/>
    <n v="2023"/>
    <x v="0"/>
    <n v="3"/>
    <n v="258.08"/>
    <n v="0"/>
    <n v="774.24"/>
    <s v="Debit Card"/>
    <x v="1"/>
  </r>
  <r>
    <n v="1170"/>
    <x v="974"/>
    <n v="67"/>
    <s v="2023-10-28"/>
    <n v="2023"/>
    <x v="10"/>
    <n v="3"/>
    <n v="258.35000000000002"/>
    <n v="15"/>
    <n v="658.79250000000002"/>
    <s v="UPI"/>
    <x v="2"/>
  </r>
  <r>
    <n v="1171"/>
    <x v="975"/>
    <n v="74"/>
    <s v="2024-01-31"/>
    <n v="2024"/>
    <x v="5"/>
    <n v="3"/>
    <n v="1034.31"/>
    <n v="20"/>
    <n v="2482.3440000000001"/>
    <s v="UPI"/>
    <x v="2"/>
  </r>
  <r>
    <n v="1172"/>
    <x v="975"/>
    <n v="79"/>
    <s v="2023-12-09"/>
    <n v="2023"/>
    <x v="2"/>
    <n v="2"/>
    <n v="488.34"/>
    <n v="5"/>
    <n v="927.84599999999989"/>
    <s v="Debit Card"/>
    <x v="2"/>
  </r>
  <r>
    <n v="1173"/>
    <x v="976"/>
    <n v="1"/>
    <s v="2024-02-06"/>
    <n v="2024"/>
    <x v="9"/>
    <n v="1"/>
    <n v="469.08"/>
    <n v="5"/>
    <n v="445.62599999999998"/>
    <s v="Credit Card"/>
    <x v="0"/>
  </r>
  <r>
    <n v="1174"/>
    <x v="976"/>
    <n v="79"/>
    <s v="2023-03-17"/>
    <n v="2023"/>
    <x v="1"/>
    <n v="1"/>
    <n v="488.34"/>
    <n v="5"/>
    <n v="463.92299999999994"/>
    <s v="COD"/>
    <x v="2"/>
  </r>
  <r>
    <n v="1175"/>
    <x v="977"/>
    <n v="1"/>
    <s v="2023-06-15"/>
    <n v="2023"/>
    <x v="4"/>
    <n v="1"/>
    <n v="469.08"/>
    <n v="0"/>
    <n v="469.08"/>
    <s v="Debit Card"/>
    <x v="0"/>
  </r>
  <r>
    <n v="1176"/>
    <x v="977"/>
    <n v="66"/>
    <s v="2024-02-18"/>
    <n v="2024"/>
    <x v="9"/>
    <n v="2"/>
    <n v="783.37"/>
    <n v="15"/>
    <n v="1331.729"/>
    <s v="COD"/>
    <x v="1"/>
  </r>
  <r>
    <n v="1177"/>
    <x v="978"/>
    <n v="42"/>
    <s v="2023-06-04"/>
    <n v="2023"/>
    <x v="4"/>
    <n v="3"/>
    <n v="233.11"/>
    <n v="0"/>
    <n v="699.33"/>
    <s v="Debit Card"/>
    <x v="1"/>
  </r>
  <r>
    <n v="1178"/>
    <x v="978"/>
    <n v="72"/>
    <s v="2023-07-21"/>
    <n v="2023"/>
    <x v="7"/>
    <n v="2"/>
    <n v="1157.27"/>
    <n v="15"/>
    <n v="1967.3589999999999"/>
    <s v="COD"/>
    <x v="2"/>
  </r>
  <r>
    <n v="1179"/>
    <x v="979"/>
    <n v="46"/>
    <s v="2023-06-09"/>
    <n v="2023"/>
    <x v="4"/>
    <n v="3"/>
    <n v="1155.3"/>
    <n v="10"/>
    <n v="3119.31"/>
    <s v="Wallet"/>
    <x v="3"/>
  </r>
  <r>
    <n v="1180"/>
    <x v="979"/>
    <n v="11"/>
    <s v="2024-03-28"/>
    <n v="2024"/>
    <x v="1"/>
    <n v="3"/>
    <n v="1038.77"/>
    <n v="5"/>
    <n v="2960.4944999999998"/>
    <s v="Debit Card"/>
    <x v="3"/>
  </r>
  <r>
    <n v="1181"/>
    <x v="980"/>
    <n v="36"/>
    <s v="2023-12-31"/>
    <n v="2023"/>
    <x v="2"/>
    <n v="1"/>
    <n v="992.01"/>
    <n v="15"/>
    <n v="843.20849999999996"/>
    <s v="Wallet"/>
    <x v="3"/>
  </r>
  <r>
    <n v="1182"/>
    <x v="980"/>
    <n v="57"/>
    <s v="2023-09-08"/>
    <n v="2023"/>
    <x v="8"/>
    <n v="3"/>
    <n v="768.03"/>
    <n v="10"/>
    <n v="2073.681"/>
    <s v="Credit Card"/>
    <x v="2"/>
  </r>
  <r>
    <n v="1183"/>
    <x v="981"/>
    <n v="72"/>
    <s v="2024-04-05"/>
    <n v="2024"/>
    <x v="3"/>
    <n v="2"/>
    <n v="1157.27"/>
    <n v="10"/>
    <n v="2083.0860000000002"/>
    <s v="Debit Card"/>
    <x v="2"/>
  </r>
  <r>
    <n v="1184"/>
    <x v="981"/>
    <n v="4"/>
    <s v="2024-03-19"/>
    <n v="2024"/>
    <x v="1"/>
    <n v="2"/>
    <n v="800.26"/>
    <n v="15"/>
    <n v="1360.442"/>
    <s v="UPI"/>
    <x v="2"/>
  </r>
  <r>
    <n v="1185"/>
    <x v="982"/>
    <n v="55"/>
    <s v="2023-04-20"/>
    <n v="2023"/>
    <x v="3"/>
    <n v="3"/>
    <n v="1016.06"/>
    <n v="20"/>
    <n v="2438.5439999999999"/>
    <s v="Debit Card"/>
    <x v="0"/>
  </r>
  <r>
    <n v="1186"/>
    <x v="982"/>
    <n v="49"/>
    <s v="2023-07-11"/>
    <n v="2023"/>
    <x v="7"/>
    <n v="1"/>
    <n v="974.54"/>
    <n v="0"/>
    <n v="974.54"/>
    <s v="Debit Card"/>
    <x v="1"/>
  </r>
  <r>
    <n v="1187"/>
    <x v="983"/>
    <n v="57"/>
    <s v="2023-07-04"/>
    <n v="2023"/>
    <x v="7"/>
    <n v="3"/>
    <n v="768.03"/>
    <n v="5"/>
    <n v="2188.8854999999999"/>
    <s v="Credit Card"/>
    <x v="2"/>
  </r>
  <r>
    <n v="1188"/>
    <x v="983"/>
    <n v="76"/>
    <s v="2023-06-08"/>
    <n v="2023"/>
    <x v="4"/>
    <n v="2"/>
    <n v="1043.26"/>
    <n v="0"/>
    <n v="2086.52"/>
    <s v="UPI"/>
    <x v="0"/>
  </r>
  <r>
    <n v="1189"/>
    <x v="984"/>
    <n v="33"/>
    <s v="2023-09-15"/>
    <n v="2023"/>
    <x v="8"/>
    <n v="1"/>
    <n v="965.4"/>
    <n v="20"/>
    <n v="772.32"/>
    <s v="UPI"/>
    <x v="3"/>
  </r>
  <r>
    <n v="1190"/>
    <x v="984"/>
    <n v="5"/>
    <s v="2023-11-28"/>
    <n v="2023"/>
    <x v="11"/>
    <n v="2"/>
    <n v="296.85000000000002"/>
    <n v="15"/>
    <n v="504.64500000000004"/>
    <s v="COD"/>
    <x v="0"/>
  </r>
  <r>
    <n v="1191"/>
    <x v="985"/>
    <n v="6"/>
    <s v="2023-12-23"/>
    <n v="2023"/>
    <x v="2"/>
    <n v="3"/>
    <n v="719.19"/>
    <n v="10"/>
    <n v="1941.8130000000001"/>
    <s v="UPI"/>
    <x v="0"/>
  </r>
  <r>
    <n v="1192"/>
    <x v="985"/>
    <n v="8"/>
    <s v="2024-05-12"/>
    <n v="2024"/>
    <x v="0"/>
    <n v="3"/>
    <n v="155.08000000000001"/>
    <n v="0"/>
    <n v="465.24"/>
    <s v="COD"/>
    <x v="0"/>
  </r>
  <r>
    <n v="1193"/>
    <x v="986"/>
    <n v="78"/>
    <s v="2023-11-20"/>
    <n v="2023"/>
    <x v="11"/>
    <n v="2"/>
    <n v="795.77"/>
    <n v="15"/>
    <n v="1352.809"/>
    <s v="Debit Card"/>
    <x v="3"/>
  </r>
  <r>
    <n v="1194"/>
    <x v="986"/>
    <n v="61"/>
    <s v="2024-01-19"/>
    <n v="2024"/>
    <x v="5"/>
    <n v="3"/>
    <n v="498.92"/>
    <n v="20"/>
    <n v="1197.4080000000001"/>
    <s v="Credit Card"/>
    <x v="0"/>
  </r>
  <r>
    <n v="1195"/>
    <x v="987"/>
    <n v="5"/>
    <s v="2023-07-09"/>
    <n v="2023"/>
    <x v="7"/>
    <n v="1"/>
    <n v="296.85000000000002"/>
    <n v="20"/>
    <n v="237.48000000000002"/>
    <s v="Debit Card"/>
    <x v="0"/>
  </r>
  <r>
    <n v="1196"/>
    <x v="987"/>
    <n v="23"/>
    <s v="2024-03-21"/>
    <n v="2024"/>
    <x v="1"/>
    <n v="1"/>
    <n v="258.08"/>
    <n v="0"/>
    <n v="258.08"/>
    <s v="COD"/>
    <x v="1"/>
  </r>
  <r>
    <n v="1197"/>
    <x v="988"/>
    <n v="16"/>
    <s v="2023-01-29"/>
    <n v="2023"/>
    <x v="5"/>
    <n v="2"/>
    <n v="693.02"/>
    <n v="0"/>
    <n v="1386.04"/>
    <s v="UPI"/>
    <x v="1"/>
  </r>
  <r>
    <n v="1198"/>
    <x v="988"/>
    <n v="13"/>
    <s v="2024-03-15"/>
    <n v="2024"/>
    <x v="1"/>
    <n v="3"/>
    <n v="334.61"/>
    <n v="10"/>
    <n v="903.447"/>
    <s v="Debit Card"/>
    <x v="1"/>
  </r>
  <r>
    <n v="1199"/>
    <x v="989"/>
    <n v="79"/>
    <s v="2024-01-13"/>
    <n v="2024"/>
    <x v="5"/>
    <n v="1"/>
    <n v="488.34"/>
    <n v="10"/>
    <n v="439.50599999999997"/>
    <s v="UPI"/>
    <x v="2"/>
  </r>
  <r>
    <n v="1200"/>
    <x v="989"/>
    <n v="22"/>
    <s v="2024-04-08"/>
    <n v="2024"/>
    <x v="3"/>
    <n v="3"/>
    <n v="373.43"/>
    <n v="10"/>
    <n v="1008.261"/>
    <s v="Wallet"/>
    <x v="3"/>
  </r>
  <r>
    <n v="1201"/>
    <x v="990"/>
    <n v="2"/>
    <s v="2024-04-26"/>
    <n v="2024"/>
    <x v="3"/>
    <n v="3"/>
    <n v="427.27"/>
    <n v="15"/>
    <n v="1089.5384999999999"/>
    <s v="COD"/>
    <x v="1"/>
  </r>
  <r>
    <n v="1202"/>
    <x v="990"/>
    <n v="8"/>
    <s v="2023-02-03"/>
    <n v="2023"/>
    <x v="9"/>
    <n v="1"/>
    <n v="155.08000000000001"/>
    <n v="20"/>
    <n v="124.06400000000002"/>
    <s v="Debit Card"/>
    <x v="0"/>
  </r>
  <r>
    <n v="1203"/>
    <x v="991"/>
    <n v="35"/>
    <s v="2023-02-12"/>
    <n v="2023"/>
    <x v="9"/>
    <n v="1"/>
    <n v="958.87"/>
    <n v="15"/>
    <n v="815.03949999999998"/>
    <s v="Credit Card"/>
    <x v="0"/>
  </r>
  <r>
    <n v="1204"/>
    <x v="991"/>
    <n v="36"/>
    <s v="2023-11-08"/>
    <n v="2023"/>
    <x v="11"/>
    <n v="1"/>
    <n v="992.01"/>
    <n v="20"/>
    <n v="793.60800000000006"/>
    <s v="COD"/>
    <x v="3"/>
  </r>
  <r>
    <n v="1205"/>
    <x v="992"/>
    <n v="23"/>
    <s v="2023-11-22"/>
    <n v="2023"/>
    <x v="11"/>
    <n v="3"/>
    <n v="258.08"/>
    <n v="0"/>
    <n v="774.24"/>
    <s v="UPI"/>
    <x v="1"/>
  </r>
  <r>
    <n v="1206"/>
    <x v="992"/>
    <n v="36"/>
    <s v="2023-10-15"/>
    <n v="2023"/>
    <x v="10"/>
    <n v="2"/>
    <n v="992.01"/>
    <n v="0"/>
    <n v="1984.02"/>
    <s v="UPI"/>
    <x v="3"/>
  </r>
  <r>
    <n v="1207"/>
    <x v="993"/>
    <n v="60"/>
    <s v="2023-10-18"/>
    <n v="2023"/>
    <x v="10"/>
    <n v="3"/>
    <n v="830.49"/>
    <n v="0"/>
    <n v="2491.4700000000003"/>
    <s v="Wallet"/>
    <x v="0"/>
  </r>
  <r>
    <n v="1208"/>
    <x v="993"/>
    <n v="60"/>
    <s v="2023-02-15"/>
    <n v="2023"/>
    <x v="9"/>
    <n v="1"/>
    <n v="830.49"/>
    <n v="0"/>
    <n v="830.49"/>
    <s v="Debit Card"/>
    <x v="0"/>
  </r>
  <r>
    <n v="1209"/>
    <x v="994"/>
    <n v="12"/>
    <s v="2023-04-06"/>
    <n v="2023"/>
    <x v="3"/>
    <n v="2"/>
    <n v="627.41999999999996"/>
    <n v="20"/>
    <n v="1003.872"/>
    <s v="Credit Card"/>
    <x v="3"/>
  </r>
  <r>
    <n v="1210"/>
    <x v="994"/>
    <n v="22"/>
    <s v="2024-02-08"/>
    <n v="2024"/>
    <x v="9"/>
    <n v="1"/>
    <n v="373.43"/>
    <n v="5"/>
    <n v="354.75849999999997"/>
    <s v="UPI"/>
    <x v="3"/>
  </r>
  <r>
    <n v="1211"/>
    <x v="995"/>
    <n v="59"/>
    <s v="2023-02-11"/>
    <n v="2023"/>
    <x v="9"/>
    <n v="3"/>
    <n v="782.33"/>
    <n v="5"/>
    <n v="2229.6405"/>
    <s v="UPI"/>
    <x v="0"/>
  </r>
  <r>
    <n v="1212"/>
    <x v="995"/>
    <n v="25"/>
    <s v="2024-01-18"/>
    <n v="2024"/>
    <x v="5"/>
    <n v="3"/>
    <n v="1011.65"/>
    <n v="5"/>
    <n v="2883.2024999999999"/>
    <s v="UPI"/>
    <x v="2"/>
  </r>
  <r>
    <n v="1213"/>
    <x v="996"/>
    <n v="7"/>
    <s v="2023-07-14"/>
    <n v="2023"/>
    <x v="7"/>
    <n v="3"/>
    <n v="97.29"/>
    <n v="10"/>
    <n v="262.68299999999999"/>
    <s v="Debit Card"/>
    <x v="3"/>
  </r>
  <r>
    <n v="1214"/>
    <x v="996"/>
    <n v="36"/>
    <s v="2023-03-13"/>
    <n v="2023"/>
    <x v="1"/>
    <n v="3"/>
    <n v="992.01"/>
    <n v="10"/>
    <n v="2678.4269999999997"/>
    <s v="COD"/>
    <x v="3"/>
  </r>
  <r>
    <n v="1215"/>
    <x v="997"/>
    <n v="29"/>
    <s v="2024-03-03"/>
    <n v="2024"/>
    <x v="1"/>
    <n v="1"/>
    <n v="757"/>
    <n v="10"/>
    <n v="681.30000000000007"/>
    <s v="Debit Card"/>
    <x v="0"/>
  </r>
  <r>
    <n v="1216"/>
    <x v="997"/>
    <n v="23"/>
    <s v="2023-06-01"/>
    <n v="2023"/>
    <x v="4"/>
    <n v="2"/>
    <n v="258.08"/>
    <n v="15"/>
    <n v="438.73599999999993"/>
    <s v="UPI"/>
    <x v="1"/>
  </r>
  <r>
    <n v="1217"/>
    <x v="998"/>
    <n v="12"/>
    <s v="2023-09-08"/>
    <n v="2023"/>
    <x v="8"/>
    <n v="2"/>
    <n v="627.41999999999996"/>
    <n v="20"/>
    <n v="1003.872"/>
    <s v="UPI"/>
    <x v="3"/>
  </r>
  <r>
    <n v="1218"/>
    <x v="998"/>
    <n v="45"/>
    <s v="2024-01-31"/>
    <n v="2024"/>
    <x v="5"/>
    <n v="3"/>
    <n v="609.05999999999995"/>
    <n v="20"/>
    <n v="1461.7439999999999"/>
    <s v="COD"/>
    <x v="3"/>
  </r>
  <r>
    <n v="1219"/>
    <x v="999"/>
    <n v="22"/>
    <s v="2023-01-19"/>
    <n v="2023"/>
    <x v="5"/>
    <n v="3"/>
    <n v="373.43"/>
    <n v="15"/>
    <n v="952.24649999999997"/>
    <s v="Debit Card"/>
    <x v="3"/>
  </r>
  <r>
    <n v="1220"/>
    <x v="999"/>
    <n v="69"/>
    <s v="2023-10-19"/>
    <n v="2023"/>
    <x v="10"/>
    <n v="1"/>
    <n v="951.81"/>
    <n v="15"/>
    <n v="809.03849999999989"/>
    <s v="UPI"/>
    <x v="0"/>
  </r>
  <r>
    <n v="1221"/>
    <x v="1000"/>
    <n v="37"/>
    <s v="2023-04-17"/>
    <n v="2023"/>
    <x v="3"/>
    <n v="2"/>
    <n v="968.87"/>
    <n v="20"/>
    <n v="1550.192"/>
    <s v="Wallet"/>
    <x v="1"/>
  </r>
  <r>
    <n v="1222"/>
    <x v="1000"/>
    <n v="35"/>
    <s v="2023-02-16"/>
    <n v="2023"/>
    <x v="9"/>
    <n v="3"/>
    <n v="958.87"/>
    <n v="5"/>
    <n v="2732.7795000000001"/>
    <s v="UPI"/>
    <x v="0"/>
  </r>
  <r>
    <n v="1223"/>
    <x v="1001"/>
    <n v="28"/>
    <s v="2023-08-28"/>
    <n v="2023"/>
    <x v="6"/>
    <n v="2"/>
    <n v="494.39"/>
    <n v="0"/>
    <n v="988.78"/>
    <s v="Credit Card"/>
    <x v="3"/>
  </r>
  <r>
    <n v="1224"/>
    <x v="1001"/>
    <n v="67"/>
    <s v="2023-12-04"/>
    <n v="2023"/>
    <x v="2"/>
    <n v="3"/>
    <n v="258.35000000000002"/>
    <n v="5"/>
    <n v="736.29750000000001"/>
    <s v="COD"/>
    <x v="2"/>
  </r>
  <r>
    <n v="1225"/>
    <x v="1002"/>
    <n v="18"/>
    <s v="2023-08-28"/>
    <n v="2023"/>
    <x v="6"/>
    <n v="3"/>
    <n v="138.07"/>
    <n v="10"/>
    <n v="372.78899999999999"/>
    <s v="UPI"/>
    <x v="1"/>
  </r>
  <r>
    <n v="1226"/>
    <x v="1002"/>
    <n v="73"/>
    <s v="2023-07-13"/>
    <n v="2023"/>
    <x v="7"/>
    <n v="3"/>
    <n v="943.04"/>
    <n v="20"/>
    <n v="2263.2959999999998"/>
    <s v="Credit Card"/>
    <x v="1"/>
  </r>
  <r>
    <n v="1227"/>
    <x v="1003"/>
    <n v="42"/>
    <s v="2023-12-26"/>
    <n v="2023"/>
    <x v="2"/>
    <n v="1"/>
    <n v="233.11"/>
    <n v="10"/>
    <n v="209.79900000000001"/>
    <s v="Credit Card"/>
    <x v="1"/>
  </r>
  <r>
    <n v="1228"/>
    <x v="1003"/>
    <n v="21"/>
    <s v="2023-08-04"/>
    <n v="2023"/>
    <x v="6"/>
    <n v="2"/>
    <n v="420.66"/>
    <n v="10"/>
    <n v="757.1880000000001"/>
    <s v="UPI"/>
    <x v="3"/>
  </r>
  <r>
    <n v="1229"/>
    <x v="1004"/>
    <n v="13"/>
    <s v="2023-04-06"/>
    <n v="2023"/>
    <x v="3"/>
    <n v="2"/>
    <n v="334.61"/>
    <n v="10"/>
    <n v="602.298"/>
    <s v="Debit Card"/>
    <x v="1"/>
  </r>
  <r>
    <n v="1230"/>
    <x v="1004"/>
    <n v="60"/>
    <s v="2023-10-07"/>
    <n v="2023"/>
    <x v="10"/>
    <n v="1"/>
    <n v="830.49"/>
    <n v="0"/>
    <n v="830.49"/>
    <s v="COD"/>
    <x v="0"/>
  </r>
  <r>
    <n v="1231"/>
    <x v="1005"/>
    <n v="79"/>
    <s v="2023-08-22"/>
    <n v="2023"/>
    <x v="6"/>
    <n v="3"/>
    <n v="488.34"/>
    <n v="20"/>
    <n v="1172.0160000000001"/>
    <s v="COD"/>
    <x v="2"/>
  </r>
  <r>
    <n v="1232"/>
    <x v="1005"/>
    <n v="52"/>
    <s v="2023-08-31"/>
    <n v="2023"/>
    <x v="6"/>
    <n v="1"/>
    <n v="256.76"/>
    <n v="10"/>
    <n v="231.084"/>
    <s v="UPI"/>
    <x v="1"/>
  </r>
  <r>
    <n v="1233"/>
    <x v="1006"/>
    <n v="77"/>
    <s v="2023-06-22"/>
    <n v="2023"/>
    <x v="4"/>
    <n v="2"/>
    <n v="1078.19"/>
    <n v="15"/>
    <n v="1832.923"/>
    <s v="UPI"/>
    <x v="1"/>
  </r>
  <r>
    <n v="1234"/>
    <x v="1006"/>
    <n v="6"/>
    <s v="2024-05-12"/>
    <n v="2024"/>
    <x v="0"/>
    <n v="1"/>
    <n v="719.19"/>
    <n v="20"/>
    <n v="575.35200000000009"/>
    <s v="Credit Card"/>
    <x v="0"/>
  </r>
  <r>
    <n v="1235"/>
    <x v="1007"/>
    <n v="54"/>
    <s v="2023-08-07"/>
    <n v="2023"/>
    <x v="6"/>
    <n v="2"/>
    <n v="900.79"/>
    <n v="20"/>
    <n v="1441.2640000000001"/>
    <s v="COD"/>
    <x v="2"/>
  </r>
  <r>
    <n v="1236"/>
    <x v="1007"/>
    <n v="76"/>
    <s v="2023-01-15"/>
    <n v="2023"/>
    <x v="5"/>
    <n v="1"/>
    <n v="1043.26"/>
    <n v="20"/>
    <n v="834.60800000000006"/>
    <s v="Debit Card"/>
    <x v="0"/>
  </r>
  <r>
    <n v="1237"/>
    <x v="1008"/>
    <n v="39"/>
    <s v="2024-03-29"/>
    <n v="2024"/>
    <x v="1"/>
    <n v="3"/>
    <n v="256.08999999999997"/>
    <n v="20"/>
    <n v="614.61599999999999"/>
    <s v="Debit Card"/>
    <x v="0"/>
  </r>
  <r>
    <n v="1238"/>
    <x v="1008"/>
    <n v="73"/>
    <s v="2024-01-20"/>
    <n v="2024"/>
    <x v="5"/>
    <n v="1"/>
    <n v="943.04"/>
    <n v="5"/>
    <n v="895.88799999999992"/>
    <s v="UPI"/>
    <x v="1"/>
  </r>
  <r>
    <n v="1239"/>
    <x v="1009"/>
    <n v="7"/>
    <s v="2024-05-11"/>
    <n v="2024"/>
    <x v="0"/>
    <n v="1"/>
    <n v="97.29"/>
    <n v="10"/>
    <n v="87.561000000000007"/>
    <s v="Debit Card"/>
    <x v="3"/>
  </r>
  <r>
    <n v="1240"/>
    <x v="1009"/>
    <n v="45"/>
    <s v="2023-08-23"/>
    <n v="2023"/>
    <x v="6"/>
    <n v="2"/>
    <n v="609.05999999999995"/>
    <n v="5"/>
    <n v="1157.2139999999999"/>
    <s v="COD"/>
    <x v="3"/>
  </r>
  <r>
    <n v="1241"/>
    <x v="1010"/>
    <n v="1"/>
    <s v="2023-12-04"/>
    <n v="2023"/>
    <x v="2"/>
    <n v="1"/>
    <n v="469.08"/>
    <n v="5"/>
    <n v="445.62599999999998"/>
    <s v="Debit Card"/>
    <x v="0"/>
  </r>
  <r>
    <n v="1242"/>
    <x v="1010"/>
    <n v="39"/>
    <s v="2023-06-07"/>
    <n v="2023"/>
    <x v="4"/>
    <n v="1"/>
    <n v="256.08999999999997"/>
    <n v="5"/>
    <n v="243.28549999999996"/>
    <s v="Debit Card"/>
    <x v="0"/>
  </r>
  <r>
    <n v="1243"/>
    <x v="1011"/>
    <n v="27"/>
    <s v="2023-08-12"/>
    <n v="2023"/>
    <x v="6"/>
    <n v="1"/>
    <n v="76.09"/>
    <n v="5"/>
    <n v="72.285499999999999"/>
    <s v="Debit Card"/>
    <x v="0"/>
  </r>
  <r>
    <n v="1244"/>
    <x v="1011"/>
    <n v="72"/>
    <s v="2024-03-08"/>
    <n v="2024"/>
    <x v="1"/>
    <n v="2"/>
    <n v="1157.27"/>
    <n v="0"/>
    <n v="2314.54"/>
    <s v="COD"/>
    <x v="2"/>
  </r>
  <r>
    <n v="1245"/>
    <x v="1012"/>
    <n v="21"/>
    <s v="2023-06-26"/>
    <n v="2023"/>
    <x v="4"/>
    <n v="1"/>
    <n v="420.66"/>
    <n v="15"/>
    <n v="357.56100000000004"/>
    <s v="Wallet"/>
    <x v="3"/>
  </r>
  <r>
    <n v="1246"/>
    <x v="1012"/>
    <n v="51"/>
    <s v="2023-12-24"/>
    <n v="2023"/>
    <x v="2"/>
    <n v="1"/>
    <n v="759.57"/>
    <n v="15"/>
    <n v="645.6345"/>
    <s v="COD"/>
    <x v="3"/>
  </r>
  <r>
    <n v="1247"/>
    <x v="1013"/>
    <n v="60"/>
    <s v="2023-12-28"/>
    <n v="2023"/>
    <x v="2"/>
    <n v="1"/>
    <n v="830.49"/>
    <n v="0"/>
    <n v="830.49"/>
    <s v="COD"/>
    <x v="0"/>
  </r>
  <r>
    <n v="1248"/>
    <x v="1013"/>
    <n v="17"/>
    <s v="2023-06-12"/>
    <n v="2023"/>
    <x v="4"/>
    <n v="1"/>
    <n v="695.6"/>
    <n v="15"/>
    <n v="591.26"/>
    <s v="UPI"/>
    <x v="0"/>
  </r>
  <r>
    <n v="1249"/>
    <x v="1014"/>
    <n v="37"/>
    <s v="2024-02-24"/>
    <n v="2024"/>
    <x v="9"/>
    <n v="3"/>
    <n v="968.87"/>
    <n v="15"/>
    <n v="2470.6185"/>
    <s v="Wallet"/>
    <x v="1"/>
  </r>
  <r>
    <n v="1250"/>
    <x v="1014"/>
    <n v="51"/>
    <s v="2023-10-01"/>
    <n v="2023"/>
    <x v="10"/>
    <n v="1"/>
    <n v="759.57"/>
    <n v="10"/>
    <n v="683.61300000000006"/>
    <s v="COD"/>
    <x v="3"/>
  </r>
  <r>
    <n v="1251"/>
    <x v="1015"/>
    <n v="76"/>
    <s v="2023-01-14"/>
    <n v="2023"/>
    <x v="5"/>
    <n v="1"/>
    <n v="1043.26"/>
    <n v="20"/>
    <n v="834.60800000000006"/>
    <s v="Debit Card"/>
    <x v="0"/>
  </r>
  <r>
    <n v="1252"/>
    <x v="1015"/>
    <n v="31"/>
    <s v="2023-07-08"/>
    <n v="2023"/>
    <x v="7"/>
    <n v="2"/>
    <n v="131.79"/>
    <n v="10"/>
    <n v="237.22199999999998"/>
    <s v="Wallet"/>
    <x v="3"/>
  </r>
  <r>
    <n v="1253"/>
    <x v="1016"/>
    <n v="1"/>
    <s v="2023-11-09"/>
    <n v="2023"/>
    <x v="11"/>
    <n v="3"/>
    <n v="469.08"/>
    <n v="15"/>
    <n v="1196.154"/>
    <s v="Credit Card"/>
    <x v="0"/>
  </r>
  <r>
    <n v="1254"/>
    <x v="1016"/>
    <n v="30"/>
    <s v="2023-03-12"/>
    <n v="2023"/>
    <x v="1"/>
    <n v="2"/>
    <n v="866.89"/>
    <n v="5"/>
    <n v="1647.0909999999999"/>
    <s v="Credit Card"/>
    <x v="2"/>
  </r>
  <r>
    <n v="1255"/>
    <x v="1017"/>
    <n v="28"/>
    <s v="2023-06-04"/>
    <n v="2023"/>
    <x v="4"/>
    <n v="2"/>
    <n v="494.39"/>
    <n v="0"/>
    <n v="988.78"/>
    <s v="UPI"/>
    <x v="3"/>
  </r>
  <r>
    <n v="1256"/>
    <x v="1017"/>
    <n v="50"/>
    <s v="2023-12-01"/>
    <n v="2023"/>
    <x v="2"/>
    <n v="1"/>
    <n v="1122.8699999999999"/>
    <n v="15"/>
    <n v="954.43949999999984"/>
    <s v="Debit Card"/>
    <x v="1"/>
  </r>
  <r>
    <n v="1257"/>
    <x v="1018"/>
    <n v="37"/>
    <s v="2023-06-09"/>
    <n v="2023"/>
    <x v="4"/>
    <n v="2"/>
    <n v="968.87"/>
    <n v="15"/>
    <n v="1647.079"/>
    <s v="Credit Card"/>
    <x v="1"/>
  </r>
  <r>
    <n v="1258"/>
    <x v="1018"/>
    <n v="34"/>
    <s v="2024-05-05"/>
    <n v="2024"/>
    <x v="0"/>
    <n v="2"/>
    <n v="523.98"/>
    <n v="5"/>
    <n v="995.56200000000001"/>
    <s v="Debit Card"/>
    <x v="1"/>
  </r>
  <r>
    <n v="1259"/>
    <x v="1019"/>
    <n v="51"/>
    <s v="2023-12-16"/>
    <n v="2023"/>
    <x v="2"/>
    <n v="3"/>
    <n v="759.57"/>
    <n v="0"/>
    <n v="2278.71"/>
    <s v="COD"/>
    <x v="3"/>
  </r>
  <r>
    <n v="1260"/>
    <x v="1019"/>
    <n v="11"/>
    <s v="2023-06-27"/>
    <n v="2023"/>
    <x v="4"/>
    <n v="3"/>
    <n v="1038.77"/>
    <n v="0"/>
    <n v="3116.31"/>
    <s v="COD"/>
    <x v="3"/>
  </r>
  <r>
    <n v="1261"/>
    <x v="1020"/>
    <n v="2"/>
    <s v="2023-03-24"/>
    <n v="2023"/>
    <x v="1"/>
    <n v="2"/>
    <n v="427.27"/>
    <n v="5"/>
    <n v="811.81299999999987"/>
    <s v="Wallet"/>
    <x v="1"/>
  </r>
  <r>
    <n v="1262"/>
    <x v="1020"/>
    <n v="65"/>
    <s v="2023-07-16"/>
    <n v="2023"/>
    <x v="7"/>
    <n v="3"/>
    <n v="1189.73"/>
    <n v="15"/>
    <n v="3033.8114999999998"/>
    <s v="Credit Card"/>
    <x v="1"/>
  </r>
  <r>
    <n v="1263"/>
    <x v="1020"/>
    <n v="63"/>
    <s v="2023-12-01"/>
    <n v="2023"/>
    <x v="2"/>
    <n v="3"/>
    <n v="309.79000000000002"/>
    <n v="15"/>
    <n v="789.96450000000004"/>
    <s v="COD"/>
    <x v="2"/>
  </r>
  <r>
    <n v="1264"/>
    <x v="1021"/>
    <n v="7"/>
    <s v="2023-06-05"/>
    <n v="2023"/>
    <x v="4"/>
    <n v="2"/>
    <n v="97.29"/>
    <n v="10"/>
    <n v="175.12200000000001"/>
    <s v="Credit Card"/>
    <x v="3"/>
  </r>
  <r>
    <n v="1265"/>
    <x v="1021"/>
    <n v="78"/>
    <s v="2024-02-18"/>
    <n v="2024"/>
    <x v="9"/>
    <n v="2"/>
    <n v="795.77"/>
    <n v="20"/>
    <n v="1273.232"/>
    <s v="UPI"/>
    <x v="3"/>
  </r>
  <r>
    <n v="1266"/>
    <x v="1021"/>
    <n v="61"/>
    <s v="2023-12-31"/>
    <n v="2023"/>
    <x v="2"/>
    <n v="2"/>
    <n v="498.92"/>
    <n v="20"/>
    <n v="798.27200000000005"/>
    <s v="UPI"/>
    <x v="0"/>
  </r>
  <r>
    <n v="1267"/>
    <x v="1022"/>
    <n v="15"/>
    <s v="2024-02-07"/>
    <n v="2024"/>
    <x v="9"/>
    <n v="1"/>
    <n v="1183.2"/>
    <n v="15"/>
    <n v="1005.72"/>
    <s v="Wallet"/>
    <x v="2"/>
  </r>
  <r>
    <n v="1268"/>
    <x v="1022"/>
    <n v="50"/>
    <s v="2024-03-21"/>
    <n v="2024"/>
    <x v="1"/>
    <n v="3"/>
    <n v="1122.8699999999999"/>
    <n v="0"/>
    <n v="3368.6099999999997"/>
    <s v="Debit Card"/>
    <x v="1"/>
  </r>
  <r>
    <n v="1269"/>
    <x v="1022"/>
    <n v="1"/>
    <s v="2023-06-22"/>
    <n v="2023"/>
    <x v="4"/>
    <n v="3"/>
    <n v="469.08"/>
    <n v="20"/>
    <n v="1125.7920000000001"/>
    <s v="UPI"/>
    <x v="0"/>
  </r>
  <r>
    <n v="1270"/>
    <x v="1023"/>
    <n v="26"/>
    <s v="2023-09-21"/>
    <n v="2023"/>
    <x v="8"/>
    <n v="3"/>
    <n v="272.61"/>
    <n v="15"/>
    <n v="695.15549999999996"/>
    <s v="COD"/>
    <x v="1"/>
  </r>
  <r>
    <n v="1271"/>
    <x v="1023"/>
    <n v="7"/>
    <s v="2023-08-26"/>
    <n v="2023"/>
    <x v="6"/>
    <n v="2"/>
    <n v="97.29"/>
    <n v="0"/>
    <n v="194.58"/>
    <s v="Credit Card"/>
    <x v="3"/>
  </r>
  <r>
    <n v="1272"/>
    <x v="1023"/>
    <n v="63"/>
    <s v="2023-08-24"/>
    <n v="2023"/>
    <x v="6"/>
    <n v="2"/>
    <n v="309.79000000000002"/>
    <n v="0"/>
    <n v="619.58000000000004"/>
    <s v="Wallet"/>
    <x v="2"/>
  </r>
  <r>
    <n v="1273"/>
    <x v="1023"/>
    <n v="48"/>
    <s v="2023-05-10"/>
    <n v="2023"/>
    <x v="0"/>
    <n v="2"/>
    <n v="1125.8499999999999"/>
    <n v="10"/>
    <n v="2026.53"/>
    <s v="UPI"/>
    <x v="0"/>
  </r>
  <r>
    <n v="1274"/>
    <x v="1024"/>
    <n v="4"/>
    <s v="2023-10-05"/>
    <n v="2023"/>
    <x v="10"/>
    <n v="2"/>
    <n v="800.26"/>
    <n v="5"/>
    <n v="1520.4939999999999"/>
    <s v="UPI"/>
    <x v="2"/>
  </r>
  <r>
    <n v="1275"/>
    <x v="1024"/>
    <n v="46"/>
    <s v="2023-08-02"/>
    <n v="2023"/>
    <x v="6"/>
    <n v="1"/>
    <n v="1155.3"/>
    <n v="15"/>
    <n v="982.00499999999988"/>
    <s v="UPI"/>
    <x v="3"/>
  </r>
  <r>
    <n v="1276"/>
    <x v="1024"/>
    <n v="39"/>
    <s v="2023-11-22"/>
    <n v="2023"/>
    <x v="11"/>
    <n v="1"/>
    <n v="256.08999999999997"/>
    <n v="20"/>
    <n v="204.87199999999999"/>
    <s v="Credit Card"/>
    <x v="0"/>
  </r>
  <r>
    <n v="1277"/>
    <x v="1024"/>
    <n v="46"/>
    <s v="2024-01-10"/>
    <n v="2024"/>
    <x v="5"/>
    <n v="1"/>
    <n v="1155.3"/>
    <n v="20"/>
    <n v="924.24"/>
    <s v="COD"/>
    <x v="3"/>
  </r>
  <r>
    <n v="1278"/>
    <x v="1025"/>
    <n v="32"/>
    <s v="2023-03-31"/>
    <n v="2023"/>
    <x v="1"/>
    <n v="1"/>
    <n v="342.57"/>
    <n v="20"/>
    <n v="274.05599999999998"/>
    <s v="Credit Card"/>
    <x v="0"/>
  </r>
  <r>
    <n v="1279"/>
    <x v="1025"/>
    <n v="17"/>
    <s v="2024-01-08"/>
    <n v="2024"/>
    <x v="5"/>
    <n v="1"/>
    <n v="695.6"/>
    <n v="15"/>
    <n v="591.26"/>
    <s v="COD"/>
    <x v="0"/>
  </r>
  <r>
    <n v="1280"/>
    <x v="1025"/>
    <n v="36"/>
    <s v="2023-06-26"/>
    <n v="2023"/>
    <x v="4"/>
    <n v="2"/>
    <n v="992.01"/>
    <n v="20"/>
    <n v="1587.2160000000001"/>
    <s v="Debit Card"/>
    <x v="3"/>
  </r>
  <r>
    <n v="1281"/>
    <x v="1026"/>
    <n v="68"/>
    <s v="2023-10-19"/>
    <n v="2023"/>
    <x v="10"/>
    <n v="2"/>
    <n v="180.99"/>
    <n v="0"/>
    <n v="361.98"/>
    <s v="Credit Card"/>
    <x v="0"/>
  </r>
  <r>
    <n v="1282"/>
    <x v="1026"/>
    <n v="42"/>
    <s v="2023-07-10"/>
    <n v="2023"/>
    <x v="7"/>
    <n v="1"/>
    <n v="233.11"/>
    <n v="5"/>
    <n v="221.4545"/>
    <s v="Wallet"/>
    <x v="1"/>
  </r>
  <r>
    <n v="1283"/>
    <x v="1026"/>
    <n v="13"/>
    <s v="2023-07-15"/>
    <n v="2023"/>
    <x v="7"/>
    <n v="3"/>
    <n v="334.61"/>
    <n v="0"/>
    <n v="1003.83"/>
    <s v="UPI"/>
    <x v="1"/>
  </r>
  <r>
    <n v="1284"/>
    <x v="1027"/>
    <n v="39"/>
    <s v="2023-08-05"/>
    <n v="2023"/>
    <x v="6"/>
    <n v="2"/>
    <n v="256.08999999999997"/>
    <n v="0"/>
    <n v="512.17999999999995"/>
    <s v="Debit Card"/>
    <x v="0"/>
  </r>
  <r>
    <n v="1285"/>
    <x v="1027"/>
    <n v="33"/>
    <s v="2024-01-05"/>
    <n v="2024"/>
    <x v="5"/>
    <n v="3"/>
    <n v="965.4"/>
    <n v="0"/>
    <n v="2896.2"/>
    <s v="COD"/>
    <x v="3"/>
  </r>
  <r>
    <n v="1286"/>
    <x v="1027"/>
    <n v="15"/>
    <s v="2024-02-11"/>
    <n v="2024"/>
    <x v="9"/>
    <n v="1"/>
    <n v="1183.2"/>
    <n v="20"/>
    <n v="946.56000000000006"/>
    <s v="UPI"/>
    <x v="2"/>
  </r>
  <r>
    <n v="1287"/>
    <x v="1028"/>
    <n v="39"/>
    <s v="2023-11-12"/>
    <n v="2023"/>
    <x v="11"/>
    <n v="3"/>
    <n v="256.08999999999997"/>
    <n v="20"/>
    <n v="614.61599999999999"/>
    <s v="Debit Card"/>
    <x v="0"/>
  </r>
  <r>
    <n v="1288"/>
    <x v="1028"/>
    <n v="7"/>
    <s v="2023-07-11"/>
    <n v="2023"/>
    <x v="7"/>
    <n v="3"/>
    <n v="97.29"/>
    <n v="15"/>
    <n v="248.08949999999999"/>
    <s v="Debit Card"/>
    <x v="3"/>
  </r>
  <r>
    <n v="1289"/>
    <x v="1028"/>
    <n v="56"/>
    <s v="2023-05-21"/>
    <n v="2023"/>
    <x v="0"/>
    <n v="3"/>
    <n v="396.01"/>
    <n v="5"/>
    <n v="1128.6285"/>
    <s v="UPI"/>
    <x v="1"/>
  </r>
  <r>
    <n v="1290"/>
    <x v="1028"/>
    <n v="65"/>
    <s v="2023-12-10"/>
    <n v="2023"/>
    <x v="2"/>
    <n v="1"/>
    <n v="1189.73"/>
    <n v="20"/>
    <n v="951.78400000000011"/>
    <s v="COD"/>
    <x v="1"/>
  </r>
  <r>
    <n v="1291"/>
    <x v="1029"/>
    <n v="24"/>
    <s v="2023-12-14"/>
    <n v="2023"/>
    <x v="2"/>
    <n v="2"/>
    <n v="1019.85"/>
    <n v="10"/>
    <n v="1835.73"/>
    <s v="Credit Card"/>
    <x v="3"/>
  </r>
  <r>
    <n v="1292"/>
    <x v="1029"/>
    <n v="53"/>
    <s v="2023-04-17"/>
    <n v="2023"/>
    <x v="3"/>
    <n v="1"/>
    <n v="194.34"/>
    <n v="15"/>
    <n v="165.18899999999999"/>
    <s v="Debit Card"/>
    <x v="1"/>
  </r>
  <r>
    <n v="1293"/>
    <x v="1029"/>
    <n v="36"/>
    <s v="2023-05-17"/>
    <n v="2023"/>
    <x v="0"/>
    <n v="2"/>
    <n v="992.01"/>
    <n v="20"/>
    <n v="1587.2160000000001"/>
    <s v="UPI"/>
    <x v="3"/>
  </r>
  <r>
    <n v="1294"/>
    <x v="1029"/>
    <n v="13"/>
    <s v="2023-04-24"/>
    <n v="2023"/>
    <x v="3"/>
    <n v="1"/>
    <n v="334.61"/>
    <n v="0"/>
    <n v="334.61"/>
    <s v="UPI"/>
    <x v="1"/>
  </r>
  <r>
    <n v="1295"/>
    <x v="1030"/>
    <n v="29"/>
    <s v="2023-02-02"/>
    <n v="2023"/>
    <x v="9"/>
    <n v="3"/>
    <n v="757"/>
    <n v="10"/>
    <n v="2043.9"/>
    <s v="Wallet"/>
    <x v="0"/>
  </r>
  <r>
    <n v="1296"/>
    <x v="1030"/>
    <n v="59"/>
    <s v="2023-10-29"/>
    <n v="2023"/>
    <x v="10"/>
    <n v="2"/>
    <n v="782.33"/>
    <n v="20"/>
    <n v="1251.7280000000001"/>
    <s v="UPI"/>
    <x v="0"/>
  </r>
  <r>
    <n v="1297"/>
    <x v="1030"/>
    <n v="70"/>
    <s v="2023-07-19"/>
    <n v="2023"/>
    <x v="7"/>
    <n v="2"/>
    <n v="797.23"/>
    <n v="20"/>
    <n v="1275.5680000000002"/>
    <s v="Credit Card"/>
    <x v="0"/>
  </r>
  <r>
    <n v="1298"/>
    <x v="1030"/>
    <n v="44"/>
    <s v="2023-06-24"/>
    <n v="2023"/>
    <x v="4"/>
    <n v="2"/>
    <n v="1038"/>
    <n v="10"/>
    <n v="1868.4"/>
    <s v="COD"/>
    <x v="1"/>
  </r>
  <r>
    <n v="1299"/>
    <x v="1031"/>
    <n v="20"/>
    <s v="2023-08-25"/>
    <n v="2023"/>
    <x v="6"/>
    <n v="3"/>
    <n v="613.27"/>
    <n v="15"/>
    <n v="1563.8384999999998"/>
    <s v="Debit Card"/>
    <x v="1"/>
  </r>
  <r>
    <n v="1300"/>
    <x v="1031"/>
    <n v="69"/>
    <s v="2023-12-24"/>
    <n v="2023"/>
    <x v="2"/>
    <n v="1"/>
    <n v="951.81"/>
    <n v="15"/>
    <n v="809.03849999999989"/>
    <s v="UPI"/>
    <x v="0"/>
  </r>
  <r>
    <n v="1301"/>
    <x v="1031"/>
    <n v="52"/>
    <s v="2023-01-17"/>
    <n v="2023"/>
    <x v="5"/>
    <n v="3"/>
    <n v="256.76"/>
    <n v="20"/>
    <n v="616.22400000000005"/>
    <s v="Credit Card"/>
    <x v="1"/>
  </r>
  <r>
    <n v="1302"/>
    <x v="1032"/>
    <n v="63"/>
    <s v="2023-10-15"/>
    <n v="2023"/>
    <x v="10"/>
    <n v="2"/>
    <n v="309.79000000000002"/>
    <n v="0"/>
    <n v="619.58000000000004"/>
    <s v="Debit Card"/>
    <x v="2"/>
  </r>
  <r>
    <n v="1303"/>
    <x v="1032"/>
    <n v="68"/>
    <s v="2023-07-09"/>
    <n v="2023"/>
    <x v="7"/>
    <n v="2"/>
    <n v="180.99"/>
    <n v="10"/>
    <n v="325.78200000000004"/>
    <s v="UPI"/>
    <x v="0"/>
  </r>
  <r>
    <n v="1304"/>
    <x v="1032"/>
    <n v="58"/>
    <s v="2023-12-12"/>
    <n v="2023"/>
    <x v="2"/>
    <n v="2"/>
    <n v="334.98"/>
    <n v="0"/>
    <n v="669.96"/>
    <s v="Debit Card"/>
    <x v="1"/>
  </r>
  <r>
    <n v="1305"/>
    <x v="1032"/>
    <n v="80"/>
    <s v="2023-10-27"/>
    <n v="2023"/>
    <x v="10"/>
    <n v="1"/>
    <n v="1014.45"/>
    <n v="20"/>
    <n v="811.56000000000006"/>
    <s v="UPI"/>
    <x v="3"/>
  </r>
  <r>
    <n v="1306"/>
    <x v="1033"/>
    <n v="73"/>
    <s v="2023-08-09"/>
    <n v="2023"/>
    <x v="6"/>
    <n v="2"/>
    <n v="943.04"/>
    <n v="0"/>
    <n v="1886.08"/>
    <s v="UPI"/>
    <x v="1"/>
  </r>
  <r>
    <n v="1307"/>
    <x v="1033"/>
    <n v="72"/>
    <s v="2024-01-16"/>
    <n v="2024"/>
    <x v="5"/>
    <n v="2"/>
    <n v="1157.27"/>
    <n v="5"/>
    <n v="2198.8129999999996"/>
    <s v="COD"/>
    <x v="2"/>
  </r>
  <r>
    <n v="1308"/>
    <x v="1033"/>
    <n v="69"/>
    <s v="2023-03-09"/>
    <n v="2023"/>
    <x v="1"/>
    <n v="2"/>
    <n v="951.81"/>
    <n v="20"/>
    <n v="1522.896"/>
    <s v="Credit Card"/>
    <x v="0"/>
  </r>
  <r>
    <n v="1309"/>
    <x v="1034"/>
    <n v="13"/>
    <s v="2023-07-22"/>
    <n v="2023"/>
    <x v="7"/>
    <n v="1"/>
    <n v="334.61"/>
    <n v="5"/>
    <n v="317.87950000000001"/>
    <s v="Credit Card"/>
    <x v="1"/>
  </r>
  <r>
    <n v="1310"/>
    <x v="1034"/>
    <n v="74"/>
    <s v="2023-05-29"/>
    <n v="2023"/>
    <x v="0"/>
    <n v="1"/>
    <n v="1034.31"/>
    <n v="5"/>
    <n v="982.59449999999993"/>
    <s v="COD"/>
    <x v="2"/>
  </r>
  <r>
    <n v="1311"/>
    <x v="1034"/>
    <n v="71"/>
    <s v="2023-07-29"/>
    <n v="2023"/>
    <x v="7"/>
    <n v="2"/>
    <n v="780.27"/>
    <n v="5"/>
    <n v="1482.5129999999999"/>
    <s v="COD"/>
    <x v="2"/>
  </r>
  <r>
    <n v="1312"/>
    <x v="1035"/>
    <n v="77"/>
    <s v="2023-05-23"/>
    <n v="2023"/>
    <x v="0"/>
    <n v="2"/>
    <n v="1078.19"/>
    <n v="10"/>
    <n v="1940.7420000000002"/>
    <s v="Credit Card"/>
    <x v="1"/>
  </r>
  <r>
    <n v="1313"/>
    <x v="1035"/>
    <n v="41"/>
    <s v="2023-09-15"/>
    <n v="2023"/>
    <x v="8"/>
    <n v="3"/>
    <n v="554.80999999999995"/>
    <n v="20"/>
    <n v="1331.5439999999999"/>
    <s v="COD"/>
    <x v="1"/>
  </r>
  <r>
    <n v="1314"/>
    <x v="1035"/>
    <n v="29"/>
    <s v="2024-03-15"/>
    <n v="2024"/>
    <x v="1"/>
    <n v="2"/>
    <n v="757"/>
    <n v="15"/>
    <n v="1286.8999999999999"/>
    <s v="COD"/>
    <x v="0"/>
  </r>
  <r>
    <n v="1315"/>
    <x v="1036"/>
    <n v="37"/>
    <s v="2024-02-27"/>
    <n v="2024"/>
    <x v="9"/>
    <n v="2"/>
    <n v="968.87"/>
    <n v="5"/>
    <n v="1840.8529999999998"/>
    <s v="Debit Card"/>
    <x v="1"/>
  </r>
  <r>
    <n v="1316"/>
    <x v="1036"/>
    <n v="52"/>
    <s v="2023-05-28"/>
    <n v="2023"/>
    <x v="0"/>
    <n v="1"/>
    <n v="256.76"/>
    <n v="20"/>
    <n v="205.40800000000002"/>
    <s v="UPI"/>
    <x v="1"/>
  </r>
  <r>
    <n v="1317"/>
    <x v="1036"/>
    <n v="60"/>
    <s v="2023-12-02"/>
    <n v="2023"/>
    <x v="2"/>
    <n v="1"/>
    <n v="830.49"/>
    <n v="0"/>
    <n v="830.49"/>
    <s v="COD"/>
    <x v="0"/>
  </r>
  <r>
    <n v="1318"/>
    <x v="1037"/>
    <n v="75"/>
    <s v="2023-12-01"/>
    <n v="2023"/>
    <x v="2"/>
    <n v="2"/>
    <n v="390.41"/>
    <n v="15"/>
    <n v="663.697"/>
    <s v="COD"/>
    <x v="2"/>
  </r>
  <r>
    <n v="1319"/>
    <x v="1037"/>
    <n v="25"/>
    <s v="2023-11-22"/>
    <n v="2023"/>
    <x v="11"/>
    <n v="1"/>
    <n v="1011.65"/>
    <n v="20"/>
    <n v="809.32"/>
    <s v="Debit Card"/>
    <x v="2"/>
  </r>
  <r>
    <n v="1320"/>
    <x v="1037"/>
    <n v="18"/>
    <s v="2023-11-09"/>
    <n v="2023"/>
    <x v="11"/>
    <n v="3"/>
    <n v="138.07"/>
    <n v="20"/>
    <n v="331.36799999999999"/>
    <s v="Credit Card"/>
    <x v="1"/>
  </r>
  <r>
    <n v="1321"/>
    <x v="1038"/>
    <n v="77"/>
    <s v="2023-10-20"/>
    <n v="2023"/>
    <x v="10"/>
    <n v="3"/>
    <n v="1078.19"/>
    <n v="15"/>
    <n v="2749.3845000000001"/>
    <s v="Credit Card"/>
    <x v="1"/>
  </r>
  <r>
    <n v="1322"/>
    <x v="1038"/>
    <n v="42"/>
    <s v="2023-11-09"/>
    <n v="2023"/>
    <x v="11"/>
    <n v="1"/>
    <n v="233.11"/>
    <n v="5"/>
    <n v="221.4545"/>
    <s v="Wallet"/>
    <x v="1"/>
  </r>
  <r>
    <n v="1323"/>
    <x v="1038"/>
    <n v="61"/>
    <s v="2023-12-17"/>
    <n v="2023"/>
    <x v="2"/>
    <n v="1"/>
    <n v="498.92"/>
    <n v="10"/>
    <n v="449.02800000000002"/>
    <s v="Credit Card"/>
    <x v="0"/>
  </r>
  <r>
    <n v="1324"/>
    <x v="1038"/>
    <n v="77"/>
    <s v="2024-03-28"/>
    <n v="2024"/>
    <x v="1"/>
    <n v="3"/>
    <n v="1078.19"/>
    <n v="15"/>
    <n v="2749.3845000000001"/>
    <s v="Wallet"/>
    <x v="1"/>
  </r>
  <r>
    <n v="1325"/>
    <x v="1039"/>
    <n v="66"/>
    <s v="2024-03-18"/>
    <n v="2024"/>
    <x v="1"/>
    <n v="1"/>
    <n v="783.37"/>
    <n v="5"/>
    <n v="744.20150000000001"/>
    <s v="COD"/>
    <x v="1"/>
  </r>
  <r>
    <n v="1326"/>
    <x v="1039"/>
    <n v="48"/>
    <s v="2024-01-06"/>
    <n v="2024"/>
    <x v="5"/>
    <n v="1"/>
    <n v="1125.8499999999999"/>
    <n v="5"/>
    <n v="1069.5574999999999"/>
    <s v="COD"/>
    <x v="0"/>
  </r>
  <r>
    <n v="1327"/>
    <x v="1039"/>
    <n v="26"/>
    <s v="2023-06-15"/>
    <n v="2023"/>
    <x v="4"/>
    <n v="1"/>
    <n v="272.61"/>
    <n v="10"/>
    <n v="245.34900000000002"/>
    <s v="Credit Card"/>
    <x v="1"/>
  </r>
  <r>
    <n v="1328"/>
    <x v="1039"/>
    <n v="4"/>
    <s v="2023-04-16"/>
    <n v="2023"/>
    <x v="3"/>
    <n v="3"/>
    <n v="800.26"/>
    <n v="15"/>
    <n v="2040.6629999999998"/>
    <s v="COD"/>
    <x v="2"/>
  </r>
  <r>
    <n v="1329"/>
    <x v="1040"/>
    <n v="32"/>
    <s v="2023-12-17"/>
    <n v="2023"/>
    <x v="2"/>
    <n v="3"/>
    <n v="342.57"/>
    <n v="15"/>
    <n v="873.55349999999999"/>
    <s v="Debit Card"/>
    <x v="0"/>
  </r>
  <r>
    <n v="1330"/>
    <x v="1040"/>
    <n v="23"/>
    <s v="2024-05-13"/>
    <n v="2024"/>
    <x v="0"/>
    <n v="2"/>
    <n v="258.08"/>
    <n v="20"/>
    <n v="412.928"/>
    <s v="Credit Card"/>
    <x v="1"/>
  </r>
  <r>
    <n v="1331"/>
    <x v="1040"/>
    <n v="78"/>
    <s v="2024-03-04"/>
    <n v="2024"/>
    <x v="1"/>
    <n v="2"/>
    <n v="795.77"/>
    <n v="5"/>
    <n v="1511.963"/>
    <s v="Debit Card"/>
    <x v="3"/>
  </r>
  <r>
    <n v="1332"/>
    <x v="1040"/>
    <n v="60"/>
    <s v="2024-01-05"/>
    <n v="2024"/>
    <x v="5"/>
    <n v="1"/>
    <n v="830.49"/>
    <n v="0"/>
    <n v="830.49"/>
    <s v="Credit Card"/>
    <x v="0"/>
  </r>
  <r>
    <n v="1333"/>
    <x v="1041"/>
    <n v="53"/>
    <s v="2024-03-19"/>
    <n v="2024"/>
    <x v="1"/>
    <n v="3"/>
    <n v="194.34"/>
    <n v="15"/>
    <n v="495.56699999999995"/>
    <s v="COD"/>
    <x v="1"/>
  </r>
  <r>
    <n v="1334"/>
    <x v="1041"/>
    <n v="10"/>
    <s v="2024-02-05"/>
    <n v="2024"/>
    <x v="9"/>
    <n v="2"/>
    <n v="64.11"/>
    <n v="10"/>
    <n v="115.398"/>
    <s v="Wallet"/>
    <x v="0"/>
  </r>
  <r>
    <n v="1335"/>
    <x v="1041"/>
    <n v="16"/>
    <s v="2024-01-02"/>
    <n v="2024"/>
    <x v="5"/>
    <n v="3"/>
    <n v="693.02"/>
    <n v="20"/>
    <n v="1663.248"/>
    <s v="Credit Card"/>
    <x v="1"/>
  </r>
  <r>
    <n v="1336"/>
    <x v="1041"/>
    <n v="57"/>
    <s v="2023-09-04"/>
    <n v="2023"/>
    <x v="8"/>
    <n v="3"/>
    <n v="768.03"/>
    <n v="0"/>
    <n v="2304.09"/>
    <s v="UPI"/>
    <x v="2"/>
  </r>
  <r>
    <n v="1337"/>
    <x v="1042"/>
    <n v="51"/>
    <s v="2024-02-29"/>
    <n v="2024"/>
    <x v="9"/>
    <n v="3"/>
    <n v="759.57"/>
    <n v="0"/>
    <n v="2278.71"/>
    <s v="UPI"/>
    <x v="3"/>
  </r>
  <r>
    <n v="1338"/>
    <x v="1042"/>
    <n v="52"/>
    <s v="2024-01-02"/>
    <n v="2024"/>
    <x v="5"/>
    <n v="3"/>
    <n v="256.76"/>
    <n v="15"/>
    <n v="654.73799999999994"/>
    <s v="COD"/>
    <x v="1"/>
  </r>
  <r>
    <n v="1339"/>
    <x v="1042"/>
    <n v="16"/>
    <s v="2023-02-23"/>
    <n v="2023"/>
    <x v="9"/>
    <n v="1"/>
    <n v="693.02"/>
    <n v="10"/>
    <n v="623.71799999999996"/>
    <s v="Wallet"/>
    <x v="1"/>
  </r>
  <r>
    <n v="1340"/>
    <x v="1043"/>
    <n v="15"/>
    <s v="2024-01-05"/>
    <n v="2024"/>
    <x v="5"/>
    <n v="1"/>
    <n v="1183.2"/>
    <n v="10"/>
    <n v="1064.8800000000001"/>
    <s v="COD"/>
    <x v="2"/>
  </r>
  <r>
    <n v="1341"/>
    <x v="1043"/>
    <n v="44"/>
    <s v="2023-03-14"/>
    <n v="2023"/>
    <x v="1"/>
    <n v="1"/>
    <n v="1038"/>
    <n v="15"/>
    <n v="882.3"/>
    <s v="Debit Card"/>
    <x v="1"/>
  </r>
  <r>
    <n v="1342"/>
    <x v="1043"/>
    <n v="34"/>
    <s v="2023-02-19"/>
    <n v="2023"/>
    <x v="9"/>
    <n v="2"/>
    <n v="523.98"/>
    <n v="0"/>
    <n v="1047.96"/>
    <s v="COD"/>
    <x v="1"/>
  </r>
  <r>
    <n v="1343"/>
    <x v="1043"/>
    <n v="63"/>
    <s v="2024-01-21"/>
    <n v="2024"/>
    <x v="5"/>
    <n v="1"/>
    <n v="309.79000000000002"/>
    <n v="10"/>
    <n v="278.81100000000004"/>
    <s v="UPI"/>
    <x v="2"/>
  </r>
  <r>
    <n v="1344"/>
    <x v="1044"/>
    <n v="38"/>
    <s v="2023-12-19"/>
    <n v="2023"/>
    <x v="2"/>
    <n v="2"/>
    <n v="802.88"/>
    <n v="10"/>
    <n v="1445.184"/>
    <s v="COD"/>
    <x v="1"/>
  </r>
  <r>
    <n v="1345"/>
    <x v="1044"/>
    <n v="34"/>
    <s v="2023-10-18"/>
    <n v="2023"/>
    <x v="10"/>
    <n v="2"/>
    <n v="523.98"/>
    <n v="20"/>
    <n v="838.36800000000005"/>
    <s v="Credit Card"/>
    <x v="1"/>
  </r>
  <r>
    <n v="1346"/>
    <x v="1044"/>
    <n v="18"/>
    <s v="2023-03-17"/>
    <n v="2023"/>
    <x v="1"/>
    <n v="3"/>
    <n v="138.07"/>
    <n v="10"/>
    <n v="372.78899999999999"/>
    <s v="Credit Card"/>
    <x v="1"/>
  </r>
  <r>
    <n v="1347"/>
    <x v="1044"/>
    <n v="29"/>
    <s v="2024-03-26"/>
    <n v="2024"/>
    <x v="1"/>
    <n v="2"/>
    <n v="757"/>
    <n v="20"/>
    <n v="1211.2"/>
    <s v="UPI"/>
    <x v="0"/>
  </r>
  <r>
    <n v="1348"/>
    <x v="1045"/>
    <n v="38"/>
    <s v="2023-06-07"/>
    <n v="2023"/>
    <x v="4"/>
    <n v="3"/>
    <n v="802.88"/>
    <n v="5"/>
    <n v="2288.2079999999996"/>
    <s v="Wallet"/>
    <x v="1"/>
  </r>
  <r>
    <n v="1349"/>
    <x v="1045"/>
    <n v="40"/>
    <s v="2023-09-01"/>
    <n v="2023"/>
    <x v="8"/>
    <n v="3"/>
    <n v="316.49"/>
    <n v="15"/>
    <n v="807.04949999999997"/>
    <s v="UPI"/>
    <x v="1"/>
  </r>
  <r>
    <n v="1350"/>
    <x v="1045"/>
    <n v="20"/>
    <s v="2024-01-16"/>
    <n v="2024"/>
    <x v="5"/>
    <n v="3"/>
    <n v="613.27"/>
    <n v="5"/>
    <n v="1747.8194999999998"/>
    <s v="Debit Card"/>
    <x v="1"/>
  </r>
  <r>
    <n v="1351"/>
    <x v="1046"/>
    <n v="78"/>
    <s v="2023-05-30"/>
    <n v="2023"/>
    <x v="0"/>
    <n v="2"/>
    <n v="795.77"/>
    <n v="10"/>
    <n v="1432.386"/>
    <s v="Debit Card"/>
    <x v="3"/>
  </r>
  <r>
    <n v="1352"/>
    <x v="1046"/>
    <n v="4"/>
    <s v="2024-03-11"/>
    <n v="2024"/>
    <x v="1"/>
    <n v="1"/>
    <n v="800.26"/>
    <n v="20"/>
    <n v="640.20800000000008"/>
    <s v="UPI"/>
    <x v="2"/>
  </r>
  <r>
    <n v="1353"/>
    <x v="1046"/>
    <n v="19"/>
    <s v="2023-10-27"/>
    <n v="2023"/>
    <x v="10"/>
    <n v="1"/>
    <n v="262.97000000000003"/>
    <n v="10"/>
    <n v="236.67300000000003"/>
    <s v="UPI"/>
    <x v="3"/>
  </r>
  <r>
    <n v="1354"/>
    <x v="1046"/>
    <n v="66"/>
    <s v="2024-01-17"/>
    <n v="2024"/>
    <x v="5"/>
    <n v="3"/>
    <n v="783.37"/>
    <n v="15"/>
    <n v="1997.5934999999999"/>
    <s v="COD"/>
    <x v="1"/>
  </r>
  <r>
    <n v="1355"/>
    <x v="1047"/>
    <n v="80"/>
    <s v="2024-04-05"/>
    <n v="2024"/>
    <x v="3"/>
    <n v="1"/>
    <n v="1014.45"/>
    <n v="10"/>
    <n v="913.00500000000011"/>
    <s v="Debit Card"/>
    <x v="3"/>
  </r>
  <r>
    <n v="1356"/>
    <x v="1047"/>
    <n v="76"/>
    <s v="2024-03-12"/>
    <n v="2024"/>
    <x v="1"/>
    <n v="3"/>
    <n v="1043.26"/>
    <n v="10"/>
    <n v="2816.8019999999997"/>
    <s v="Wallet"/>
    <x v="0"/>
  </r>
  <r>
    <n v="1357"/>
    <x v="1047"/>
    <n v="48"/>
    <s v="2023-07-13"/>
    <n v="2023"/>
    <x v="7"/>
    <n v="2"/>
    <n v="1125.8499999999999"/>
    <n v="5"/>
    <n v="2139.1149999999998"/>
    <s v="Wallet"/>
    <x v="0"/>
  </r>
  <r>
    <n v="1358"/>
    <x v="1047"/>
    <n v="62"/>
    <s v="2023-03-31"/>
    <n v="2023"/>
    <x v="1"/>
    <n v="2"/>
    <n v="196.96"/>
    <n v="15"/>
    <n v="334.83199999999999"/>
    <s v="Credit Card"/>
    <x v="2"/>
  </r>
  <r>
    <n v="1359"/>
    <x v="1048"/>
    <n v="9"/>
    <s v="2023-06-25"/>
    <n v="2023"/>
    <x v="4"/>
    <n v="1"/>
    <n v="43.26"/>
    <n v="10"/>
    <n v="38.933999999999997"/>
    <s v="Debit Card"/>
    <x v="2"/>
  </r>
  <r>
    <n v="1360"/>
    <x v="1048"/>
    <n v="29"/>
    <s v="2023-03-18"/>
    <n v="2023"/>
    <x v="1"/>
    <n v="2"/>
    <n v="757"/>
    <n v="20"/>
    <n v="1211.2"/>
    <s v="Credit Card"/>
    <x v="0"/>
  </r>
  <r>
    <n v="1361"/>
    <x v="1048"/>
    <n v="26"/>
    <s v="2023-07-02"/>
    <n v="2023"/>
    <x v="7"/>
    <n v="2"/>
    <n v="272.61"/>
    <n v="15"/>
    <n v="463.43700000000001"/>
    <s v="Wallet"/>
    <x v="1"/>
  </r>
  <r>
    <n v="1362"/>
    <x v="1048"/>
    <n v="2"/>
    <s v="2024-03-06"/>
    <n v="2024"/>
    <x v="1"/>
    <n v="3"/>
    <n v="427.27"/>
    <n v="20"/>
    <n v="1025.4480000000001"/>
    <s v="Debit Card"/>
    <x v="1"/>
  </r>
  <r>
    <n v="1363"/>
    <x v="1049"/>
    <n v="26"/>
    <s v="2023-07-06"/>
    <n v="2023"/>
    <x v="7"/>
    <n v="3"/>
    <n v="272.61"/>
    <n v="0"/>
    <n v="817.83"/>
    <s v="COD"/>
    <x v="1"/>
  </r>
  <r>
    <n v="1364"/>
    <x v="1049"/>
    <n v="13"/>
    <s v="2024-05-02"/>
    <n v="2024"/>
    <x v="0"/>
    <n v="2"/>
    <n v="334.61"/>
    <n v="20"/>
    <n v="535.37600000000009"/>
    <s v="Credit Card"/>
    <x v="1"/>
  </r>
  <r>
    <n v="1365"/>
    <x v="1049"/>
    <n v="35"/>
    <s v="2023-10-11"/>
    <n v="2023"/>
    <x v="10"/>
    <n v="3"/>
    <n v="958.87"/>
    <n v="20"/>
    <n v="2301.288"/>
    <s v="Credit Card"/>
    <x v="0"/>
  </r>
  <r>
    <n v="1366"/>
    <x v="1050"/>
    <n v="8"/>
    <s v="2023-08-17"/>
    <n v="2023"/>
    <x v="6"/>
    <n v="3"/>
    <n v="155.08000000000001"/>
    <n v="20"/>
    <n v="372.19200000000001"/>
    <s v="Debit Card"/>
    <x v="0"/>
  </r>
  <r>
    <n v="1367"/>
    <x v="1050"/>
    <n v="32"/>
    <s v="2023-05-12"/>
    <n v="2023"/>
    <x v="0"/>
    <n v="3"/>
    <n v="342.57"/>
    <n v="5"/>
    <n v="976.32449999999994"/>
    <s v="Debit Card"/>
    <x v="0"/>
  </r>
  <r>
    <n v="1368"/>
    <x v="1050"/>
    <n v="30"/>
    <s v="2023-12-20"/>
    <n v="2023"/>
    <x v="2"/>
    <n v="3"/>
    <n v="866.89"/>
    <n v="15"/>
    <n v="2210.5695000000001"/>
    <s v="Debit Card"/>
    <x v="2"/>
  </r>
  <r>
    <n v="1369"/>
    <x v="1050"/>
    <n v="6"/>
    <s v="2023-11-08"/>
    <n v="2023"/>
    <x v="11"/>
    <n v="2"/>
    <n v="719.19"/>
    <n v="20"/>
    <n v="1150.7040000000002"/>
    <s v="UPI"/>
    <x v="0"/>
  </r>
  <r>
    <n v="1370"/>
    <x v="1051"/>
    <n v="12"/>
    <s v="2024-01-16"/>
    <n v="2024"/>
    <x v="5"/>
    <n v="1"/>
    <n v="627.41999999999996"/>
    <n v="0"/>
    <n v="627.41999999999996"/>
    <s v="Debit Card"/>
    <x v="3"/>
  </r>
  <r>
    <n v="1371"/>
    <x v="1051"/>
    <n v="67"/>
    <s v="2023-06-05"/>
    <n v="2023"/>
    <x v="4"/>
    <n v="1"/>
    <n v="258.35000000000002"/>
    <n v="5"/>
    <n v="245.4325"/>
    <s v="Debit Card"/>
    <x v="2"/>
  </r>
  <r>
    <n v="1372"/>
    <x v="1051"/>
    <n v="32"/>
    <s v="2023-10-27"/>
    <n v="2023"/>
    <x v="10"/>
    <n v="3"/>
    <n v="342.57"/>
    <n v="15"/>
    <n v="873.55349999999999"/>
    <s v="COD"/>
    <x v="0"/>
  </r>
  <r>
    <n v="1373"/>
    <x v="1052"/>
    <n v="13"/>
    <s v="2023-10-02"/>
    <n v="2023"/>
    <x v="10"/>
    <n v="1"/>
    <n v="334.61"/>
    <n v="10"/>
    <n v="301.149"/>
    <s v="Credit Card"/>
    <x v="1"/>
  </r>
  <r>
    <n v="1374"/>
    <x v="1052"/>
    <n v="26"/>
    <s v="2023-09-02"/>
    <n v="2023"/>
    <x v="8"/>
    <n v="1"/>
    <n v="272.61"/>
    <n v="15"/>
    <n v="231.71850000000001"/>
    <s v="Credit Card"/>
    <x v="1"/>
  </r>
  <r>
    <n v="1375"/>
    <x v="1052"/>
    <n v="61"/>
    <s v="2023-04-12"/>
    <n v="2023"/>
    <x v="3"/>
    <n v="1"/>
    <n v="498.92"/>
    <n v="20"/>
    <n v="399.13600000000002"/>
    <s v="Wallet"/>
    <x v="0"/>
  </r>
  <r>
    <n v="1376"/>
    <x v="1052"/>
    <n v="28"/>
    <s v="2023-11-03"/>
    <n v="2023"/>
    <x v="11"/>
    <n v="2"/>
    <n v="494.39"/>
    <n v="10"/>
    <n v="889.90200000000004"/>
    <s v="Wallet"/>
    <x v="3"/>
  </r>
  <r>
    <n v="1377"/>
    <x v="1053"/>
    <n v="2"/>
    <s v="2023-10-25"/>
    <n v="2023"/>
    <x v="10"/>
    <n v="2"/>
    <n v="427.27"/>
    <n v="0"/>
    <n v="854.54"/>
    <s v="COD"/>
    <x v="1"/>
  </r>
  <r>
    <n v="1378"/>
    <x v="1053"/>
    <n v="25"/>
    <s v="2023-10-29"/>
    <n v="2023"/>
    <x v="10"/>
    <n v="3"/>
    <n v="1011.65"/>
    <n v="20"/>
    <n v="2427.96"/>
    <s v="COD"/>
    <x v="2"/>
  </r>
  <r>
    <n v="1379"/>
    <x v="1053"/>
    <n v="1"/>
    <s v="2023-05-09"/>
    <n v="2023"/>
    <x v="0"/>
    <n v="2"/>
    <n v="469.08"/>
    <n v="20"/>
    <n v="750.52800000000002"/>
    <s v="UPI"/>
    <x v="0"/>
  </r>
  <r>
    <n v="1380"/>
    <x v="1053"/>
    <n v="64"/>
    <s v="2023-11-20"/>
    <n v="2023"/>
    <x v="11"/>
    <n v="1"/>
    <n v="567.71"/>
    <n v="10"/>
    <n v="510.93900000000002"/>
    <s v="Wallet"/>
    <x v="0"/>
  </r>
  <r>
    <n v="1381"/>
    <x v="1054"/>
    <n v="62"/>
    <s v="2023-09-21"/>
    <n v="2023"/>
    <x v="8"/>
    <n v="2"/>
    <n v="196.96"/>
    <n v="10"/>
    <n v="354.52800000000002"/>
    <s v="UPI"/>
    <x v="2"/>
  </r>
  <r>
    <n v="1382"/>
    <x v="1054"/>
    <n v="69"/>
    <s v="2023-05-08"/>
    <n v="2023"/>
    <x v="0"/>
    <n v="2"/>
    <n v="951.81"/>
    <n v="10"/>
    <n v="1713.258"/>
    <s v="Wallet"/>
    <x v="0"/>
  </r>
  <r>
    <n v="1383"/>
    <x v="1054"/>
    <n v="65"/>
    <s v="2023-06-08"/>
    <n v="2023"/>
    <x v="4"/>
    <n v="3"/>
    <n v="1189.73"/>
    <n v="15"/>
    <n v="3033.8114999999998"/>
    <s v="Credit Card"/>
    <x v="1"/>
  </r>
  <r>
    <n v="1384"/>
    <x v="1054"/>
    <n v="24"/>
    <s v="2023-09-07"/>
    <n v="2023"/>
    <x v="8"/>
    <n v="1"/>
    <n v="1019.85"/>
    <n v="10"/>
    <n v="917.86500000000001"/>
    <s v="Wallet"/>
    <x v="3"/>
  </r>
  <r>
    <n v="1385"/>
    <x v="1055"/>
    <n v="61"/>
    <s v="2023-09-11"/>
    <n v="2023"/>
    <x v="8"/>
    <n v="1"/>
    <n v="498.92"/>
    <n v="5"/>
    <n v="473.97399999999999"/>
    <s v="Credit Card"/>
    <x v="0"/>
  </r>
  <r>
    <n v="1386"/>
    <x v="1055"/>
    <n v="56"/>
    <s v="2023-12-11"/>
    <n v="2023"/>
    <x v="2"/>
    <n v="2"/>
    <n v="396.01"/>
    <n v="0"/>
    <n v="792.02"/>
    <s v="COD"/>
    <x v="1"/>
  </r>
  <r>
    <n v="1387"/>
    <x v="1055"/>
    <n v="44"/>
    <s v="2023-11-23"/>
    <n v="2023"/>
    <x v="11"/>
    <n v="3"/>
    <n v="1038"/>
    <n v="20"/>
    <n v="2491.2000000000003"/>
    <s v="Debit Card"/>
    <x v="1"/>
  </r>
  <r>
    <n v="1388"/>
    <x v="1055"/>
    <n v="25"/>
    <s v="2024-02-03"/>
    <n v="2024"/>
    <x v="9"/>
    <n v="1"/>
    <n v="1011.65"/>
    <n v="5"/>
    <n v="961.06749999999988"/>
    <s v="Debit Card"/>
    <x v="2"/>
  </r>
  <r>
    <n v="1389"/>
    <x v="1056"/>
    <n v="40"/>
    <s v="2023-09-14"/>
    <n v="2023"/>
    <x v="8"/>
    <n v="2"/>
    <n v="316.49"/>
    <n v="10"/>
    <n v="569.68200000000002"/>
    <s v="Wallet"/>
    <x v="1"/>
  </r>
  <r>
    <n v="1390"/>
    <x v="1056"/>
    <n v="61"/>
    <s v="2023-02-22"/>
    <n v="2023"/>
    <x v="9"/>
    <n v="3"/>
    <n v="498.92"/>
    <n v="10"/>
    <n v="1347.0840000000001"/>
    <s v="Wallet"/>
    <x v="0"/>
  </r>
  <r>
    <n v="1391"/>
    <x v="1056"/>
    <n v="27"/>
    <s v="2023-10-20"/>
    <n v="2023"/>
    <x v="10"/>
    <n v="3"/>
    <n v="76.09"/>
    <n v="5"/>
    <n v="216.85650000000001"/>
    <s v="UPI"/>
    <x v="0"/>
  </r>
  <r>
    <n v="1392"/>
    <x v="1057"/>
    <n v="21"/>
    <s v="2023-04-09"/>
    <n v="2023"/>
    <x v="3"/>
    <n v="2"/>
    <n v="420.66"/>
    <n v="5"/>
    <n v="799.25400000000002"/>
    <s v="Debit Card"/>
    <x v="3"/>
  </r>
  <r>
    <n v="1393"/>
    <x v="1057"/>
    <n v="79"/>
    <s v="2023-12-06"/>
    <n v="2023"/>
    <x v="2"/>
    <n v="1"/>
    <n v="488.34"/>
    <n v="10"/>
    <n v="439.50599999999997"/>
    <s v="Wallet"/>
    <x v="2"/>
  </r>
  <r>
    <n v="1394"/>
    <x v="1057"/>
    <n v="61"/>
    <s v="2023-12-01"/>
    <n v="2023"/>
    <x v="2"/>
    <n v="3"/>
    <n v="498.92"/>
    <n v="15"/>
    <n v="1272.2459999999999"/>
    <s v="UPI"/>
    <x v="0"/>
  </r>
  <r>
    <n v="1395"/>
    <x v="1058"/>
    <n v="30"/>
    <s v="2024-04-22"/>
    <n v="2024"/>
    <x v="3"/>
    <n v="2"/>
    <n v="866.89"/>
    <n v="15"/>
    <n v="1473.713"/>
    <s v="UPI"/>
    <x v="2"/>
  </r>
  <r>
    <n v="1396"/>
    <x v="1058"/>
    <n v="48"/>
    <s v="2023-03-16"/>
    <n v="2023"/>
    <x v="1"/>
    <n v="2"/>
    <n v="1125.8499999999999"/>
    <n v="10"/>
    <n v="2026.53"/>
    <s v="UPI"/>
    <x v="0"/>
  </r>
  <r>
    <n v="1397"/>
    <x v="1058"/>
    <n v="41"/>
    <s v="2023-08-19"/>
    <n v="2023"/>
    <x v="6"/>
    <n v="2"/>
    <n v="554.80999999999995"/>
    <n v="15"/>
    <n v="943.17699999999991"/>
    <s v="Wallet"/>
    <x v="1"/>
  </r>
  <r>
    <n v="1398"/>
    <x v="1059"/>
    <n v="51"/>
    <s v="2024-01-26"/>
    <n v="2024"/>
    <x v="5"/>
    <n v="2"/>
    <n v="759.57"/>
    <n v="0"/>
    <n v="1519.14"/>
    <s v="COD"/>
    <x v="3"/>
  </r>
  <r>
    <n v="1399"/>
    <x v="1059"/>
    <n v="8"/>
    <s v="2024-05-10"/>
    <n v="2024"/>
    <x v="0"/>
    <n v="2"/>
    <n v="155.08000000000001"/>
    <n v="10"/>
    <n v="279.14400000000001"/>
    <s v="Debit Card"/>
    <x v="0"/>
  </r>
  <r>
    <n v="1400"/>
    <x v="1059"/>
    <n v="59"/>
    <s v="2024-01-28"/>
    <n v="2024"/>
    <x v="5"/>
    <n v="2"/>
    <n v="782.33"/>
    <n v="0"/>
    <n v="1564.66"/>
    <s v="Debit Card"/>
    <x v="0"/>
  </r>
  <r>
    <n v="1401"/>
    <x v="1060"/>
    <n v="27"/>
    <s v="2023-12-05"/>
    <n v="2023"/>
    <x v="2"/>
    <n v="3"/>
    <n v="76.09"/>
    <n v="10"/>
    <n v="205.44300000000001"/>
    <s v="UPI"/>
    <x v="0"/>
  </r>
  <r>
    <n v="1402"/>
    <x v="1060"/>
    <n v="48"/>
    <s v="2023-01-13"/>
    <n v="2023"/>
    <x v="5"/>
    <n v="2"/>
    <n v="1125.8499999999999"/>
    <n v="15"/>
    <n v="1913.9449999999997"/>
    <s v="COD"/>
    <x v="0"/>
  </r>
  <r>
    <n v="1403"/>
    <x v="1060"/>
    <n v="42"/>
    <s v="2023-10-13"/>
    <n v="2023"/>
    <x v="10"/>
    <n v="3"/>
    <n v="233.11"/>
    <n v="5"/>
    <n v="664.36350000000004"/>
    <s v="Debit Card"/>
    <x v="1"/>
  </r>
  <r>
    <n v="1404"/>
    <x v="1060"/>
    <n v="80"/>
    <s v="2023-09-15"/>
    <n v="2023"/>
    <x v="8"/>
    <n v="2"/>
    <n v="1014.45"/>
    <n v="10"/>
    <n v="1826.0100000000002"/>
    <s v="Credit Card"/>
    <x v="3"/>
  </r>
  <r>
    <n v="1405"/>
    <x v="1061"/>
    <n v="10"/>
    <s v="2023-05-05"/>
    <n v="2023"/>
    <x v="0"/>
    <n v="1"/>
    <n v="64.11"/>
    <n v="10"/>
    <n v="57.698999999999998"/>
    <s v="COD"/>
    <x v="0"/>
  </r>
  <r>
    <n v="1406"/>
    <x v="1061"/>
    <n v="76"/>
    <s v="2023-08-29"/>
    <n v="2023"/>
    <x v="6"/>
    <n v="1"/>
    <n v="1043.26"/>
    <n v="15"/>
    <n v="886.77099999999996"/>
    <s v="COD"/>
    <x v="0"/>
  </r>
  <r>
    <n v="1407"/>
    <x v="1061"/>
    <n v="32"/>
    <s v="2023-05-24"/>
    <n v="2023"/>
    <x v="0"/>
    <n v="3"/>
    <n v="342.57"/>
    <n v="20"/>
    <n v="822.16800000000012"/>
    <s v="COD"/>
    <x v="0"/>
  </r>
  <r>
    <n v="1408"/>
    <x v="1061"/>
    <n v="8"/>
    <s v="2023-02-21"/>
    <n v="2023"/>
    <x v="9"/>
    <n v="1"/>
    <n v="155.08000000000001"/>
    <n v="10"/>
    <n v="139.572"/>
    <s v="UPI"/>
    <x v="0"/>
  </r>
  <r>
    <n v="1409"/>
    <x v="1062"/>
    <n v="69"/>
    <s v="2023-07-09"/>
    <n v="2023"/>
    <x v="7"/>
    <n v="2"/>
    <n v="951.81"/>
    <n v="10"/>
    <n v="1713.258"/>
    <s v="Credit Card"/>
    <x v="0"/>
  </r>
  <r>
    <n v="1410"/>
    <x v="1062"/>
    <n v="61"/>
    <s v="2023-03-10"/>
    <n v="2023"/>
    <x v="1"/>
    <n v="3"/>
    <n v="498.92"/>
    <n v="0"/>
    <n v="1496.76"/>
    <s v="UPI"/>
    <x v="0"/>
  </r>
  <r>
    <n v="1411"/>
    <x v="1062"/>
    <n v="53"/>
    <s v="2024-02-27"/>
    <n v="2024"/>
    <x v="9"/>
    <n v="1"/>
    <n v="194.34"/>
    <n v="5"/>
    <n v="184.62299999999999"/>
    <s v="Wallet"/>
    <x v="1"/>
  </r>
  <r>
    <n v="1412"/>
    <x v="1062"/>
    <n v="39"/>
    <s v="2023-10-21"/>
    <n v="2023"/>
    <x v="10"/>
    <n v="1"/>
    <n v="256.08999999999997"/>
    <n v="20"/>
    <n v="204.87199999999999"/>
    <s v="Credit Card"/>
    <x v="0"/>
  </r>
  <r>
    <n v="1413"/>
    <x v="1063"/>
    <n v="57"/>
    <s v="2023-05-06"/>
    <n v="2023"/>
    <x v="0"/>
    <n v="2"/>
    <n v="768.03"/>
    <n v="20"/>
    <n v="1228.848"/>
    <s v="Wallet"/>
    <x v="2"/>
  </r>
  <r>
    <n v="1414"/>
    <x v="1063"/>
    <n v="34"/>
    <s v="2023-10-13"/>
    <n v="2023"/>
    <x v="10"/>
    <n v="3"/>
    <n v="523.98"/>
    <n v="10"/>
    <n v="1414.7460000000001"/>
    <s v="Credit Card"/>
    <x v="1"/>
  </r>
  <r>
    <n v="1415"/>
    <x v="1063"/>
    <n v="18"/>
    <s v="2024-01-31"/>
    <n v="2024"/>
    <x v="5"/>
    <n v="1"/>
    <n v="138.07"/>
    <n v="10"/>
    <n v="124.26299999999999"/>
    <s v="UPI"/>
    <x v="1"/>
  </r>
  <r>
    <n v="1416"/>
    <x v="1063"/>
    <n v="58"/>
    <s v="2024-01-18"/>
    <n v="2024"/>
    <x v="5"/>
    <n v="1"/>
    <n v="334.98"/>
    <n v="5"/>
    <n v="318.23099999999999"/>
    <s v="UPI"/>
    <x v="1"/>
  </r>
  <r>
    <n v="1417"/>
    <x v="1064"/>
    <n v="60"/>
    <s v="2023-04-27"/>
    <n v="2023"/>
    <x v="3"/>
    <n v="2"/>
    <n v="830.49"/>
    <n v="10"/>
    <n v="1494.8820000000001"/>
    <s v="UPI"/>
    <x v="0"/>
  </r>
  <r>
    <n v="1418"/>
    <x v="1064"/>
    <n v="26"/>
    <s v="2023-12-13"/>
    <n v="2023"/>
    <x v="2"/>
    <n v="3"/>
    <n v="272.61"/>
    <n v="10"/>
    <n v="736.04700000000003"/>
    <s v="UPI"/>
    <x v="1"/>
  </r>
  <r>
    <n v="1419"/>
    <x v="1064"/>
    <n v="78"/>
    <s v="2024-01-18"/>
    <n v="2024"/>
    <x v="5"/>
    <n v="1"/>
    <n v="795.77"/>
    <n v="5"/>
    <n v="755.98149999999998"/>
    <s v="Credit Card"/>
    <x v="3"/>
  </r>
  <r>
    <n v="1420"/>
    <x v="1065"/>
    <n v="53"/>
    <s v="2023-08-07"/>
    <n v="2023"/>
    <x v="6"/>
    <n v="2"/>
    <n v="194.34"/>
    <n v="15"/>
    <n v="330.37799999999999"/>
    <s v="Credit Card"/>
    <x v="1"/>
  </r>
  <r>
    <n v="1421"/>
    <x v="1065"/>
    <n v="68"/>
    <s v="2023-01-31"/>
    <n v="2023"/>
    <x v="5"/>
    <n v="3"/>
    <n v="180.99"/>
    <n v="10"/>
    <n v="488.67300000000006"/>
    <s v="Credit Card"/>
    <x v="0"/>
  </r>
  <r>
    <n v="1422"/>
    <x v="1065"/>
    <n v="73"/>
    <s v="2023-08-12"/>
    <n v="2023"/>
    <x v="6"/>
    <n v="1"/>
    <n v="943.04"/>
    <n v="20"/>
    <n v="754.43200000000002"/>
    <s v="UPI"/>
    <x v="1"/>
  </r>
  <r>
    <n v="1423"/>
    <x v="1066"/>
    <n v="69"/>
    <s v="2023-09-09"/>
    <n v="2023"/>
    <x v="8"/>
    <n v="2"/>
    <n v="951.81"/>
    <n v="20"/>
    <n v="1522.896"/>
    <s v="UPI"/>
    <x v="0"/>
  </r>
  <r>
    <n v="1424"/>
    <x v="1066"/>
    <n v="9"/>
    <s v="2024-01-12"/>
    <n v="2024"/>
    <x v="5"/>
    <n v="1"/>
    <n v="43.26"/>
    <n v="20"/>
    <n v="34.607999999999997"/>
    <s v="Credit Card"/>
    <x v="2"/>
  </r>
  <r>
    <n v="1425"/>
    <x v="1066"/>
    <n v="72"/>
    <s v="2024-02-04"/>
    <n v="2024"/>
    <x v="9"/>
    <n v="1"/>
    <n v="1157.27"/>
    <n v="20"/>
    <n v="925.81600000000003"/>
    <s v="Debit Card"/>
    <x v="2"/>
  </r>
  <r>
    <n v="1426"/>
    <x v="1066"/>
    <n v="66"/>
    <s v="2024-03-09"/>
    <n v="2024"/>
    <x v="1"/>
    <n v="1"/>
    <n v="783.37"/>
    <n v="20"/>
    <n v="626.69600000000003"/>
    <s v="COD"/>
    <x v="1"/>
  </r>
  <r>
    <n v="1427"/>
    <x v="1067"/>
    <n v="79"/>
    <s v="2023-11-29"/>
    <n v="2023"/>
    <x v="11"/>
    <n v="1"/>
    <n v="488.34"/>
    <n v="0"/>
    <n v="488.34"/>
    <s v="COD"/>
    <x v="2"/>
  </r>
  <r>
    <n v="1428"/>
    <x v="1067"/>
    <n v="36"/>
    <s v="2023-08-27"/>
    <n v="2023"/>
    <x v="6"/>
    <n v="2"/>
    <n v="992.01"/>
    <n v="5"/>
    <n v="1884.819"/>
    <s v="UPI"/>
    <x v="3"/>
  </r>
  <r>
    <n v="1429"/>
    <x v="1067"/>
    <n v="10"/>
    <s v="2023-04-04"/>
    <n v="2023"/>
    <x v="3"/>
    <n v="3"/>
    <n v="64.11"/>
    <n v="20"/>
    <n v="153.864"/>
    <s v="UPI"/>
    <x v="0"/>
  </r>
  <r>
    <n v="1430"/>
    <x v="1067"/>
    <n v="59"/>
    <s v="2023-09-28"/>
    <n v="2023"/>
    <x v="8"/>
    <n v="3"/>
    <n v="782.33"/>
    <n v="15"/>
    <n v="1994.9415000000001"/>
    <s v="Credit Card"/>
    <x v="0"/>
  </r>
  <r>
    <n v="1431"/>
    <x v="1068"/>
    <n v="52"/>
    <s v="2023-10-22"/>
    <n v="2023"/>
    <x v="10"/>
    <n v="2"/>
    <n v="256.76"/>
    <n v="0"/>
    <n v="513.52"/>
    <s v="Wallet"/>
    <x v="1"/>
  </r>
  <r>
    <n v="1432"/>
    <x v="1068"/>
    <n v="50"/>
    <s v="2023-01-10"/>
    <n v="2023"/>
    <x v="5"/>
    <n v="1"/>
    <n v="1122.8699999999999"/>
    <n v="5"/>
    <n v="1066.7264999999998"/>
    <s v="UPI"/>
    <x v="1"/>
  </r>
  <r>
    <n v="1433"/>
    <x v="1068"/>
    <n v="55"/>
    <s v="2023-03-19"/>
    <n v="2023"/>
    <x v="1"/>
    <n v="2"/>
    <n v="1016.06"/>
    <n v="5"/>
    <n v="1930.5139999999999"/>
    <s v="Wallet"/>
    <x v="0"/>
  </r>
  <r>
    <n v="1434"/>
    <x v="1069"/>
    <n v="42"/>
    <s v="2023-09-30"/>
    <n v="2023"/>
    <x v="8"/>
    <n v="2"/>
    <n v="233.11"/>
    <n v="5"/>
    <n v="442.90899999999999"/>
    <s v="Wallet"/>
    <x v="1"/>
  </r>
  <r>
    <n v="1435"/>
    <x v="1069"/>
    <n v="46"/>
    <s v="2024-04-02"/>
    <n v="2024"/>
    <x v="3"/>
    <n v="3"/>
    <n v="1155.3"/>
    <n v="20"/>
    <n v="2772.72"/>
    <s v="Debit Card"/>
    <x v="3"/>
  </r>
  <r>
    <n v="1436"/>
    <x v="1069"/>
    <n v="25"/>
    <s v="2024-01-31"/>
    <n v="2024"/>
    <x v="5"/>
    <n v="1"/>
    <n v="1011.65"/>
    <n v="5"/>
    <n v="961.06749999999988"/>
    <s v="UPI"/>
    <x v="2"/>
  </r>
  <r>
    <n v="1437"/>
    <x v="1069"/>
    <n v="24"/>
    <s v="2023-02-21"/>
    <n v="2023"/>
    <x v="9"/>
    <n v="1"/>
    <n v="1019.85"/>
    <n v="20"/>
    <n v="815.88000000000011"/>
    <s v="Wallet"/>
    <x v="3"/>
  </r>
  <r>
    <n v="1438"/>
    <x v="1070"/>
    <n v="6"/>
    <s v="2024-02-04"/>
    <n v="2024"/>
    <x v="9"/>
    <n v="1"/>
    <n v="719.19"/>
    <n v="20"/>
    <n v="575.35200000000009"/>
    <s v="UPI"/>
    <x v="0"/>
  </r>
  <r>
    <n v="1439"/>
    <x v="1070"/>
    <n v="9"/>
    <s v="2023-06-17"/>
    <n v="2023"/>
    <x v="4"/>
    <n v="2"/>
    <n v="43.26"/>
    <n v="5"/>
    <n v="82.193999999999988"/>
    <s v="Debit Card"/>
    <x v="2"/>
  </r>
  <r>
    <n v="1440"/>
    <x v="1070"/>
    <n v="26"/>
    <s v="2023-06-05"/>
    <n v="2023"/>
    <x v="4"/>
    <n v="1"/>
    <n v="272.61"/>
    <n v="15"/>
    <n v="231.71850000000001"/>
    <s v="UPI"/>
    <x v="1"/>
  </r>
  <r>
    <n v="1441"/>
    <x v="1070"/>
    <n v="30"/>
    <s v="2024-04-24"/>
    <n v="2024"/>
    <x v="3"/>
    <n v="1"/>
    <n v="866.89"/>
    <n v="10"/>
    <n v="780.20100000000002"/>
    <s v="Credit Card"/>
    <x v="2"/>
  </r>
  <r>
    <n v="1442"/>
    <x v="1071"/>
    <n v="18"/>
    <s v="2024-03-25"/>
    <n v="2024"/>
    <x v="1"/>
    <n v="2"/>
    <n v="138.07"/>
    <n v="0"/>
    <n v="276.14"/>
    <s v="COD"/>
    <x v="1"/>
  </r>
  <r>
    <n v="1443"/>
    <x v="1071"/>
    <n v="4"/>
    <s v="2023-08-16"/>
    <n v="2023"/>
    <x v="6"/>
    <n v="3"/>
    <n v="800.26"/>
    <n v="5"/>
    <n v="2280.7409999999995"/>
    <s v="COD"/>
    <x v="2"/>
  </r>
  <r>
    <n v="1444"/>
    <x v="1071"/>
    <n v="7"/>
    <s v="2023-08-17"/>
    <n v="2023"/>
    <x v="6"/>
    <n v="2"/>
    <n v="97.29"/>
    <n v="15"/>
    <n v="165.393"/>
    <s v="Debit Card"/>
    <x v="3"/>
  </r>
  <r>
    <n v="1445"/>
    <x v="1071"/>
    <n v="27"/>
    <s v="2024-01-30"/>
    <n v="2024"/>
    <x v="5"/>
    <n v="2"/>
    <n v="76.09"/>
    <n v="20"/>
    <n v="121.74400000000001"/>
    <s v="Credit Card"/>
    <x v="0"/>
  </r>
  <r>
    <n v="1446"/>
    <x v="1072"/>
    <n v="12"/>
    <s v="2024-05-11"/>
    <n v="2024"/>
    <x v="0"/>
    <n v="1"/>
    <n v="627.41999999999996"/>
    <n v="20"/>
    <n v="501.93599999999998"/>
    <s v="Wallet"/>
    <x v="3"/>
  </r>
  <r>
    <n v="1447"/>
    <x v="1072"/>
    <n v="67"/>
    <s v="2023-03-04"/>
    <n v="2023"/>
    <x v="1"/>
    <n v="1"/>
    <n v="258.35000000000002"/>
    <n v="5"/>
    <n v="245.4325"/>
    <s v="Credit Card"/>
    <x v="2"/>
  </r>
  <r>
    <n v="1448"/>
    <x v="1072"/>
    <n v="63"/>
    <s v="2024-01-15"/>
    <n v="2024"/>
    <x v="5"/>
    <n v="3"/>
    <n v="309.79000000000002"/>
    <n v="10"/>
    <n v="836.43300000000011"/>
    <s v="UPI"/>
    <x v="2"/>
  </r>
  <r>
    <n v="1449"/>
    <x v="1073"/>
    <n v="54"/>
    <s v="2023-04-08"/>
    <n v="2023"/>
    <x v="3"/>
    <n v="1"/>
    <n v="900.79"/>
    <n v="0"/>
    <n v="900.79"/>
    <s v="Wallet"/>
    <x v="2"/>
  </r>
  <r>
    <n v="1450"/>
    <x v="1073"/>
    <n v="47"/>
    <s v="2023-09-02"/>
    <n v="2023"/>
    <x v="8"/>
    <n v="2"/>
    <n v="1126.96"/>
    <n v="20"/>
    <n v="1803.1360000000002"/>
    <s v="Credit Card"/>
    <x v="3"/>
  </r>
  <r>
    <n v="1451"/>
    <x v="1073"/>
    <n v="59"/>
    <s v="2023-01-09"/>
    <n v="2023"/>
    <x v="5"/>
    <n v="1"/>
    <n v="782.33"/>
    <n v="15"/>
    <n v="664.98050000000001"/>
    <s v="COD"/>
    <x v="0"/>
  </r>
  <r>
    <n v="1452"/>
    <x v="1074"/>
    <n v="52"/>
    <s v="2024-05-07"/>
    <n v="2024"/>
    <x v="0"/>
    <n v="1"/>
    <n v="256.76"/>
    <n v="10"/>
    <n v="231.084"/>
    <s v="UPI"/>
    <x v="1"/>
  </r>
  <r>
    <n v="1453"/>
    <x v="1074"/>
    <n v="40"/>
    <s v="2024-03-04"/>
    <n v="2024"/>
    <x v="1"/>
    <n v="1"/>
    <n v="316.49"/>
    <n v="15"/>
    <n v="269.01650000000001"/>
    <s v="UPI"/>
    <x v="1"/>
  </r>
  <r>
    <n v="1454"/>
    <x v="1074"/>
    <n v="30"/>
    <s v="2023-12-26"/>
    <n v="2023"/>
    <x v="2"/>
    <n v="1"/>
    <n v="866.89"/>
    <n v="15"/>
    <n v="736.85649999999998"/>
    <s v="COD"/>
    <x v="2"/>
  </r>
  <r>
    <n v="1455"/>
    <x v="1074"/>
    <n v="3"/>
    <s v="2024-05-02"/>
    <n v="2024"/>
    <x v="0"/>
    <n v="2"/>
    <n v="506.08"/>
    <n v="10"/>
    <n v="910.94399999999996"/>
    <s v="Credit Card"/>
    <x v="0"/>
  </r>
  <r>
    <n v="1456"/>
    <x v="1075"/>
    <n v="19"/>
    <s v="2024-03-09"/>
    <n v="2024"/>
    <x v="1"/>
    <n v="1"/>
    <n v="262.97000000000003"/>
    <n v="5"/>
    <n v="249.82150000000001"/>
    <s v="Wallet"/>
    <x v="3"/>
  </r>
  <r>
    <n v="1457"/>
    <x v="1075"/>
    <n v="2"/>
    <s v="2023-03-07"/>
    <n v="2023"/>
    <x v="1"/>
    <n v="3"/>
    <n v="427.27"/>
    <n v="5"/>
    <n v="1217.7194999999999"/>
    <s v="Debit Card"/>
    <x v="1"/>
  </r>
  <r>
    <n v="1458"/>
    <x v="1075"/>
    <n v="61"/>
    <s v="2024-01-26"/>
    <n v="2024"/>
    <x v="5"/>
    <n v="1"/>
    <n v="498.92"/>
    <n v="0"/>
    <n v="498.92"/>
    <s v="Wallet"/>
    <x v="0"/>
  </r>
  <r>
    <n v="1459"/>
    <x v="1076"/>
    <n v="27"/>
    <s v="2024-03-19"/>
    <n v="2024"/>
    <x v="1"/>
    <n v="3"/>
    <n v="76.09"/>
    <n v="10"/>
    <n v="205.44300000000001"/>
    <s v="UPI"/>
    <x v="0"/>
  </r>
  <r>
    <n v="1460"/>
    <x v="1076"/>
    <n v="80"/>
    <s v="2023-08-01"/>
    <n v="2023"/>
    <x v="6"/>
    <n v="1"/>
    <n v="1014.45"/>
    <n v="15"/>
    <n v="862.28250000000003"/>
    <s v="Debit Card"/>
    <x v="3"/>
  </r>
  <r>
    <n v="1461"/>
    <x v="1076"/>
    <n v="23"/>
    <s v="2024-04-24"/>
    <n v="2024"/>
    <x v="3"/>
    <n v="3"/>
    <n v="258.08"/>
    <n v="5"/>
    <n v="735.52800000000002"/>
    <s v="Debit Card"/>
    <x v="1"/>
  </r>
  <r>
    <n v="1462"/>
    <x v="1077"/>
    <n v="47"/>
    <s v="2024-03-26"/>
    <n v="2024"/>
    <x v="1"/>
    <n v="1"/>
    <n v="1126.96"/>
    <n v="5"/>
    <n v="1070.6120000000001"/>
    <s v="Credit Card"/>
    <x v="3"/>
  </r>
  <r>
    <n v="1463"/>
    <x v="1077"/>
    <n v="64"/>
    <s v="2023-04-15"/>
    <n v="2023"/>
    <x v="3"/>
    <n v="2"/>
    <n v="567.71"/>
    <n v="15"/>
    <n v="965.10700000000008"/>
    <s v="UPI"/>
    <x v="0"/>
  </r>
  <r>
    <n v="1464"/>
    <x v="1077"/>
    <n v="34"/>
    <s v="2023-11-15"/>
    <n v="2023"/>
    <x v="11"/>
    <n v="2"/>
    <n v="523.98"/>
    <n v="0"/>
    <n v="1047.96"/>
    <s v="Credit Card"/>
    <x v="1"/>
  </r>
  <r>
    <n v="1465"/>
    <x v="1077"/>
    <n v="43"/>
    <s v="2023-01-15"/>
    <n v="2023"/>
    <x v="5"/>
    <n v="2"/>
    <n v="760.86"/>
    <n v="0"/>
    <n v="1521.72"/>
    <s v="Debit Card"/>
    <x v="2"/>
  </r>
  <r>
    <n v="1466"/>
    <x v="1078"/>
    <n v="53"/>
    <s v="2023-01-24"/>
    <n v="2023"/>
    <x v="5"/>
    <n v="3"/>
    <n v="194.34"/>
    <n v="15"/>
    <n v="495.56699999999995"/>
    <s v="Wallet"/>
    <x v="1"/>
  </r>
  <r>
    <n v="1467"/>
    <x v="1078"/>
    <n v="68"/>
    <s v="2023-03-28"/>
    <n v="2023"/>
    <x v="1"/>
    <n v="1"/>
    <n v="180.99"/>
    <n v="0"/>
    <n v="180.99"/>
    <s v="Credit Card"/>
    <x v="0"/>
  </r>
  <r>
    <n v="1468"/>
    <x v="1078"/>
    <n v="45"/>
    <s v="2024-04-04"/>
    <n v="2024"/>
    <x v="3"/>
    <n v="1"/>
    <n v="609.05999999999995"/>
    <n v="0"/>
    <n v="609.05999999999995"/>
    <s v="COD"/>
    <x v="3"/>
  </r>
  <r>
    <n v="1469"/>
    <x v="1078"/>
    <n v="9"/>
    <s v="2023-02-27"/>
    <n v="2023"/>
    <x v="9"/>
    <n v="2"/>
    <n v="43.26"/>
    <n v="15"/>
    <n v="73.542000000000002"/>
    <s v="COD"/>
    <x v="2"/>
  </r>
  <r>
    <n v="1470"/>
    <x v="1079"/>
    <n v="69"/>
    <s v="2023-08-14"/>
    <n v="2023"/>
    <x v="6"/>
    <n v="1"/>
    <n v="951.81"/>
    <n v="20"/>
    <n v="761.44799999999998"/>
    <s v="Credit Card"/>
    <x v="0"/>
  </r>
  <r>
    <n v="1471"/>
    <x v="1079"/>
    <n v="40"/>
    <s v="2023-09-01"/>
    <n v="2023"/>
    <x v="8"/>
    <n v="2"/>
    <n v="316.49"/>
    <n v="10"/>
    <n v="569.68200000000002"/>
    <s v="Debit Card"/>
    <x v="1"/>
  </r>
  <r>
    <n v="1472"/>
    <x v="1079"/>
    <n v="42"/>
    <s v="2023-12-03"/>
    <n v="2023"/>
    <x v="2"/>
    <n v="3"/>
    <n v="233.11"/>
    <n v="10"/>
    <n v="629.39700000000005"/>
    <s v="Wallet"/>
    <x v="1"/>
  </r>
  <r>
    <n v="1473"/>
    <x v="1079"/>
    <n v="13"/>
    <s v="2023-09-02"/>
    <n v="2023"/>
    <x v="8"/>
    <n v="2"/>
    <n v="334.61"/>
    <n v="20"/>
    <n v="535.37600000000009"/>
    <s v="Debit Card"/>
    <x v="1"/>
  </r>
  <r>
    <n v="1474"/>
    <x v="1080"/>
    <n v="17"/>
    <s v="2023-04-23"/>
    <n v="2023"/>
    <x v="3"/>
    <n v="3"/>
    <n v="695.6"/>
    <n v="5"/>
    <n v="1982.46"/>
    <s v="Debit Card"/>
    <x v="0"/>
  </r>
  <r>
    <n v="1475"/>
    <x v="1080"/>
    <n v="29"/>
    <s v="2023-12-04"/>
    <n v="2023"/>
    <x v="2"/>
    <n v="1"/>
    <n v="757"/>
    <n v="0"/>
    <n v="757"/>
    <s v="COD"/>
    <x v="0"/>
  </r>
  <r>
    <n v="1476"/>
    <x v="1080"/>
    <n v="37"/>
    <s v="2024-03-30"/>
    <n v="2024"/>
    <x v="1"/>
    <n v="3"/>
    <n v="968.87"/>
    <n v="0"/>
    <n v="2906.61"/>
    <s v="Debit Card"/>
    <x v="1"/>
  </r>
  <r>
    <n v="1477"/>
    <x v="1081"/>
    <n v="29"/>
    <s v="2023-05-09"/>
    <n v="2023"/>
    <x v="0"/>
    <n v="1"/>
    <n v="757"/>
    <n v="10"/>
    <n v="681.30000000000007"/>
    <s v="UPI"/>
    <x v="0"/>
  </r>
  <r>
    <n v="1478"/>
    <x v="1081"/>
    <n v="60"/>
    <s v="2023-12-09"/>
    <n v="2023"/>
    <x v="2"/>
    <n v="3"/>
    <n v="830.49"/>
    <n v="20"/>
    <n v="1993.1760000000004"/>
    <s v="Wallet"/>
    <x v="0"/>
  </r>
  <r>
    <n v="1479"/>
    <x v="1081"/>
    <n v="74"/>
    <s v="2024-03-28"/>
    <n v="2024"/>
    <x v="1"/>
    <n v="2"/>
    <n v="1034.31"/>
    <n v="5"/>
    <n v="1965.1889999999999"/>
    <s v="UPI"/>
    <x v="2"/>
  </r>
  <r>
    <n v="1480"/>
    <x v="1081"/>
    <n v="55"/>
    <s v="2023-07-11"/>
    <n v="2023"/>
    <x v="7"/>
    <n v="3"/>
    <n v="1016.06"/>
    <n v="5"/>
    <n v="2895.7709999999997"/>
    <s v="Wallet"/>
    <x v="0"/>
  </r>
  <r>
    <n v="1481"/>
    <x v="1082"/>
    <n v="5"/>
    <s v="2024-01-18"/>
    <n v="2024"/>
    <x v="5"/>
    <n v="2"/>
    <n v="296.85000000000002"/>
    <n v="0"/>
    <n v="593.70000000000005"/>
    <s v="Debit Card"/>
    <x v="0"/>
  </r>
  <r>
    <n v="1482"/>
    <x v="1082"/>
    <n v="24"/>
    <s v="2023-01-08"/>
    <n v="2023"/>
    <x v="5"/>
    <n v="1"/>
    <n v="1019.85"/>
    <n v="0"/>
    <n v="1019.85"/>
    <s v="Debit Card"/>
    <x v="3"/>
  </r>
  <r>
    <n v="1483"/>
    <x v="1082"/>
    <n v="21"/>
    <s v="2023-07-23"/>
    <n v="2023"/>
    <x v="7"/>
    <n v="2"/>
    <n v="420.66"/>
    <n v="0"/>
    <n v="841.32"/>
    <s v="Wallet"/>
    <x v="3"/>
  </r>
  <r>
    <n v="1484"/>
    <x v="1083"/>
    <n v="62"/>
    <s v="2023-09-05"/>
    <n v="2023"/>
    <x v="8"/>
    <n v="2"/>
    <n v="196.96"/>
    <n v="5"/>
    <n v="374.22399999999999"/>
    <s v="Wallet"/>
    <x v="2"/>
  </r>
  <r>
    <n v="1485"/>
    <x v="1083"/>
    <n v="52"/>
    <s v="2023-08-20"/>
    <n v="2023"/>
    <x v="6"/>
    <n v="1"/>
    <n v="256.76"/>
    <n v="15"/>
    <n v="218.24599999999998"/>
    <s v="Wallet"/>
    <x v="1"/>
  </r>
  <r>
    <n v="1486"/>
    <x v="1083"/>
    <n v="34"/>
    <s v="2023-10-07"/>
    <n v="2023"/>
    <x v="10"/>
    <n v="2"/>
    <n v="523.98"/>
    <n v="0"/>
    <n v="1047.96"/>
    <s v="UPI"/>
    <x v="1"/>
  </r>
  <r>
    <n v="1487"/>
    <x v="1083"/>
    <n v="66"/>
    <s v="2024-04-18"/>
    <n v="2024"/>
    <x v="3"/>
    <n v="2"/>
    <n v="783.37"/>
    <n v="10"/>
    <n v="1410.066"/>
    <s v="Debit Card"/>
    <x v="1"/>
  </r>
  <r>
    <n v="1488"/>
    <x v="1084"/>
    <n v="33"/>
    <s v="2023-06-24"/>
    <n v="2023"/>
    <x v="4"/>
    <n v="2"/>
    <n v="965.4"/>
    <n v="20"/>
    <n v="1544.64"/>
    <s v="COD"/>
    <x v="3"/>
  </r>
  <r>
    <n v="1489"/>
    <x v="1084"/>
    <n v="13"/>
    <s v="2023-12-09"/>
    <n v="2023"/>
    <x v="2"/>
    <n v="2"/>
    <n v="334.61"/>
    <n v="20"/>
    <n v="535.37600000000009"/>
    <s v="UPI"/>
    <x v="1"/>
  </r>
  <r>
    <n v="1490"/>
    <x v="1084"/>
    <n v="9"/>
    <s v="2024-02-05"/>
    <n v="2024"/>
    <x v="9"/>
    <n v="2"/>
    <n v="43.26"/>
    <n v="15"/>
    <n v="73.542000000000002"/>
    <s v="Credit Card"/>
    <x v="2"/>
  </r>
  <r>
    <n v="1491"/>
    <x v="1084"/>
    <n v="70"/>
    <s v="2023-03-06"/>
    <n v="2023"/>
    <x v="1"/>
    <n v="1"/>
    <n v="797.23"/>
    <n v="5"/>
    <n v="757.36849999999993"/>
    <s v="COD"/>
    <x v="0"/>
  </r>
  <r>
    <n v="1492"/>
    <x v="1085"/>
    <n v="15"/>
    <s v="2023-03-03"/>
    <n v="2023"/>
    <x v="1"/>
    <n v="3"/>
    <n v="1183.2"/>
    <n v="10"/>
    <n v="3194.6400000000003"/>
    <s v="Debit Card"/>
    <x v="2"/>
  </r>
  <r>
    <n v="1493"/>
    <x v="1085"/>
    <n v="45"/>
    <s v="2023-06-07"/>
    <n v="2023"/>
    <x v="4"/>
    <n v="2"/>
    <n v="609.05999999999995"/>
    <n v="15"/>
    <n v="1035.4019999999998"/>
    <s v="Wallet"/>
    <x v="3"/>
  </r>
  <r>
    <n v="1494"/>
    <x v="1085"/>
    <n v="11"/>
    <s v="2024-05-09"/>
    <n v="2024"/>
    <x v="0"/>
    <n v="3"/>
    <n v="1038.77"/>
    <n v="5"/>
    <n v="2960.4944999999998"/>
    <s v="COD"/>
    <x v="3"/>
  </r>
  <r>
    <n v="1495"/>
    <x v="1085"/>
    <n v="66"/>
    <s v="2023-04-10"/>
    <n v="2023"/>
    <x v="3"/>
    <n v="1"/>
    <n v="783.37"/>
    <n v="5"/>
    <n v="744.20150000000001"/>
    <s v="Credit Card"/>
    <x v="1"/>
  </r>
  <r>
    <n v="1496"/>
    <x v="1086"/>
    <n v="26"/>
    <s v="2024-01-11"/>
    <n v="2024"/>
    <x v="5"/>
    <n v="3"/>
    <n v="272.61"/>
    <n v="10"/>
    <n v="736.04700000000003"/>
    <s v="Wallet"/>
    <x v="1"/>
  </r>
  <r>
    <n v="1497"/>
    <x v="1086"/>
    <n v="77"/>
    <s v="2024-02-04"/>
    <n v="2024"/>
    <x v="9"/>
    <n v="1"/>
    <n v="1078.19"/>
    <n v="20"/>
    <n v="862.55200000000013"/>
    <s v="Wallet"/>
    <x v="1"/>
  </r>
  <r>
    <n v="1498"/>
    <x v="1086"/>
    <n v="68"/>
    <s v="2023-01-25"/>
    <n v="2023"/>
    <x v="5"/>
    <n v="3"/>
    <n v="180.99"/>
    <n v="10"/>
    <n v="488.67300000000006"/>
    <s v="Wallet"/>
    <x v="0"/>
  </r>
  <r>
    <n v="1499"/>
    <x v="1086"/>
    <n v="30"/>
    <s v="2023-12-22"/>
    <n v="2023"/>
    <x v="2"/>
    <n v="3"/>
    <n v="866.89"/>
    <n v="5"/>
    <n v="2470.6365000000001"/>
    <s v="UPI"/>
    <x v="2"/>
  </r>
  <r>
    <n v="1500"/>
    <x v="1087"/>
    <n v="21"/>
    <s v="2023-02-21"/>
    <n v="2023"/>
    <x v="9"/>
    <n v="3"/>
    <n v="420.66"/>
    <n v="5"/>
    <n v="1198.8809999999999"/>
    <s v="Wallet"/>
    <x v="3"/>
  </r>
  <r>
    <n v="1501"/>
    <x v="1087"/>
    <n v="29"/>
    <s v="2024-03-07"/>
    <n v="2024"/>
    <x v="1"/>
    <n v="3"/>
    <n v="757"/>
    <n v="5"/>
    <n v="2157.4499999999998"/>
    <s v="Wallet"/>
    <x v="0"/>
  </r>
  <r>
    <n v="1502"/>
    <x v="1087"/>
    <n v="79"/>
    <s v="2023-08-06"/>
    <n v="2023"/>
    <x v="6"/>
    <n v="1"/>
    <n v="488.34"/>
    <n v="10"/>
    <n v="439.50599999999997"/>
    <s v="Credit Card"/>
    <x v="2"/>
  </r>
  <r>
    <n v="1503"/>
    <x v="1087"/>
    <n v="52"/>
    <s v="2023-06-01"/>
    <n v="2023"/>
    <x v="4"/>
    <n v="2"/>
    <n v="256.76"/>
    <n v="20"/>
    <n v="410.81600000000003"/>
    <s v="COD"/>
    <x v="1"/>
  </r>
  <r>
    <n v="1504"/>
    <x v="1088"/>
    <n v="61"/>
    <s v="2023-08-28"/>
    <n v="2023"/>
    <x v="6"/>
    <n v="2"/>
    <n v="498.92"/>
    <n v="5"/>
    <n v="947.94799999999998"/>
    <s v="UPI"/>
    <x v="0"/>
  </r>
  <r>
    <n v="1505"/>
    <x v="1088"/>
    <n v="1"/>
    <s v="2023-02-08"/>
    <n v="2023"/>
    <x v="9"/>
    <n v="2"/>
    <n v="469.08"/>
    <n v="20"/>
    <n v="750.52800000000002"/>
    <s v="UPI"/>
    <x v="0"/>
  </r>
  <r>
    <n v="1506"/>
    <x v="1088"/>
    <n v="27"/>
    <s v="2024-04-17"/>
    <n v="2024"/>
    <x v="3"/>
    <n v="3"/>
    <n v="76.09"/>
    <n v="20"/>
    <n v="182.61600000000001"/>
    <s v="Wallet"/>
    <x v="0"/>
  </r>
  <r>
    <n v="1507"/>
    <x v="1089"/>
    <n v="9"/>
    <s v="2023-01-31"/>
    <n v="2023"/>
    <x v="5"/>
    <n v="2"/>
    <n v="43.26"/>
    <n v="5"/>
    <n v="82.193999999999988"/>
    <s v="Debit Card"/>
    <x v="2"/>
  </r>
  <r>
    <n v="1508"/>
    <x v="1089"/>
    <n v="62"/>
    <s v="2024-02-26"/>
    <n v="2024"/>
    <x v="9"/>
    <n v="1"/>
    <n v="196.96"/>
    <n v="5"/>
    <n v="187.11199999999999"/>
    <s v="COD"/>
    <x v="2"/>
  </r>
  <r>
    <n v="1509"/>
    <x v="1089"/>
    <n v="21"/>
    <s v="2023-11-27"/>
    <n v="2023"/>
    <x v="11"/>
    <n v="2"/>
    <n v="420.66"/>
    <n v="15"/>
    <n v="715.12200000000007"/>
    <s v="Wallet"/>
    <x v="3"/>
  </r>
  <r>
    <n v="1510"/>
    <x v="1090"/>
    <n v="25"/>
    <s v="2023-05-08"/>
    <n v="2023"/>
    <x v="0"/>
    <n v="2"/>
    <n v="1011.65"/>
    <n v="0"/>
    <n v="2023.3"/>
    <s v="Debit Card"/>
    <x v="2"/>
  </r>
  <r>
    <n v="1511"/>
    <x v="1090"/>
    <n v="36"/>
    <s v="2023-03-13"/>
    <n v="2023"/>
    <x v="1"/>
    <n v="2"/>
    <n v="992.01"/>
    <n v="0"/>
    <n v="1984.02"/>
    <s v="Wallet"/>
    <x v="3"/>
  </r>
  <r>
    <n v="1512"/>
    <x v="1090"/>
    <n v="20"/>
    <s v="2023-04-16"/>
    <n v="2023"/>
    <x v="3"/>
    <n v="2"/>
    <n v="613.27"/>
    <n v="5"/>
    <n v="1165.213"/>
    <s v="UPI"/>
    <x v="1"/>
  </r>
  <r>
    <n v="1513"/>
    <x v="1090"/>
    <n v="42"/>
    <s v="2023-01-06"/>
    <n v="2023"/>
    <x v="5"/>
    <n v="3"/>
    <n v="233.11"/>
    <n v="0"/>
    <n v="699.33"/>
    <s v="Wallet"/>
    <x v="1"/>
  </r>
  <r>
    <n v="1514"/>
    <x v="1091"/>
    <n v="40"/>
    <s v="2023-09-26"/>
    <n v="2023"/>
    <x v="8"/>
    <n v="1"/>
    <n v="316.49"/>
    <n v="20"/>
    <n v="253.19200000000001"/>
    <s v="COD"/>
    <x v="1"/>
  </r>
  <r>
    <n v="1515"/>
    <x v="1091"/>
    <n v="30"/>
    <s v="2023-12-05"/>
    <n v="2023"/>
    <x v="2"/>
    <n v="2"/>
    <n v="866.89"/>
    <n v="10"/>
    <n v="1560.402"/>
    <s v="Credit Card"/>
    <x v="2"/>
  </r>
  <r>
    <n v="1516"/>
    <x v="1091"/>
    <n v="70"/>
    <s v="2024-01-16"/>
    <n v="2024"/>
    <x v="5"/>
    <n v="3"/>
    <n v="797.23"/>
    <n v="15"/>
    <n v="2032.9365"/>
    <s v="Debit Card"/>
    <x v="0"/>
  </r>
  <r>
    <n v="1517"/>
    <x v="1092"/>
    <n v="10"/>
    <s v="2024-03-26"/>
    <n v="2024"/>
    <x v="1"/>
    <n v="3"/>
    <n v="64.11"/>
    <n v="10"/>
    <n v="173.09699999999998"/>
    <s v="UPI"/>
    <x v="0"/>
  </r>
  <r>
    <n v="1518"/>
    <x v="1092"/>
    <n v="6"/>
    <s v="2023-07-15"/>
    <n v="2023"/>
    <x v="7"/>
    <n v="2"/>
    <n v="719.19"/>
    <n v="0"/>
    <n v="1438.38"/>
    <s v="COD"/>
    <x v="0"/>
  </r>
  <r>
    <n v="1519"/>
    <x v="1092"/>
    <n v="55"/>
    <s v="2023-10-27"/>
    <n v="2023"/>
    <x v="10"/>
    <n v="1"/>
    <n v="1016.06"/>
    <n v="15"/>
    <n v="863.65099999999995"/>
    <s v="UPI"/>
    <x v="0"/>
  </r>
  <r>
    <n v="1520"/>
    <x v="1092"/>
    <n v="29"/>
    <s v="2023-09-25"/>
    <n v="2023"/>
    <x v="8"/>
    <n v="1"/>
    <n v="757"/>
    <n v="0"/>
    <n v="757"/>
    <s v="Wallet"/>
    <x v="0"/>
  </r>
  <r>
    <n v="1521"/>
    <x v="1093"/>
    <n v="77"/>
    <s v="2024-03-18"/>
    <n v="2024"/>
    <x v="1"/>
    <n v="2"/>
    <n v="1078.19"/>
    <n v="5"/>
    <n v="2048.5610000000001"/>
    <s v="COD"/>
    <x v="1"/>
  </r>
  <r>
    <n v="1522"/>
    <x v="1093"/>
    <n v="56"/>
    <s v="2023-08-04"/>
    <n v="2023"/>
    <x v="6"/>
    <n v="1"/>
    <n v="396.01"/>
    <n v="0"/>
    <n v="396.01"/>
    <s v="UPI"/>
    <x v="1"/>
  </r>
  <r>
    <n v="1523"/>
    <x v="1093"/>
    <n v="36"/>
    <s v="2024-04-08"/>
    <n v="2024"/>
    <x v="3"/>
    <n v="2"/>
    <n v="992.01"/>
    <n v="20"/>
    <n v="1587.2160000000001"/>
    <s v="UPI"/>
    <x v="3"/>
  </r>
  <r>
    <n v="1524"/>
    <x v="1093"/>
    <n v="54"/>
    <s v="2023-12-08"/>
    <n v="2023"/>
    <x v="2"/>
    <n v="2"/>
    <n v="900.79"/>
    <n v="10"/>
    <n v="1621.422"/>
    <s v="Credit Card"/>
    <x v="2"/>
  </r>
  <r>
    <n v="1525"/>
    <x v="1094"/>
    <n v="2"/>
    <s v="2023-02-21"/>
    <n v="2023"/>
    <x v="9"/>
    <n v="3"/>
    <n v="427.27"/>
    <n v="15"/>
    <n v="1089.5384999999999"/>
    <s v="Debit Card"/>
    <x v="1"/>
  </r>
  <r>
    <n v="1526"/>
    <x v="1094"/>
    <n v="75"/>
    <s v="2023-09-11"/>
    <n v="2023"/>
    <x v="8"/>
    <n v="1"/>
    <n v="390.41"/>
    <n v="20"/>
    <n v="312.32800000000003"/>
    <s v="COD"/>
    <x v="2"/>
  </r>
  <r>
    <n v="1527"/>
    <x v="1094"/>
    <n v="35"/>
    <s v="2023-02-23"/>
    <n v="2023"/>
    <x v="9"/>
    <n v="3"/>
    <n v="958.87"/>
    <n v="15"/>
    <n v="2445.1185"/>
    <s v="Wallet"/>
    <x v="0"/>
  </r>
  <r>
    <n v="1528"/>
    <x v="1094"/>
    <n v="78"/>
    <s v="2024-03-04"/>
    <n v="2024"/>
    <x v="1"/>
    <n v="3"/>
    <n v="795.77"/>
    <n v="15"/>
    <n v="2029.2134999999998"/>
    <s v="Wallet"/>
    <x v="3"/>
  </r>
  <r>
    <n v="1529"/>
    <x v="1095"/>
    <n v="67"/>
    <s v="2024-03-21"/>
    <n v="2024"/>
    <x v="1"/>
    <n v="3"/>
    <n v="258.35000000000002"/>
    <n v="15"/>
    <n v="658.79250000000002"/>
    <s v="Credit Card"/>
    <x v="2"/>
  </r>
  <r>
    <n v="1530"/>
    <x v="1095"/>
    <n v="78"/>
    <s v="2023-02-25"/>
    <n v="2023"/>
    <x v="9"/>
    <n v="3"/>
    <n v="795.77"/>
    <n v="0"/>
    <n v="2387.31"/>
    <s v="Wallet"/>
    <x v="3"/>
  </r>
  <r>
    <n v="1531"/>
    <x v="1095"/>
    <n v="13"/>
    <s v="2023-03-02"/>
    <n v="2023"/>
    <x v="1"/>
    <n v="1"/>
    <n v="334.61"/>
    <n v="10"/>
    <n v="301.149"/>
    <s v="Wallet"/>
    <x v="1"/>
  </r>
  <r>
    <n v="1532"/>
    <x v="1095"/>
    <n v="78"/>
    <s v="2023-08-04"/>
    <n v="2023"/>
    <x v="6"/>
    <n v="2"/>
    <n v="795.77"/>
    <n v="0"/>
    <n v="1591.54"/>
    <s v="UPI"/>
    <x v="3"/>
  </r>
  <r>
    <n v="1533"/>
    <x v="1096"/>
    <n v="57"/>
    <s v="2024-03-12"/>
    <n v="2024"/>
    <x v="1"/>
    <n v="2"/>
    <n v="768.03"/>
    <n v="20"/>
    <n v="1228.848"/>
    <s v="Wallet"/>
    <x v="2"/>
  </r>
  <r>
    <n v="1534"/>
    <x v="1096"/>
    <n v="5"/>
    <s v="2024-04-26"/>
    <n v="2024"/>
    <x v="3"/>
    <n v="2"/>
    <n v="296.85000000000002"/>
    <n v="15"/>
    <n v="504.64500000000004"/>
    <s v="Credit Card"/>
    <x v="0"/>
  </r>
  <r>
    <n v="1535"/>
    <x v="1096"/>
    <n v="28"/>
    <s v="2023-10-18"/>
    <n v="2023"/>
    <x v="10"/>
    <n v="1"/>
    <n v="494.39"/>
    <n v="0"/>
    <n v="494.39"/>
    <s v="UPI"/>
    <x v="3"/>
  </r>
  <r>
    <n v="1536"/>
    <x v="1097"/>
    <n v="13"/>
    <s v="2023-05-30"/>
    <n v="2023"/>
    <x v="0"/>
    <n v="2"/>
    <n v="334.61"/>
    <n v="0"/>
    <n v="669.22"/>
    <s v="COD"/>
    <x v="1"/>
  </r>
  <r>
    <n v="1537"/>
    <x v="1097"/>
    <n v="33"/>
    <s v="2023-07-03"/>
    <n v="2023"/>
    <x v="7"/>
    <n v="3"/>
    <n v="965.4"/>
    <n v="10"/>
    <n v="2606.58"/>
    <s v="UPI"/>
    <x v="3"/>
  </r>
  <r>
    <n v="1538"/>
    <x v="1097"/>
    <n v="32"/>
    <s v="2023-05-22"/>
    <n v="2023"/>
    <x v="0"/>
    <n v="2"/>
    <n v="342.57"/>
    <n v="0"/>
    <n v="685.14"/>
    <s v="UPI"/>
    <x v="0"/>
  </r>
  <r>
    <n v="1539"/>
    <x v="1098"/>
    <n v="59"/>
    <s v="2023-12-24"/>
    <n v="2023"/>
    <x v="2"/>
    <n v="3"/>
    <n v="782.33"/>
    <n v="10"/>
    <n v="2112.2910000000002"/>
    <s v="Debit Card"/>
    <x v="0"/>
  </r>
  <r>
    <n v="1540"/>
    <x v="1098"/>
    <n v="27"/>
    <s v="2023-10-13"/>
    <n v="2023"/>
    <x v="10"/>
    <n v="3"/>
    <n v="76.09"/>
    <n v="10"/>
    <n v="205.44300000000001"/>
    <s v="COD"/>
    <x v="0"/>
  </r>
  <r>
    <n v="1541"/>
    <x v="1098"/>
    <n v="45"/>
    <s v="2024-02-04"/>
    <n v="2024"/>
    <x v="9"/>
    <n v="1"/>
    <n v="609.05999999999995"/>
    <n v="15"/>
    <n v="517.70099999999991"/>
    <s v="Credit Card"/>
    <x v="3"/>
  </r>
  <r>
    <n v="1542"/>
    <x v="1099"/>
    <n v="43"/>
    <s v="2023-06-30"/>
    <n v="2023"/>
    <x v="4"/>
    <n v="3"/>
    <n v="760.86"/>
    <n v="20"/>
    <n v="1826.0640000000001"/>
    <s v="Debit Card"/>
    <x v="2"/>
  </r>
  <r>
    <n v="1543"/>
    <x v="1099"/>
    <n v="41"/>
    <s v="2024-02-29"/>
    <n v="2024"/>
    <x v="9"/>
    <n v="2"/>
    <n v="554.80999999999995"/>
    <n v="0"/>
    <n v="1109.6199999999999"/>
    <s v="Credit Card"/>
    <x v="1"/>
  </r>
  <r>
    <n v="1544"/>
    <x v="1099"/>
    <n v="52"/>
    <s v="2023-06-10"/>
    <n v="2023"/>
    <x v="4"/>
    <n v="3"/>
    <n v="256.76"/>
    <n v="15"/>
    <n v="654.73799999999994"/>
    <s v="Debit Card"/>
    <x v="1"/>
  </r>
  <r>
    <n v="1545"/>
    <x v="1099"/>
    <n v="49"/>
    <s v="2023-04-14"/>
    <n v="2023"/>
    <x v="3"/>
    <n v="2"/>
    <n v="974.54"/>
    <n v="15"/>
    <n v="1656.7179999999998"/>
    <s v="UPI"/>
    <x v="1"/>
  </r>
  <r>
    <n v="1546"/>
    <x v="1100"/>
    <n v="44"/>
    <s v="2024-02-17"/>
    <n v="2024"/>
    <x v="9"/>
    <n v="2"/>
    <n v="1038"/>
    <n v="10"/>
    <n v="1868.4"/>
    <s v="Debit Card"/>
    <x v="1"/>
  </r>
  <r>
    <n v="1547"/>
    <x v="1100"/>
    <n v="22"/>
    <s v="2023-06-15"/>
    <n v="2023"/>
    <x v="4"/>
    <n v="1"/>
    <n v="373.43"/>
    <n v="0"/>
    <n v="373.43"/>
    <s v="Debit Card"/>
    <x v="3"/>
  </r>
  <r>
    <n v="1548"/>
    <x v="1100"/>
    <n v="75"/>
    <s v="2023-06-08"/>
    <n v="2023"/>
    <x v="4"/>
    <n v="3"/>
    <n v="390.41"/>
    <n v="20"/>
    <n v="936.98400000000004"/>
    <s v="UPI"/>
    <x v="2"/>
  </r>
  <r>
    <n v="1549"/>
    <x v="1101"/>
    <n v="72"/>
    <s v="2023-10-03"/>
    <n v="2023"/>
    <x v="10"/>
    <n v="1"/>
    <n v="1157.27"/>
    <n v="15"/>
    <n v="983.67949999999996"/>
    <s v="Wallet"/>
    <x v="2"/>
  </r>
  <r>
    <n v="1550"/>
    <x v="1101"/>
    <n v="10"/>
    <s v="2023-04-12"/>
    <n v="2023"/>
    <x v="3"/>
    <n v="1"/>
    <n v="64.11"/>
    <n v="0"/>
    <n v="64.11"/>
    <s v="Wallet"/>
    <x v="0"/>
  </r>
  <r>
    <n v="1551"/>
    <x v="1101"/>
    <n v="52"/>
    <s v="2024-03-12"/>
    <n v="2024"/>
    <x v="1"/>
    <n v="2"/>
    <n v="256.76"/>
    <n v="5"/>
    <n v="487.84399999999994"/>
    <s v="UPI"/>
    <x v="1"/>
  </r>
  <r>
    <n v="1552"/>
    <x v="1102"/>
    <n v="69"/>
    <s v="2023-07-01"/>
    <n v="2023"/>
    <x v="7"/>
    <n v="2"/>
    <n v="951.81"/>
    <n v="5"/>
    <n v="1808.4389999999999"/>
    <s v="COD"/>
    <x v="0"/>
  </r>
  <r>
    <n v="1553"/>
    <x v="1102"/>
    <n v="14"/>
    <s v="2024-03-08"/>
    <n v="2024"/>
    <x v="1"/>
    <n v="3"/>
    <n v="574.25"/>
    <n v="10"/>
    <n v="1550.4750000000001"/>
    <s v="Wallet"/>
    <x v="3"/>
  </r>
  <r>
    <n v="1554"/>
    <x v="1102"/>
    <n v="73"/>
    <s v="2024-05-12"/>
    <n v="2024"/>
    <x v="0"/>
    <n v="1"/>
    <n v="943.04"/>
    <n v="10"/>
    <n v="848.73599999999999"/>
    <s v="Debit Card"/>
    <x v="1"/>
  </r>
  <r>
    <n v="1555"/>
    <x v="1102"/>
    <n v="57"/>
    <s v="2024-02-27"/>
    <n v="2024"/>
    <x v="9"/>
    <n v="1"/>
    <n v="768.03"/>
    <n v="5"/>
    <n v="729.62849999999992"/>
    <s v="Wallet"/>
    <x v="2"/>
  </r>
  <r>
    <n v="1556"/>
    <x v="1103"/>
    <n v="20"/>
    <s v="2023-12-08"/>
    <n v="2023"/>
    <x v="2"/>
    <n v="2"/>
    <n v="613.27"/>
    <n v="0"/>
    <n v="1226.54"/>
    <s v="COD"/>
    <x v="1"/>
  </r>
  <r>
    <n v="1557"/>
    <x v="1103"/>
    <n v="29"/>
    <s v="2024-03-02"/>
    <n v="2024"/>
    <x v="1"/>
    <n v="3"/>
    <n v="757"/>
    <n v="5"/>
    <n v="2157.4499999999998"/>
    <s v="Debit Card"/>
    <x v="0"/>
  </r>
  <r>
    <n v="1558"/>
    <x v="1103"/>
    <n v="29"/>
    <s v="2023-08-14"/>
    <n v="2023"/>
    <x v="6"/>
    <n v="3"/>
    <n v="757"/>
    <n v="5"/>
    <n v="2157.4499999999998"/>
    <s v="Debit Card"/>
    <x v="0"/>
  </r>
  <r>
    <n v="1559"/>
    <x v="1104"/>
    <n v="2"/>
    <s v="2023-06-01"/>
    <n v="2023"/>
    <x v="4"/>
    <n v="1"/>
    <n v="427.27"/>
    <n v="0"/>
    <n v="427.27"/>
    <s v="Wallet"/>
    <x v="1"/>
  </r>
  <r>
    <n v="1560"/>
    <x v="1104"/>
    <n v="62"/>
    <s v="2024-03-05"/>
    <n v="2024"/>
    <x v="1"/>
    <n v="2"/>
    <n v="196.96"/>
    <n v="15"/>
    <n v="334.83199999999999"/>
    <s v="Wallet"/>
    <x v="2"/>
  </r>
  <r>
    <n v="1561"/>
    <x v="1104"/>
    <n v="71"/>
    <s v="2023-10-18"/>
    <n v="2023"/>
    <x v="10"/>
    <n v="1"/>
    <n v="780.27"/>
    <n v="15"/>
    <n v="663.22949999999992"/>
    <s v="Debit Card"/>
    <x v="2"/>
  </r>
  <r>
    <n v="1562"/>
    <x v="1104"/>
    <n v="67"/>
    <s v="2023-10-25"/>
    <n v="2023"/>
    <x v="10"/>
    <n v="2"/>
    <n v="258.35000000000002"/>
    <n v="20"/>
    <n v="413.36000000000007"/>
    <s v="COD"/>
    <x v="2"/>
  </r>
  <r>
    <n v="1563"/>
    <x v="1105"/>
    <n v="34"/>
    <s v="2023-12-28"/>
    <n v="2023"/>
    <x v="2"/>
    <n v="2"/>
    <n v="523.98"/>
    <n v="10"/>
    <n v="943.1640000000001"/>
    <s v="COD"/>
    <x v="1"/>
  </r>
  <r>
    <n v="1564"/>
    <x v="1105"/>
    <n v="48"/>
    <s v="2023-07-06"/>
    <n v="2023"/>
    <x v="7"/>
    <n v="1"/>
    <n v="1125.8499999999999"/>
    <n v="10"/>
    <n v="1013.265"/>
    <s v="Wallet"/>
    <x v="0"/>
  </r>
  <r>
    <n v="1565"/>
    <x v="1105"/>
    <n v="46"/>
    <s v="2023-02-09"/>
    <n v="2023"/>
    <x v="9"/>
    <n v="3"/>
    <n v="1155.3"/>
    <n v="5"/>
    <n v="3292.6049999999996"/>
    <s v="UPI"/>
    <x v="3"/>
  </r>
  <r>
    <n v="1566"/>
    <x v="1105"/>
    <n v="32"/>
    <s v="2024-02-12"/>
    <n v="2024"/>
    <x v="9"/>
    <n v="3"/>
    <n v="342.57"/>
    <n v="20"/>
    <n v="822.16800000000012"/>
    <s v="Debit Card"/>
    <x v="0"/>
  </r>
  <r>
    <n v="1567"/>
    <x v="1106"/>
    <n v="13"/>
    <s v="2024-04-14"/>
    <n v="2024"/>
    <x v="3"/>
    <n v="3"/>
    <n v="334.61"/>
    <n v="15"/>
    <n v="853.25549999999998"/>
    <s v="Wallet"/>
    <x v="1"/>
  </r>
  <r>
    <n v="1568"/>
    <x v="1106"/>
    <n v="41"/>
    <s v="2023-02-23"/>
    <n v="2023"/>
    <x v="9"/>
    <n v="3"/>
    <n v="554.80999999999995"/>
    <n v="5"/>
    <n v="1581.2084999999997"/>
    <s v="UPI"/>
    <x v="1"/>
  </r>
  <r>
    <n v="1569"/>
    <x v="1106"/>
    <n v="71"/>
    <s v="2024-02-25"/>
    <n v="2024"/>
    <x v="9"/>
    <n v="1"/>
    <n v="780.27"/>
    <n v="15"/>
    <n v="663.22949999999992"/>
    <s v="UPI"/>
    <x v="2"/>
  </r>
  <r>
    <n v="1570"/>
    <x v="1107"/>
    <n v="74"/>
    <s v="2024-03-04"/>
    <n v="2024"/>
    <x v="1"/>
    <n v="1"/>
    <n v="1034.31"/>
    <n v="15"/>
    <n v="879.16349999999989"/>
    <s v="Wallet"/>
    <x v="2"/>
  </r>
  <r>
    <n v="1571"/>
    <x v="1107"/>
    <n v="57"/>
    <s v="2023-09-12"/>
    <n v="2023"/>
    <x v="8"/>
    <n v="3"/>
    <n v="768.03"/>
    <n v="15"/>
    <n v="1958.4765"/>
    <s v="Credit Card"/>
    <x v="2"/>
  </r>
  <r>
    <n v="1572"/>
    <x v="1107"/>
    <n v="22"/>
    <s v="2023-01-12"/>
    <n v="2023"/>
    <x v="5"/>
    <n v="3"/>
    <n v="373.43"/>
    <n v="15"/>
    <n v="952.24649999999997"/>
    <s v="Wallet"/>
    <x v="3"/>
  </r>
  <r>
    <n v="1573"/>
    <x v="1108"/>
    <n v="8"/>
    <s v="2024-04-03"/>
    <n v="2024"/>
    <x v="3"/>
    <n v="2"/>
    <n v="155.08000000000001"/>
    <n v="15"/>
    <n v="263.63600000000002"/>
    <s v="Debit Card"/>
    <x v="0"/>
  </r>
  <r>
    <n v="1574"/>
    <x v="1108"/>
    <n v="9"/>
    <s v="2023-12-16"/>
    <n v="2023"/>
    <x v="2"/>
    <n v="2"/>
    <n v="43.26"/>
    <n v="0"/>
    <n v="86.52"/>
    <s v="UPI"/>
    <x v="2"/>
  </r>
  <r>
    <n v="1575"/>
    <x v="1108"/>
    <n v="73"/>
    <s v="2023-05-10"/>
    <n v="2023"/>
    <x v="0"/>
    <n v="3"/>
    <n v="943.04"/>
    <n v="0"/>
    <n v="2829.12"/>
    <s v="Wallet"/>
    <x v="1"/>
  </r>
  <r>
    <n v="1576"/>
    <x v="1109"/>
    <n v="63"/>
    <s v="2023-08-09"/>
    <n v="2023"/>
    <x v="6"/>
    <n v="3"/>
    <n v="309.79000000000002"/>
    <n v="5"/>
    <n v="882.90150000000006"/>
    <s v="COD"/>
    <x v="2"/>
  </r>
  <r>
    <n v="1577"/>
    <x v="1109"/>
    <n v="28"/>
    <s v="2023-12-05"/>
    <n v="2023"/>
    <x v="2"/>
    <n v="2"/>
    <n v="494.39"/>
    <n v="10"/>
    <n v="889.90200000000004"/>
    <s v="Wallet"/>
    <x v="3"/>
  </r>
  <r>
    <n v="1578"/>
    <x v="1109"/>
    <n v="39"/>
    <s v="2023-06-19"/>
    <n v="2023"/>
    <x v="4"/>
    <n v="1"/>
    <n v="256.08999999999997"/>
    <n v="20"/>
    <n v="204.87199999999999"/>
    <s v="Wallet"/>
    <x v="0"/>
  </r>
  <r>
    <n v="1579"/>
    <x v="1110"/>
    <n v="53"/>
    <s v="2023-03-15"/>
    <n v="2023"/>
    <x v="1"/>
    <n v="3"/>
    <n v="194.34"/>
    <n v="20"/>
    <n v="466.416"/>
    <s v="UPI"/>
    <x v="1"/>
  </r>
  <r>
    <n v="1580"/>
    <x v="1110"/>
    <n v="1"/>
    <s v="2024-05-12"/>
    <n v="2024"/>
    <x v="0"/>
    <n v="3"/>
    <n v="469.08"/>
    <n v="0"/>
    <n v="1407.24"/>
    <s v="UPI"/>
    <x v="0"/>
  </r>
  <r>
    <n v="1581"/>
    <x v="1110"/>
    <n v="76"/>
    <s v="2023-03-03"/>
    <n v="2023"/>
    <x v="1"/>
    <n v="1"/>
    <n v="1043.26"/>
    <n v="20"/>
    <n v="834.60800000000006"/>
    <s v="Credit Card"/>
    <x v="0"/>
  </r>
  <r>
    <n v="1582"/>
    <x v="1111"/>
    <n v="68"/>
    <s v="2023-07-31"/>
    <n v="2023"/>
    <x v="7"/>
    <n v="3"/>
    <n v="180.99"/>
    <n v="5"/>
    <n v="515.82150000000001"/>
    <s v="Debit Card"/>
    <x v="0"/>
  </r>
  <r>
    <n v="1583"/>
    <x v="1111"/>
    <n v="32"/>
    <s v="2023-11-04"/>
    <n v="2023"/>
    <x v="11"/>
    <n v="1"/>
    <n v="342.57"/>
    <n v="5"/>
    <n v="325.44149999999996"/>
    <s v="Credit Card"/>
    <x v="0"/>
  </r>
  <r>
    <n v="1584"/>
    <x v="1111"/>
    <n v="64"/>
    <s v="2024-01-09"/>
    <n v="2024"/>
    <x v="5"/>
    <n v="1"/>
    <n v="567.71"/>
    <n v="10"/>
    <n v="510.93900000000002"/>
    <s v="Credit Card"/>
    <x v="0"/>
  </r>
  <r>
    <n v="1585"/>
    <x v="1111"/>
    <n v="13"/>
    <s v="2024-04-29"/>
    <n v="2024"/>
    <x v="3"/>
    <n v="2"/>
    <n v="334.61"/>
    <n v="20"/>
    <n v="535.37600000000009"/>
    <s v="COD"/>
    <x v="1"/>
  </r>
  <r>
    <n v="1586"/>
    <x v="1112"/>
    <n v="53"/>
    <s v="2023-07-15"/>
    <n v="2023"/>
    <x v="7"/>
    <n v="3"/>
    <n v="194.34"/>
    <n v="15"/>
    <n v="495.56699999999995"/>
    <s v="Debit Card"/>
    <x v="1"/>
  </r>
  <r>
    <n v="1587"/>
    <x v="1112"/>
    <n v="44"/>
    <s v="2023-04-04"/>
    <n v="2023"/>
    <x v="3"/>
    <n v="1"/>
    <n v="1038"/>
    <n v="10"/>
    <n v="934.2"/>
    <s v="UPI"/>
    <x v="1"/>
  </r>
  <r>
    <n v="1588"/>
    <x v="1112"/>
    <n v="23"/>
    <s v="2023-12-29"/>
    <n v="2023"/>
    <x v="2"/>
    <n v="2"/>
    <n v="258.08"/>
    <n v="10"/>
    <n v="464.54399999999998"/>
    <s v="COD"/>
    <x v="1"/>
  </r>
  <r>
    <n v="1589"/>
    <x v="1112"/>
    <n v="12"/>
    <s v="2023-04-05"/>
    <n v="2023"/>
    <x v="3"/>
    <n v="2"/>
    <n v="627.41999999999996"/>
    <n v="15"/>
    <n v="1066.6139999999998"/>
    <s v="Debit Card"/>
    <x v="3"/>
  </r>
  <r>
    <n v="1590"/>
    <x v="1113"/>
    <n v="30"/>
    <s v="2023-06-29"/>
    <n v="2023"/>
    <x v="4"/>
    <n v="3"/>
    <n v="866.89"/>
    <n v="0"/>
    <n v="2600.67"/>
    <s v="UPI"/>
    <x v="2"/>
  </r>
  <r>
    <n v="1591"/>
    <x v="1113"/>
    <n v="58"/>
    <s v="2024-01-20"/>
    <n v="2024"/>
    <x v="5"/>
    <n v="1"/>
    <n v="334.98"/>
    <n v="20"/>
    <n v="267.98400000000004"/>
    <s v="UPI"/>
    <x v="1"/>
  </r>
  <r>
    <n v="1592"/>
    <x v="1113"/>
    <n v="3"/>
    <s v="2024-03-26"/>
    <n v="2024"/>
    <x v="1"/>
    <n v="3"/>
    <n v="506.08"/>
    <n v="0"/>
    <n v="1518.24"/>
    <s v="Wallet"/>
    <x v="0"/>
  </r>
  <r>
    <n v="1593"/>
    <x v="1113"/>
    <n v="8"/>
    <s v="2023-12-16"/>
    <n v="2023"/>
    <x v="2"/>
    <n v="2"/>
    <n v="155.08000000000001"/>
    <n v="0"/>
    <n v="310.16000000000003"/>
    <s v="Debit Card"/>
    <x v="0"/>
  </r>
  <r>
    <n v="1594"/>
    <x v="1114"/>
    <n v="1"/>
    <s v="2024-05-08"/>
    <n v="2024"/>
    <x v="0"/>
    <n v="3"/>
    <n v="469.08"/>
    <n v="0"/>
    <n v="1407.24"/>
    <s v="Credit Card"/>
    <x v="0"/>
  </r>
  <r>
    <n v="1595"/>
    <x v="1114"/>
    <n v="42"/>
    <s v="2023-07-16"/>
    <n v="2023"/>
    <x v="7"/>
    <n v="2"/>
    <n v="233.11"/>
    <n v="0"/>
    <n v="466.22"/>
    <s v="Wallet"/>
    <x v="1"/>
  </r>
  <r>
    <n v="1596"/>
    <x v="1114"/>
    <n v="73"/>
    <s v="2023-07-11"/>
    <n v="2023"/>
    <x v="7"/>
    <n v="1"/>
    <n v="943.04"/>
    <n v="5"/>
    <n v="895.88799999999992"/>
    <s v="Debit Card"/>
    <x v="1"/>
  </r>
  <r>
    <n v="1597"/>
    <x v="1114"/>
    <n v="80"/>
    <s v="2023-09-13"/>
    <n v="2023"/>
    <x v="8"/>
    <n v="1"/>
    <n v="1014.45"/>
    <n v="20"/>
    <n v="811.56000000000006"/>
    <s v="Debit Card"/>
    <x v="3"/>
  </r>
  <r>
    <n v="1598"/>
    <x v="1115"/>
    <n v="45"/>
    <s v="2023-02-19"/>
    <n v="2023"/>
    <x v="9"/>
    <n v="3"/>
    <n v="609.05999999999995"/>
    <n v="5"/>
    <n v="1735.8209999999997"/>
    <s v="Wallet"/>
    <x v="3"/>
  </r>
  <r>
    <n v="1599"/>
    <x v="1115"/>
    <n v="48"/>
    <s v="2023-10-21"/>
    <n v="2023"/>
    <x v="10"/>
    <n v="1"/>
    <n v="1125.8499999999999"/>
    <n v="15"/>
    <n v="956.97249999999985"/>
    <s v="Debit Card"/>
    <x v="0"/>
  </r>
  <r>
    <n v="1600"/>
    <x v="1115"/>
    <n v="65"/>
    <s v="2023-03-18"/>
    <n v="2023"/>
    <x v="1"/>
    <n v="2"/>
    <n v="1189.73"/>
    <n v="0"/>
    <n v="2379.46"/>
    <s v="Wallet"/>
    <x v="1"/>
  </r>
  <r>
    <n v="1601"/>
    <x v="1116"/>
    <n v="5"/>
    <s v="2024-04-23"/>
    <n v="2024"/>
    <x v="3"/>
    <n v="3"/>
    <n v="296.85000000000002"/>
    <n v="0"/>
    <n v="890.55000000000007"/>
    <s v="UPI"/>
    <x v="0"/>
  </r>
  <r>
    <n v="1602"/>
    <x v="1116"/>
    <n v="38"/>
    <s v="2023-02-25"/>
    <n v="2023"/>
    <x v="9"/>
    <n v="2"/>
    <n v="802.88"/>
    <n v="5"/>
    <n v="1525.472"/>
    <s v="Wallet"/>
    <x v="1"/>
  </r>
  <r>
    <n v="1603"/>
    <x v="1116"/>
    <n v="67"/>
    <s v="2023-03-27"/>
    <n v="2023"/>
    <x v="1"/>
    <n v="1"/>
    <n v="258.35000000000002"/>
    <n v="15"/>
    <n v="219.59750000000003"/>
    <s v="Debit Card"/>
    <x v="2"/>
  </r>
  <r>
    <n v="1604"/>
    <x v="1116"/>
    <n v="78"/>
    <s v="2023-03-21"/>
    <n v="2023"/>
    <x v="1"/>
    <n v="3"/>
    <n v="795.77"/>
    <n v="10"/>
    <n v="2148.5790000000002"/>
    <s v="COD"/>
    <x v="3"/>
  </r>
  <r>
    <n v="1605"/>
    <x v="1117"/>
    <n v="71"/>
    <s v="2024-03-01"/>
    <n v="2024"/>
    <x v="1"/>
    <n v="2"/>
    <n v="780.27"/>
    <n v="15"/>
    <n v="1326.4589999999998"/>
    <s v="Credit Card"/>
    <x v="2"/>
  </r>
  <r>
    <n v="1606"/>
    <x v="1117"/>
    <n v="71"/>
    <s v="2023-02-03"/>
    <n v="2023"/>
    <x v="9"/>
    <n v="2"/>
    <n v="780.27"/>
    <n v="5"/>
    <n v="1482.5129999999999"/>
    <s v="UPI"/>
    <x v="2"/>
  </r>
  <r>
    <n v="1607"/>
    <x v="1117"/>
    <n v="19"/>
    <s v="2023-05-03"/>
    <n v="2023"/>
    <x v="0"/>
    <n v="2"/>
    <n v="262.97000000000003"/>
    <n v="5"/>
    <n v="499.64300000000003"/>
    <s v="COD"/>
    <x v="3"/>
  </r>
  <r>
    <n v="1608"/>
    <x v="1118"/>
    <n v="6"/>
    <s v="2023-07-03"/>
    <n v="2023"/>
    <x v="7"/>
    <n v="1"/>
    <n v="719.19"/>
    <n v="15"/>
    <n v="611.31150000000002"/>
    <s v="Wallet"/>
    <x v="0"/>
  </r>
  <r>
    <n v="1609"/>
    <x v="1118"/>
    <n v="13"/>
    <s v="2024-03-10"/>
    <n v="2024"/>
    <x v="1"/>
    <n v="3"/>
    <n v="334.61"/>
    <n v="0"/>
    <n v="1003.83"/>
    <s v="UPI"/>
    <x v="1"/>
  </r>
  <r>
    <n v="1610"/>
    <x v="1118"/>
    <n v="68"/>
    <s v="2023-10-16"/>
    <n v="2023"/>
    <x v="10"/>
    <n v="3"/>
    <n v="180.99"/>
    <n v="20"/>
    <n v="434.37600000000003"/>
    <s v="Wallet"/>
    <x v="0"/>
  </r>
  <r>
    <n v="1611"/>
    <x v="1118"/>
    <n v="51"/>
    <s v="2024-01-23"/>
    <n v="2024"/>
    <x v="5"/>
    <n v="3"/>
    <n v="759.57"/>
    <n v="5"/>
    <n v="2164.7745"/>
    <s v="UPI"/>
    <x v="3"/>
  </r>
  <r>
    <n v="1612"/>
    <x v="1119"/>
    <n v="42"/>
    <s v="2023-03-11"/>
    <n v="2023"/>
    <x v="1"/>
    <n v="2"/>
    <n v="233.11"/>
    <n v="5"/>
    <n v="442.90899999999999"/>
    <s v="UPI"/>
    <x v="1"/>
  </r>
  <r>
    <n v="1613"/>
    <x v="1119"/>
    <n v="55"/>
    <s v="2023-07-26"/>
    <n v="2023"/>
    <x v="7"/>
    <n v="2"/>
    <n v="1016.06"/>
    <n v="15"/>
    <n v="1727.3019999999999"/>
    <s v="Credit Card"/>
    <x v="0"/>
  </r>
  <r>
    <n v="1614"/>
    <x v="1119"/>
    <n v="63"/>
    <s v="2023-01-13"/>
    <n v="2023"/>
    <x v="5"/>
    <n v="2"/>
    <n v="309.79000000000002"/>
    <n v="0"/>
    <n v="619.58000000000004"/>
    <s v="UPI"/>
    <x v="2"/>
  </r>
  <r>
    <n v="1615"/>
    <x v="1119"/>
    <n v="72"/>
    <s v="2023-09-05"/>
    <n v="2023"/>
    <x v="8"/>
    <n v="3"/>
    <n v="1157.27"/>
    <n v="15"/>
    <n v="2951.0384999999997"/>
    <s v="UPI"/>
    <x v="2"/>
  </r>
  <r>
    <n v="1616"/>
    <x v="1120"/>
    <n v="64"/>
    <s v="2024-02-07"/>
    <n v="2024"/>
    <x v="9"/>
    <n v="2"/>
    <n v="567.71"/>
    <n v="0"/>
    <n v="1135.42"/>
    <s v="Wallet"/>
    <x v="0"/>
  </r>
  <r>
    <n v="1617"/>
    <x v="1120"/>
    <n v="6"/>
    <s v="2023-04-07"/>
    <n v="2023"/>
    <x v="3"/>
    <n v="1"/>
    <n v="719.19"/>
    <n v="10"/>
    <n v="647.27100000000007"/>
    <s v="Wallet"/>
    <x v="0"/>
  </r>
  <r>
    <n v="1618"/>
    <x v="1120"/>
    <n v="74"/>
    <s v="2023-10-05"/>
    <n v="2023"/>
    <x v="10"/>
    <n v="1"/>
    <n v="1034.31"/>
    <n v="10"/>
    <n v="930.87900000000002"/>
    <s v="Credit Card"/>
    <x v="2"/>
  </r>
  <r>
    <n v="1619"/>
    <x v="1121"/>
    <n v="69"/>
    <s v="2023-01-15"/>
    <n v="2023"/>
    <x v="5"/>
    <n v="1"/>
    <n v="951.81"/>
    <n v="10"/>
    <n v="856.62900000000002"/>
    <s v="COD"/>
    <x v="0"/>
  </r>
  <r>
    <n v="1620"/>
    <x v="1121"/>
    <n v="25"/>
    <s v="2023-06-30"/>
    <n v="2023"/>
    <x v="4"/>
    <n v="3"/>
    <n v="1011.65"/>
    <n v="0"/>
    <n v="3034.95"/>
    <s v="COD"/>
    <x v="2"/>
  </r>
  <r>
    <n v="1621"/>
    <x v="1121"/>
    <n v="66"/>
    <s v="2023-09-26"/>
    <n v="2023"/>
    <x v="8"/>
    <n v="1"/>
    <n v="783.37"/>
    <n v="20"/>
    <n v="626.69600000000003"/>
    <s v="UPI"/>
    <x v="1"/>
  </r>
  <r>
    <n v="1622"/>
    <x v="1122"/>
    <n v="6"/>
    <s v="2024-04-11"/>
    <n v="2024"/>
    <x v="3"/>
    <n v="1"/>
    <n v="719.19"/>
    <n v="0"/>
    <n v="719.19"/>
    <s v="COD"/>
    <x v="0"/>
  </r>
  <r>
    <n v="1623"/>
    <x v="1122"/>
    <n v="24"/>
    <s v="2024-04-01"/>
    <n v="2024"/>
    <x v="3"/>
    <n v="1"/>
    <n v="1019.85"/>
    <n v="10"/>
    <n v="917.86500000000001"/>
    <s v="Credit Card"/>
    <x v="3"/>
  </r>
  <r>
    <n v="1624"/>
    <x v="1122"/>
    <n v="27"/>
    <s v="2023-09-11"/>
    <n v="2023"/>
    <x v="8"/>
    <n v="1"/>
    <n v="76.09"/>
    <n v="20"/>
    <n v="60.872000000000007"/>
    <s v="Wallet"/>
    <x v="0"/>
  </r>
  <r>
    <n v="1625"/>
    <x v="1122"/>
    <n v="2"/>
    <s v="2023-01-24"/>
    <n v="2023"/>
    <x v="5"/>
    <n v="2"/>
    <n v="427.27"/>
    <n v="5"/>
    <n v="811.81299999999987"/>
    <s v="Credit Card"/>
    <x v="1"/>
  </r>
  <r>
    <n v="1626"/>
    <x v="1123"/>
    <n v="38"/>
    <s v="2023-01-03"/>
    <n v="2023"/>
    <x v="5"/>
    <n v="1"/>
    <n v="802.88"/>
    <n v="10"/>
    <n v="722.59199999999998"/>
    <s v="Debit Card"/>
    <x v="1"/>
  </r>
  <r>
    <n v="1627"/>
    <x v="1123"/>
    <n v="50"/>
    <s v="2024-02-28"/>
    <n v="2024"/>
    <x v="9"/>
    <n v="1"/>
    <n v="1122.8699999999999"/>
    <n v="10"/>
    <n v="1010.583"/>
    <s v="COD"/>
    <x v="1"/>
  </r>
  <r>
    <n v="1628"/>
    <x v="1123"/>
    <n v="6"/>
    <s v="2023-03-21"/>
    <n v="2023"/>
    <x v="1"/>
    <n v="1"/>
    <n v="719.19"/>
    <n v="20"/>
    <n v="575.35200000000009"/>
    <s v="Debit Card"/>
    <x v="0"/>
  </r>
  <r>
    <n v="1629"/>
    <x v="1123"/>
    <n v="80"/>
    <s v="2023-12-09"/>
    <n v="2023"/>
    <x v="2"/>
    <n v="2"/>
    <n v="1014.45"/>
    <n v="15"/>
    <n v="1724.5650000000001"/>
    <s v="Wallet"/>
    <x v="3"/>
  </r>
  <r>
    <n v="1630"/>
    <x v="1124"/>
    <n v="40"/>
    <s v="2023-04-15"/>
    <n v="2023"/>
    <x v="3"/>
    <n v="3"/>
    <n v="316.49"/>
    <n v="10"/>
    <n v="854.52300000000002"/>
    <s v="COD"/>
    <x v="1"/>
  </r>
  <r>
    <n v="1631"/>
    <x v="1124"/>
    <n v="2"/>
    <s v="2023-08-01"/>
    <n v="2023"/>
    <x v="6"/>
    <n v="2"/>
    <n v="427.27"/>
    <n v="15"/>
    <n v="726.35899999999992"/>
    <s v="UPI"/>
    <x v="1"/>
  </r>
  <r>
    <n v="1632"/>
    <x v="1124"/>
    <n v="25"/>
    <s v="2024-02-23"/>
    <n v="2024"/>
    <x v="9"/>
    <n v="2"/>
    <n v="1011.65"/>
    <n v="10"/>
    <n v="1820.97"/>
    <s v="Wallet"/>
    <x v="2"/>
  </r>
  <r>
    <n v="1633"/>
    <x v="1125"/>
    <n v="2"/>
    <s v="2023-11-17"/>
    <n v="2023"/>
    <x v="11"/>
    <n v="3"/>
    <n v="427.27"/>
    <n v="15"/>
    <n v="1089.5384999999999"/>
    <s v="Credit Card"/>
    <x v="1"/>
  </r>
  <r>
    <n v="1634"/>
    <x v="1125"/>
    <n v="58"/>
    <s v="2023-03-07"/>
    <n v="2023"/>
    <x v="1"/>
    <n v="3"/>
    <n v="334.98"/>
    <n v="5"/>
    <n v="954.69299999999998"/>
    <s v="Credit Card"/>
    <x v="1"/>
  </r>
  <r>
    <n v="1635"/>
    <x v="1125"/>
    <n v="15"/>
    <s v="2023-03-01"/>
    <n v="2023"/>
    <x v="1"/>
    <n v="1"/>
    <n v="1183.2"/>
    <n v="15"/>
    <n v="1005.72"/>
    <s v="Credit Card"/>
    <x v="2"/>
  </r>
  <r>
    <n v="1636"/>
    <x v="1125"/>
    <n v="24"/>
    <s v="2023-10-02"/>
    <n v="2023"/>
    <x v="10"/>
    <n v="2"/>
    <n v="1019.85"/>
    <n v="5"/>
    <n v="1937.7149999999999"/>
    <s v="UPI"/>
    <x v="3"/>
  </r>
  <r>
    <n v="1637"/>
    <x v="1126"/>
    <n v="51"/>
    <s v="2023-05-26"/>
    <n v="2023"/>
    <x v="0"/>
    <n v="3"/>
    <n v="759.57"/>
    <n v="10"/>
    <n v="2050.8389999999999"/>
    <s v="UPI"/>
    <x v="3"/>
  </r>
  <r>
    <n v="1638"/>
    <x v="1126"/>
    <n v="73"/>
    <s v="2023-05-14"/>
    <n v="2023"/>
    <x v="0"/>
    <n v="1"/>
    <n v="943.04"/>
    <n v="0"/>
    <n v="943.04"/>
    <s v="COD"/>
    <x v="1"/>
  </r>
  <r>
    <n v="1639"/>
    <x v="1126"/>
    <n v="26"/>
    <s v="2024-05-01"/>
    <n v="2024"/>
    <x v="0"/>
    <n v="1"/>
    <n v="272.61"/>
    <n v="20"/>
    <n v="218.08800000000002"/>
    <s v="COD"/>
    <x v="1"/>
  </r>
  <r>
    <n v="1640"/>
    <x v="1126"/>
    <n v="26"/>
    <s v="2023-03-07"/>
    <n v="2023"/>
    <x v="1"/>
    <n v="3"/>
    <n v="272.61"/>
    <n v="0"/>
    <n v="817.83"/>
    <s v="COD"/>
    <x v="1"/>
  </r>
  <r>
    <n v="1641"/>
    <x v="1127"/>
    <n v="62"/>
    <s v="2023-02-25"/>
    <n v="2023"/>
    <x v="9"/>
    <n v="1"/>
    <n v="196.96"/>
    <n v="5"/>
    <n v="187.11199999999999"/>
    <s v="Credit Card"/>
    <x v="2"/>
  </r>
  <r>
    <n v="1642"/>
    <x v="1127"/>
    <n v="50"/>
    <s v="2023-04-05"/>
    <n v="2023"/>
    <x v="3"/>
    <n v="1"/>
    <n v="1122.8699999999999"/>
    <n v="0"/>
    <n v="1122.8699999999999"/>
    <s v="Debit Card"/>
    <x v="1"/>
  </r>
  <r>
    <n v="1643"/>
    <x v="1127"/>
    <n v="56"/>
    <s v="2023-11-12"/>
    <n v="2023"/>
    <x v="11"/>
    <n v="2"/>
    <n v="396.01"/>
    <n v="15"/>
    <n v="673.21699999999998"/>
    <s v="Debit Card"/>
    <x v="1"/>
  </r>
  <r>
    <n v="1644"/>
    <x v="1128"/>
    <n v="57"/>
    <s v="2023-11-02"/>
    <n v="2023"/>
    <x v="11"/>
    <n v="1"/>
    <n v="768.03"/>
    <n v="20"/>
    <n v="614.42399999999998"/>
    <s v="Debit Card"/>
    <x v="2"/>
  </r>
  <r>
    <n v="1645"/>
    <x v="1128"/>
    <n v="27"/>
    <s v="2024-01-07"/>
    <n v="2024"/>
    <x v="5"/>
    <n v="2"/>
    <n v="76.09"/>
    <n v="0"/>
    <n v="152.18"/>
    <s v="Wallet"/>
    <x v="0"/>
  </r>
  <r>
    <n v="1646"/>
    <x v="1128"/>
    <n v="2"/>
    <s v="2024-04-30"/>
    <n v="2024"/>
    <x v="3"/>
    <n v="1"/>
    <n v="427.27"/>
    <n v="10"/>
    <n v="384.54300000000001"/>
    <s v="UPI"/>
    <x v="1"/>
  </r>
  <r>
    <n v="1647"/>
    <x v="1129"/>
    <n v="23"/>
    <s v="2023-06-29"/>
    <n v="2023"/>
    <x v="4"/>
    <n v="2"/>
    <n v="258.08"/>
    <n v="5"/>
    <n v="490.35199999999992"/>
    <s v="Credit Card"/>
    <x v="1"/>
  </r>
  <r>
    <n v="1648"/>
    <x v="1129"/>
    <n v="51"/>
    <s v="2023-07-14"/>
    <n v="2023"/>
    <x v="7"/>
    <n v="1"/>
    <n v="759.57"/>
    <n v="10"/>
    <n v="683.61300000000006"/>
    <s v="Wallet"/>
    <x v="3"/>
  </r>
  <r>
    <n v="1649"/>
    <x v="1129"/>
    <n v="9"/>
    <s v="2023-04-26"/>
    <n v="2023"/>
    <x v="3"/>
    <n v="1"/>
    <n v="43.26"/>
    <n v="5"/>
    <n v="41.096999999999994"/>
    <s v="UPI"/>
    <x v="2"/>
  </r>
  <r>
    <n v="1650"/>
    <x v="1130"/>
    <n v="57"/>
    <s v="2023-01-13"/>
    <n v="2023"/>
    <x v="5"/>
    <n v="2"/>
    <n v="768.03"/>
    <n v="0"/>
    <n v="1536.06"/>
    <s v="Debit Card"/>
    <x v="2"/>
  </r>
  <r>
    <n v="1651"/>
    <x v="1130"/>
    <n v="78"/>
    <s v="2023-09-28"/>
    <n v="2023"/>
    <x v="8"/>
    <n v="2"/>
    <n v="795.77"/>
    <n v="20"/>
    <n v="1273.232"/>
    <s v="Debit Card"/>
    <x v="3"/>
  </r>
  <r>
    <n v="1652"/>
    <x v="1130"/>
    <n v="19"/>
    <s v="2023-10-08"/>
    <n v="2023"/>
    <x v="10"/>
    <n v="2"/>
    <n v="262.97000000000003"/>
    <n v="0"/>
    <n v="525.94000000000005"/>
    <s v="Credit Card"/>
    <x v="3"/>
  </r>
  <r>
    <n v="1653"/>
    <x v="1131"/>
    <n v="9"/>
    <s v="2023-07-29"/>
    <n v="2023"/>
    <x v="7"/>
    <n v="3"/>
    <n v="43.26"/>
    <n v="20"/>
    <n v="103.82400000000001"/>
    <s v="Credit Card"/>
    <x v="2"/>
  </r>
  <r>
    <n v="1654"/>
    <x v="1131"/>
    <n v="80"/>
    <s v="2024-01-04"/>
    <n v="2024"/>
    <x v="5"/>
    <n v="1"/>
    <n v="1014.45"/>
    <n v="10"/>
    <n v="913.00500000000011"/>
    <s v="UPI"/>
    <x v="3"/>
  </r>
  <r>
    <n v="1655"/>
    <x v="1131"/>
    <n v="5"/>
    <s v="2023-03-15"/>
    <n v="2023"/>
    <x v="1"/>
    <n v="1"/>
    <n v="296.85000000000002"/>
    <n v="5"/>
    <n v="282.00749999999999"/>
    <s v="Credit Card"/>
    <x v="0"/>
  </r>
  <r>
    <n v="1656"/>
    <x v="1132"/>
    <n v="49"/>
    <s v="2023-01-02"/>
    <n v="2023"/>
    <x v="5"/>
    <n v="3"/>
    <n v="974.54"/>
    <n v="0"/>
    <n v="2923.62"/>
    <s v="COD"/>
    <x v="1"/>
  </r>
  <r>
    <n v="1657"/>
    <x v="1132"/>
    <n v="73"/>
    <s v="2023-03-03"/>
    <n v="2023"/>
    <x v="1"/>
    <n v="1"/>
    <n v="943.04"/>
    <n v="0"/>
    <n v="943.04"/>
    <s v="Wallet"/>
    <x v="1"/>
  </r>
  <r>
    <n v="1658"/>
    <x v="1132"/>
    <n v="70"/>
    <s v="2023-02-07"/>
    <n v="2023"/>
    <x v="9"/>
    <n v="1"/>
    <n v="797.23"/>
    <n v="15"/>
    <n v="677.64549999999997"/>
    <s v="Wallet"/>
    <x v="0"/>
  </r>
  <r>
    <n v="1659"/>
    <x v="1132"/>
    <n v="50"/>
    <s v="2023-05-25"/>
    <n v="2023"/>
    <x v="0"/>
    <n v="3"/>
    <n v="1122.8699999999999"/>
    <n v="20"/>
    <n v="2694.8879999999999"/>
    <s v="COD"/>
    <x v="1"/>
  </r>
  <r>
    <n v="1660"/>
    <x v="1133"/>
    <n v="58"/>
    <s v="2024-04-11"/>
    <n v="2024"/>
    <x v="3"/>
    <n v="3"/>
    <n v="334.98"/>
    <n v="5"/>
    <n v="954.69299999999998"/>
    <s v="COD"/>
    <x v="1"/>
  </r>
  <r>
    <n v="1661"/>
    <x v="1133"/>
    <n v="79"/>
    <s v="2023-05-09"/>
    <n v="2023"/>
    <x v="0"/>
    <n v="2"/>
    <n v="488.34"/>
    <n v="15"/>
    <n v="830.17799999999988"/>
    <s v="COD"/>
    <x v="2"/>
  </r>
  <r>
    <n v="1662"/>
    <x v="1133"/>
    <n v="20"/>
    <s v="2023-08-21"/>
    <n v="2023"/>
    <x v="6"/>
    <n v="3"/>
    <n v="613.27"/>
    <n v="10"/>
    <n v="1655.829"/>
    <s v="Debit Card"/>
    <x v="1"/>
  </r>
  <r>
    <n v="1663"/>
    <x v="1134"/>
    <n v="19"/>
    <s v="2023-05-27"/>
    <n v="2023"/>
    <x v="0"/>
    <n v="3"/>
    <n v="262.97000000000003"/>
    <n v="5"/>
    <n v="749.46450000000004"/>
    <s v="COD"/>
    <x v="3"/>
  </r>
  <r>
    <n v="1664"/>
    <x v="1134"/>
    <n v="33"/>
    <s v="2024-03-27"/>
    <n v="2024"/>
    <x v="1"/>
    <n v="1"/>
    <n v="965.4"/>
    <n v="10"/>
    <n v="868.86"/>
    <s v="Credit Card"/>
    <x v="3"/>
  </r>
  <r>
    <n v="1665"/>
    <x v="1134"/>
    <n v="56"/>
    <s v="2024-02-17"/>
    <n v="2024"/>
    <x v="9"/>
    <n v="2"/>
    <n v="396.01"/>
    <n v="5"/>
    <n v="752.41899999999998"/>
    <s v="Credit Card"/>
    <x v="1"/>
  </r>
  <r>
    <n v="1666"/>
    <x v="1134"/>
    <n v="59"/>
    <s v="2023-07-30"/>
    <n v="2023"/>
    <x v="7"/>
    <n v="3"/>
    <n v="782.33"/>
    <n v="20"/>
    <n v="1877.5920000000003"/>
    <s v="Debit Card"/>
    <x v="0"/>
  </r>
  <r>
    <n v="1667"/>
    <x v="1135"/>
    <n v="52"/>
    <s v="2023-03-06"/>
    <n v="2023"/>
    <x v="1"/>
    <n v="3"/>
    <n v="256.76"/>
    <n v="10"/>
    <n v="693.25199999999995"/>
    <s v="Debit Card"/>
    <x v="1"/>
  </r>
  <r>
    <n v="1668"/>
    <x v="1135"/>
    <n v="52"/>
    <s v="2023-08-04"/>
    <n v="2023"/>
    <x v="6"/>
    <n v="2"/>
    <n v="256.76"/>
    <n v="15"/>
    <n v="436.49199999999996"/>
    <s v="COD"/>
    <x v="1"/>
  </r>
  <r>
    <n v="1669"/>
    <x v="1135"/>
    <n v="57"/>
    <s v="2024-05-02"/>
    <n v="2024"/>
    <x v="0"/>
    <n v="2"/>
    <n v="768.03"/>
    <n v="15"/>
    <n v="1305.6509999999998"/>
    <s v="UPI"/>
    <x v="2"/>
  </r>
  <r>
    <n v="1670"/>
    <x v="1136"/>
    <n v="44"/>
    <s v="2023-06-16"/>
    <n v="2023"/>
    <x v="4"/>
    <n v="3"/>
    <n v="1038"/>
    <n v="15"/>
    <n v="2646.9"/>
    <s v="Debit Card"/>
    <x v="1"/>
  </r>
  <r>
    <n v="1671"/>
    <x v="1136"/>
    <n v="68"/>
    <s v="2023-04-16"/>
    <n v="2023"/>
    <x v="3"/>
    <n v="1"/>
    <n v="180.99"/>
    <n v="5"/>
    <n v="171.94050000000001"/>
    <s v="Debit Card"/>
    <x v="0"/>
  </r>
  <r>
    <n v="1672"/>
    <x v="1136"/>
    <n v="73"/>
    <s v="2023-04-10"/>
    <n v="2023"/>
    <x v="3"/>
    <n v="3"/>
    <n v="943.04"/>
    <n v="20"/>
    <n v="2263.2959999999998"/>
    <s v="UPI"/>
    <x v="1"/>
  </r>
  <r>
    <n v="1673"/>
    <x v="1137"/>
    <n v="60"/>
    <s v="2023-10-08"/>
    <n v="2023"/>
    <x v="10"/>
    <n v="2"/>
    <n v="830.49"/>
    <n v="10"/>
    <n v="1494.8820000000001"/>
    <s v="UPI"/>
    <x v="0"/>
  </r>
  <r>
    <n v="1674"/>
    <x v="1137"/>
    <n v="28"/>
    <s v="2023-07-21"/>
    <n v="2023"/>
    <x v="7"/>
    <n v="1"/>
    <n v="494.39"/>
    <n v="15"/>
    <n v="420.23149999999998"/>
    <s v="Credit Card"/>
    <x v="3"/>
  </r>
  <r>
    <n v="1675"/>
    <x v="1137"/>
    <n v="70"/>
    <s v="2023-11-30"/>
    <n v="2023"/>
    <x v="11"/>
    <n v="2"/>
    <n v="797.23"/>
    <n v="10"/>
    <n v="1435.0140000000001"/>
    <s v="Wallet"/>
    <x v="0"/>
  </r>
  <r>
    <n v="1676"/>
    <x v="1137"/>
    <n v="53"/>
    <s v="2023-01-27"/>
    <n v="2023"/>
    <x v="5"/>
    <n v="1"/>
    <n v="194.34"/>
    <n v="5"/>
    <n v="184.62299999999999"/>
    <s v="UPI"/>
    <x v="1"/>
  </r>
  <r>
    <n v="1677"/>
    <x v="1138"/>
    <n v="71"/>
    <s v="2024-03-31"/>
    <n v="2024"/>
    <x v="1"/>
    <n v="1"/>
    <n v="780.27"/>
    <n v="15"/>
    <n v="663.22949999999992"/>
    <s v="Wallet"/>
    <x v="2"/>
  </r>
  <r>
    <n v="1678"/>
    <x v="1138"/>
    <n v="56"/>
    <s v="2023-04-03"/>
    <n v="2023"/>
    <x v="3"/>
    <n v="2"/>
    <n v="396.01"/>
    <n v="0"/>
    <n v="792.02"/>
    <s v="Debit Card"/>
    <x v="1"/>
  </r>
  <r>
    <n v="1679"/>
    <x v="1138"/>
    <n v="50"/>
    <s v="2023-10-18"/>
    <n v="2023"/>
    <x v="10"/>
    <n v="3"/>
    <n v="1122.8699999999999"/>
    <n v="5"/>
    <n v="3200.1794999999997"/>
    <s v="UPI"/>
    <x v="1"/>
  </r>
  <r>
    <n v="1680"/>
    <x v="1138"/>
    <n v="73"/>
    <s v="2024-01-29"/>
    <n v="2024"/>
    <x v="5"/>
    <n v="1"/>
    <n v="943.04"/>
    <n v="15"/>
    <n v="801.58399999999995"/>
    <s v="Wallet"/>
    <x v="1"/>
  </r>
  <r>
    <n v="1681"/>
    <x v="1139"/>
    <n v="26"/>
    <s v="2023-03-19"/>
    <n v="2023"/>
    <x v="1"/>
    <n v="2"/>
    <n v="272.61"/>
    <n v="10"/>
    <n v="490.69800000000004"/>
    <s v="COD"/>
    <x v="1"/>
  </r>
  <r>
    <n v="1682"/>
    <x v="1139"/>
    <n v="32"/>
    <s v="2024-03-20"/>
    <n v="2024"/>
    <x v="1"/>
    <n v="3"/>
    <n v="342.57"/>
    <n v="5"/>
    <n v="976.32449999999994"/>
    <s v="COD"/>
    <x v="0"/>
  </r>
  <r>
    <n v="1683"/>
    <x v="1139"/>
    <n v="41"/>
    <s v="2023-11-09"/>
    <n v="2023"/>
    <x v="11"/>
    <n v="3"/>
    <n v="554.80999999999995"/>
    <n v="20"/>
    <n v="1331.5439999999999"/>
    <s v="Credit Card"/>
    <x v="1"/>
  </r>
  <r>
    <n v="1684"/>
    <x v="1139"/>
    <n v="13"/>
    <s v="2024-02-07"/>
    <n v="2024"/>
    <x v="9"/>
    <n v="1"/>
    <n v="334.61"/>
    <n v="0"/>
    <n v="334.61"/>
    <s v="Credit Card"/>
    <x v="1"/>
  </r>
  <r>
    <n v="1685"/>
    <x v="1140"/>
    <n v="2"/>
    <s v="2024-04-16"/>
    <n v="2024"/>
    <x v="3"/>
    <n v="1"/>
    <n v="427.27"/>
    <n v="10"/>
    <n v="384.54300000000001"/>
    <s v="Credit Card"/>
    <x v="1"/>
  </r>
  <r>
    <n v="1686"/>
    <x v="1140"/>
    <n v="41"/>
    <s v="2024-04-21"/>
    <n v="2024"/>
    <x v="3"/>
    <n v="2"/>
    <n v="554.80999999999995"/>
    <n v="5"/>
    <n v="1054.1389999999999"/>
    <s v="Debit Card"/>
    <x v="1"/>
  </r>
  <r>
    <n v="1687"/>
    <x v="1140"/>
    <n v="28"/>
    <s v="2023-06-07"/>
    <n v="2023"/>
    <x v="4"/>
    <n v="1"/>
    <n v="494.39"/>
    <n v="10"/>
    <n v="444.95100000000002"/>
    <s v="Wallet"/>
    <x v="3"/>
  </r>
  <r>
    <n v="1688"/>
    <x v="1140"/>
    <n v="41"/>
    <s v="2023-10-26"/>
    <n v="2023"/>
    <x v="10"/>
    <n v="2"/>
    <n v="554.80999999999995"/>
    <n v="15"/>
    <n v="943.17699999999991"/>
    <s v="UPI"/>
    <x v="1"/>
  </r>
  <r>
    <n v="1689"/>
    <x v="1140"/>
    <n v="23"/>
    <s v="2023-05-29"/>
    <n v="2023"/>
    <x v="0"/>
    <n v="2"/>
    <n v="258.08"/>
    <n v="0"/>
    <n v="516.16"/>
    <s v="Wallet"/>
    <x v="1"/>
  </r>
  <r>
    <n v="1690"/>
    <x v="1140"/>
    <n v="21"/>
    <s v="2024-04-06"/>
    <n v="2024"/>
    <x v="3"/>
    <n v="1"/>
    <n v="420.66"/>
    <n v="5"/>
    <n v="399.62700000000001"/>
    <s v="COD"/>
    <x v="3"/>
  </r>
  <r>
    <n v="1691"/>
    <x v="1141"/>
    <n v="16"/>
    <s v="2023-09-30"/>
    <n v="2023"/>
    <x v="8"/>
    <n v="3"/>
    <n v="693.02"/>
    <n v="15"/>
    <n v="1767.2009999999998"/>
    <s v="Debit Card"/>
    <x v="1"/>
  </r>
  <r>
    <n v="1692"/>
    <x v="1141"/>
    <n v="72"/>
    <s v="2023-10-10"/>
    <n v="2023"/>
    <x v="10"/>
    <n v="3"/>
    <n v="1157.27"/>
    <n v="15"/>
    <n v="2951.0384999999997"/>
    <s v="UPI"/>
    <x v="2"/>
  </r>
  <r>
    <n v="1693"/>
    <x v="1141"/>
    <n v="32"/>
    <s v="2024-05-14"/>
    <n v="2024"/>
    <x v="0"/>
    <n v="1"/>
    <n v="342.57"/>
    <n v="5"/>
    <n v="325.44149999999996"/>
    <s v="COD"/>
    <x v="0"/>
  </r>
  <r>
    <n v="1694"/>
    <x v="1141"/>
    <n v="13"/>
    <s v="2024-01-22"/>
    <n v="2024"/>
    <x v="5"/>
    <n v="1"/>
    <n v="334.61"/>
    <n v="5"/>
    <n v="317.87950000000001"/>
    <s v="COD"/>
    <x v="1"/>
  </r>
  <r>
    <n v="1695"/>
    <x v="1141"/>
    <n v="61"/>
    <s v="2023-07-14"/>
    <n v="2023"/>
    <x v="7"/>
    <n v="2"/>
    <n v="498.92"/>
    <n v="5"/>
    <n v="947.94799999999998"/>
    <s v="Credit Card"/>
    <x v="0"/>
  </r>
  <r>
    <n v="1696"/>
    <x v="1142"/>
    <n v="76"/>
    <s v="2023-12-19"/>
    <n v="2023"/>
    <x v="2"/>
    <n v="2"/>
    <n v="1043.26"/>
    <n v="15"/>
    <n v="1773.5419999999999"/>
    <s v="Wallet"/>
    <x v="0"/>
  </r>
  <r>
    <n v="1697"/>
    <x v="1142"/>
    <n v="74"/>
    <s v="2023-04-04"/>
    <n v="2023"/>
    <x v="3"/>
    <n v="2"/>
    <n v="1034.31"/>
    <n v="0"/>
    <n v="2068.62"/>
    <s v="COD"/>
    <x v="2"/>
  </r>
  <r>
    <n v="1698"/>
    <x v="1142"/>
    <n v="73"/>
    <s v="2023-06-26"/>
    <n v="2023"/>
    <x v="4"/>
    <n v="2"/>
    <n v="943.04"/>
    <n v="0"/>
    <n v="1886.08"/>
    <s v="UPI"/>
    <x v="1"/>
  </r>
  <r>
    <n v="1699"/>
    <x v="1142"/>
    <n v="9"/>
    <s v="2023-04-01"/>
    <n v="2023"/>
    <x v="3"/>
    <n v="1"/>
    <n v="43.26"/>
    <n v="20"/>
    <n v="34.607999999999997"/>
    <s v="UPI"/>
    <x v="2"/>
  </r>
  <r>
    <n v="1700"/>
    <x v="1142"/>
    <n v="51"/>
    <s v="2024-04-14"/>
    <n v="2024"/>
    <x v="3"/>
    <n v="1"/>
    <n v="759.57"/>
    <n v="0"/>
    <n v="759.57"/>
    <s v="Debit Card"/>
    <x v="3"/>
  </r>
  <r>
    <n v="1701"/>
    <x v="1142"/>
    <n v="42"/>
    <s v="2023-05-30"/>
    <n v="2023"/>
    <x v="0"/>
    <n v="3"/>
    <n v="233.11"/>
    <n v="0"/>
    <n v="699.33"/>
    <s v="UPI"/>
    <x v="1"/>
  </r>
  <r>
    <n v="1702"/>
    <x v="1142"/>
    <n v="78"/>
    <s v="2024-02-14"/>
    <n v="2024"/>
    <x v="9"/>
    <n v="2"/>
    <n v="795.77"/>
    <n v="0"/>
    <n v="1591.54"/>
    <s v="Wallet"/>
    <x v="3"/>
  </r>
  <r>
    <n v="1703"/>
    <x v="1143"/>
    <n v="76"/>
    <s v="2023-08-02"/>
    <n v="2023"/>
    <x v="6"/>
    <n v="1"/>
    <n v="1043.26"/>
    <n v="10"/>
    <n v="938.93399999999997"/>
    <s v="UPI"/>
    <x v="0"/>
  </r>
  <r>
    <n v="1704"/>
    <x v="1143"/>
    <n v="25"/>
    <s v="2023-09-20"/>
    <n v="2023"/>
    <x v="8"/>
    <n v="2"/>
    <n v="1011.65"/>
    <n v="20"/>
    <n v="1618.64"/>
    <s v="Credit Card"/>
    <x v="2"/>
  </r>
  <r>
    <n v="1705"/>
    <x v="1143"/>
    <n v="63"/>
    <s v="2023-06-13"/>
    <n v="2023"/>
    <x v="4"/>
    <n v="1"/>
    <n v="309.79000000000002"/>
    <n v="0"/>
    <n v="309.79000000000002"/>
    <s v="Debit Card"/>
    <x v="2"/>
  </r>
  <r>
    <n v="1706"/>
    <x v="1143"/>
    <n v="40"/>
    <s v="2023-05-15"/>
    <n v="2023"/>
    <x v="0"/>
    <n v="2"/>
    <n v="316.49"/>
    <n v="15"/>
    <n v="538.03300000000002"/>
    <s v="UPI"/>
    <x v="1"/>
  </r>
  <r>
    <n v="1707"/>
    <x v="1143"/>
    <n v="6"/>
    <s v="2023-05-20"/>
    <n v="2023"/>
    <x v="0"/>
    <n v="3"/>
    <n v="719.19"/>
    <n v="15"/>
    <n v="1833.9345000000001"/>
    <s v="Credit Card"/>
    <x v="0"/>
  </r>
  <r>
    <n v="1708"/>
    <x v="1143"/>
    <n v="43"/>
    <s v="2023-10-10"/>
    <n v="2023"/>
    <x v="10"/>
    <n v="1"/>
    <n v="760.86"/>
    <n v="5"/>
    <n v="722.81700000000001"/>
    <s v="Wallet"/>
    <x v="2"/>
  </r>
  <r>
    <n v="1709"/>
    <x v="1144"/>
    <n v="2"/>
    <s v="2024-01-12"/>
    <n v="2024"/>
    <x v="5"/>
    <n v="3"/>
    <n v="427.27"/>
    <n v="0"/>
    <n v="1281.81"/>
    <s v="UPI"/>
    <x v="1"/>
  </r>
  <r>
    <n v="1710"/>
    <x v="1144"/>
    <n v="49"/>
    <s v="2023-04-13"/>
    <n v="2023"/>
    <x v="3"/>
    <n v="2"/>
    <n v="974.54"/>
    <n v="15"/>
    <n v="1656.7179999999998"/>
    <s v="COD"/>
    <x v="1"/>
  </r>
  <r>
    <n v="1711"/>
    <x v="1144"/>
    <n v="5"/>
    <s v="2023-12-22"/>
    <n v="2023"/>
    <x v="2"/>
    <n v="3"/>
    <n v="296.85000000000002"/>
    <n v="10"/>
    <n v="801.49500000000012"/>
    <s v="COD"/>
    <x v="0"/>
  </r>
  <r>
    <n v="1712"/>
    <x v="1144"/>
    <n v="43"/>
    <s v="2023-07-07"/>
    <n v="2023"/>
    <x v="7"/>
    <n v="3"/>
    <n v="760.86"/>
    <n v="15"/>
    <n v="1940.193"/>
    <s v="COD"/>
    <x v="2"/>
  </r>
  <r>
    <n v="1713"/>
    <x v="1144"/>
    <n v="44"/>
    <s v="2023-03-09"/>
    <n v="2023"/>
    <x v="1"/>
    <n v="2"/>
    <n v="1038"/>
    <n v="10"/>
    <n v="1868.4"/>
    <s v="Wallet"/>
    <x v="1"/>
  </r>
  <r>
    <n v="1714"/>
    <x v="1145"/>
    <n v="25"/>
    <s v="2023-09-08"/>
    <n v="2023"/>
    <x v="8"/>
    <n v="2"/>
    <n v="1011.65"/>
    <n v="10"/>
    <n v="1820.97"/>
    <s v="Credit Card"/>
    <x v="2"/>
  </r>
  <r>
    <n v="1715"/>
    <x v="1145"/>
    <n v="58"/>
    <s v="2024-04-15"/>
    <n v="2024"/>
    <x v="3"/>
    <n v="3"/>
    <n v="334.98"/>
    <n v="0"/>
    <n v="1004.94"/>
    <s v="UPI"/>
    <x v="1"/>
  </r>
  <r>
    <n v="1716"/>
    <x v="1145"/>
    <n v="66"/>
    <s v="2024-04-03"/>
    <n v="2024"/>
    <x v="3"/>
    <n v="1"/>
    <n v="783.37"/>
    <n v="0"/>
    <n v="783.37"/>
    <s v="Debit Card"/>
    <x v="1"/>
  </r>
  <r>
    <n v="1717"/>
    <x v="1145"/>
    <n v="14"/>
    <s v="2023-05-05"/>
    <n v="2023"/>
    <x v="0"/>
    <n v="1"/>
    <n v="574.25"/>
    <n v="5"/>
    <n v="545.53750000000002"/>
    <s v="UPI"/>
    <x v="3"/>
  </r>
  <r>
    <n v="1718"/>
    <x v="1145"/>
    <n v="9"/>
    <s v="2023-03-20"/>
    <n v="2023"/>
    <x v="1"/>
    <n v="3"/>
    <n v="43.26"/>
    <n v="5"/>
    <n v="123.291"/>
    <s v="Credit Card"/>
    <x v="2"/>
  </r>
  <r>
    <n v="1719"/>
    <x v="1146"/>
    <n v="10"/>
    <s v="2023-01-05"/>
    <n v="2023"/>
    <x v="5"/>
    <n v="3"/>
    <n v="64.11"/>
    <n v="0"/>
    <n v="192.32999999999998"/>
    <s v="UPI"/>
    <x v="0"/>
  </r>
  <r>
    <n v="1720"/>
    <x v="1146"/>
    <n v="80"/>
    <s v="2023-02-06"/>
    <n v="2023"/>
    <x v="9"/>
    <n v="1"/>
    <n v="1014.45"/>
    <n v="20"/>
    <n v="811.56000000000006"/>
    <s v="COD"/>
    <x v="3"/>
  </r>
  <r>
    <n v="1721"/>
    <x v="1146"/>
    <n v="43"/>
    <s v="2024-02-07"/>
    <n v="2024"/>
    <x v="9"/>
    <n v="3"/>
    <n v="760.86"/>
    <n v="0"/>
    <n v="2282.58"/>
    <s v="Wallet"/>
    <x v="2"/>
  </r>
  <r>
    <n v="1722"/>
    <x v="1146"/>
    <n v="16"/>
    <s v="2023-01-29"/>
    <n v="2023"/>
    <x v="5"/>
    <n v="3"/>
    <n v="693.02"/>
    <n v="5"/>
    <n v="1975.1069999999997"/>
    <s v="Debit Card"/>
    <x v="1"/>
  </r>
  <r>
    <n v="1723"/>
    <x v="1146"/>
    <n v="11"/>
    <s v="2023-04-06"/>
    <n v="2023"/>
    <x v="3"/>
    <n v="1"/>
    <n v="1038.77"/>
    <n v="0"/>
    <n v="1038.77"/>
    <s v="Credit Card"/>
    <x v="3"/>
  </r>
  <r>
    <n v="1724"/>
    <x v="1146"/>
    <n v="56"/>
    <s v="2024-02-10"/>
    <n v="2024"/>
    <x v="9"/>
    <n v="3"/>
    <n v="396.01"/>
    <n v="5"/>
    <n v="1128.6285"/>
    <s v="Debit Card"/>
    <x v="1"/>
  </r>
  <r>
    <n v="1725"/>
    <x v="1146"/>
    <n v="7"/>
    <s v="2024-01-03"/>
    <n v="2024"/>
    <x v="5"/>
    <n v="1"/>
    <n v="97.29"/>
    <n v="15"/>
    <n v="82.6965"/>
    <s v="UPI"/>
    <x v="3"/>
  </r>
  <r>
    <n v="1726"/>
    <x v="1146"/>
    <n v="68"/>
    <s v="2023-04-09"/>
    <n v="2023"/>
    <x v="3"/>
    <n v="2"/>
    <n v="180.99"/>
    <n v="5"/>
    <n v="343.88100000000003"/>
    <s v="COD"/>
    <x v="0"/>
  </r>
  <r>
    <n v="1727"/>
    <x v="1147"/>
    <n v="78"/>
    <s v="2023-12-28"/>
    <n v="2023"/>
    <x v="2"/>
    <n v="1"/>
    <n v="795.77"/>
    <n v="15"/>
    <n v="676.40449999999998"/>
    <s v="UPI"/>
    <x v="3"/>
  </r>
  <r>
    <n v="1728"/>
    <x v="1147"/>
    <n v="76"/>
    <s v="2024-03-18"/>
    <n v="2024"/>
    <x v="1"/>
    <n v="1"/>
    <n v="1043.26"/>
    <n v="15"/>
    <n v="886.77099999999996"/>
    <s v="Debit Card"/>
    <x v="0"/>
  </r>
  <r>
    <n v="1729"/>
    <x v="1147"/>
    <n v="65"/>
    <s v="2023-01-04"/>
    <n v="2023"/>
    <x v="5"/>
    <n v="1"/>
    <n v="1189.73"/>
    <n v="5"/>
    <n v="1130.2435"/>
    <s v="Debit Card"/>
    <x v="1"/>
  </r>
  <r>
    <n v="1730"/>
    <x v="1147"/>
    <n v="34"/>
    <s v="2023-03-15"/>
    <n v="2023"/>
    <x v="1"/>
    <n v="3"/>
    <n v="523.98"/>
    <n v="20"/>
    <n v="1257.5520000000001"/>
    <s v="Debit Card"/>
    <x v="1"/>
  </r>
  <r>
    <n v="1731"/>
    <x v="1147"/>
    <n v="16"/>
    <s v="2023-12-26"/>
    <n v="2023"/>
    <x v="2"/>
    <n v="1"/>
    <n v="693.02"/>
    <n v="5"/>
    <n v="658.36899999999991"/>
    <s v="Debit Card"/>
    <x v="1"/>
  </r>
  <r>
    <n v="1732"/>
    <x v="1147"/>
    <n v="42"/>
    <s v="2024-01-23"/>
    <n v="2024"/>
    <x v="5"/>
    <n v="1"/>
    <n v="233.11"/>
    <n v="5"/>
    <n v="221.4545"/>
    <s v="COD"/>
    <x v="1"/>
  </r>
  <r>
    <n v="1733"/>
    <x v="1147"/>
    <n v="76"/>
    <s v="2023-06-01"/>
    <n v="2023"/>
    <x v="4"/>
    <n v="3"/>
    <n v="1043.26"/>
    <n v="15"/>
    <n v="2660.3129999999996"/>
    <s v="Wallet"/>
    <x v="0"/>
  </r>
  <r>
    <n v="1734"/>
    <x v="1147"/>
    <n v="37"/>
    <s v="2023-04-22"/>
    <n v="2023"/>
    <x v="3"/>
    <n v="2"/>
    <n v="968.87"/>
    <n v="10"/>
    <n v="1743.9660000000001"/>
    <s v="UPI"/>
    <x v="1"/>
  </r>
  <r>
    <n v="1735"/>
    <x v="1148"/>
    <n v="31"/>
    <s v="2023-09-29"/>
    <n v="2023"/>
    <x v="8"/>
    <n v="1"/>
    <n v="131.79"/>
    <n v="10"/>
    <n v="118.61099999999999"/>
    <s v="UPI"/>
    <x v="3"/>
  </r>
  <r>
    <n v="1736"/>
    <x v="1148"/>
    <n v="21"/>
    <s v="2023-02-03"/>
    <n v="2023"/>
    <x v="9"/>
    <n v="1"/>
    <n v="420.66"/>
    <n v="0"/>
    <n v="420.66"/>
    <s v="COD"/>
    <x v="3"/>
  </r>
  <r>
    <n v="1737"/>
    <x v="1148"/>
    <n v="45"/>
    <s v="2024-04-07"/>
    <n v="2024"/>
    <x v="3"/>
    <n v="3"/>
    <n v="609.05999999999995"/>
    <n v="0"/>
    <n v="1827.1799999999998"/>
    <s v="Wallet"/>
    <x v="3"/>
  </r>
  <r>
    <n v="1738"/>
    <x v="1148"/>
    <n v="56"/>
    <s v="2023-02-10"/>
    <n v="2023"/>
    <x v="9"/>
    <n v="3"/>
    <n v="396.01"/>
    <n v="15"/>
    <n v="1009.8254999999999"/>
    <s v="Credit Card"/>
    <x v="1"/>
  </r>
  <r>
    <n v="1739"/>
    <x v="1148"/>
    <n v="12"/>
    <s v="2023-06-13"/>
    <n v="2023"/>
    <x v="4"/>
    <n v="3"/>
    <n v="627.41999999999996"/>
    <n v="10"/>
    <n v="1694.0339999999999"/>
    <s v="Wallet"/>
    <x v="3"/>
  </r>
  <r>
    <n v="1740"/>
    <x v="1148"/>
    <n v="9"/>
    <s v="2023-10-19"/>
    <n v="2023"/>
    <x v="10"/>
    <n v="2"/>
    <n v="43.26"/>
    <n v="10"/>
    <n v="77.867999999999995"/>
    <s v="COD"/>
    <x v="2"/>
  </r>
  <r>
    <n v="1741"/>
    <x v="1148"/>
    <n v="46"/>
    <s v="2024-01-16"/>
    <n v="2024"/>
    <x v="5"/>
    <n v="2"/>
    <n v="1155.3"/>
    <n v="10"/>
    <n v="2079.54"/>
    <s v="COD"/>
    <x v="3"/>
  </r>
  <r>
    <n v="1742"/>
    <x v="1148"/>
    <n v="39"/>
    <s v="2024-01-26"/>
    <n v="2024"/>
    <x v="5"/>
    <n v="2"/>
    <n v="256.08999999999997"/>
    <n v="10"/>
    <n v="460.96199999999999"/>
    <s v="Wallet"/>
    <x v="0"/>
  </r>
  <r>
    <n v="1743"/>
    <x v="1149"/>
    <n v="25"/>
    <s v="2023-04-27"/>
    <n v="2023"/>
    <x v="3"/>
    <n v="3"/>
    <n v="1011.65"/>
    <n v="5"/>
    <n v="2883.2024999999999"/>
    <s v="Credit Card"/>
    <x v="2"/>
  </r>
  <r>
    <n v="1744"/>
    <x v="1149"/>
    <n v="46"/>
    <s v="2023-07-29"/>
    <n v="2023"/>
    <x v="7"/>
    <n v="2"/>
    <n v="1155.3"/>
    <n v="15"/>
    <n v="1964.0099999999998"/>
    <s v="UPI"/>
    <x v="3"/>
  </r>
  <r>
    <n v="1745"/>
    <x v="1149"/>
    <n v="52"/>
    <s v="2023-08-26"/>
    <n v="2023"/>
    <x v="6"/>
    <n v="2"/>
    <n v="256.76"/>
    <n v="15"/>
    <n v="436.49199999999996"/>
    <s v="Debit Card"/>
    <x v="1"/>
  </r>
  <r>
    <n v="1746"/>
    <x v="1149"/>
    <n v="19"/>
    <s v="2024-01-13"/>
    <n v="2024"/>
    <x v="5"/>
    <n v="2"/>
    <n v="262.97000000000003"/>
    <n v="15"/>
    <n v="447.04900000000004"/>
    <s v="Credit Card"/>
    <x v="3"/>
  </r>
  <r>
    <n v="1747"/>
    <x v="1149"/>
    <n v="18"/>
    <s v="2024-02-08"/>
    <n v="2024"/>
    <x v="9"/>
    <n v="2"/>
    <n v="138.07"/>
    <n v="15"/>
    <n v="234.71899999999999"/>
    <s v="Debit Card"/>
    <x v="1"/>
  </r>
  <r>
    <n v="1748"/>
    <x v="1150"/>
    <n v="52"/>
    <s v="2023-07-07"/>
    <n v="2023"/>
    <x v="7"/>
    <n v="1"/>
    <n v="256.76"/>
    <n v="15"/>
    <n v="218.24599999999998"/>
    <s v="Debit Card"/>
    <x v="1"/>
  </r>
  <r>
    <n v="1749"/>
    <x v="1150"/>
    <n v="20"/>
    <s v="2023-10-31"/>
    <n v="2023"/>
    <x v="10"/>
    <n v="1"/>
    <n v="613.27"/>
    <n v="5"/>
    <n v="582.60649999999998"/>
    <s v="Credit Card"/>
    <x v="1"/>
  </r>
  <r>
    <n v="1750"/>
    <x v="1150"/>
    <n v="3"/>
    <s v="2023-07-20"/>
    <n v="2023"/>
    <x v="7"/>
    <n v="2"/>
    <n v="506.08"/>
    <n v="5"/>
    <n v="961.55199999999991"/>
    <s v="UPI"/>
    <x v="0"/>
  </r>
  <r>
    <n v="1751"/>
    <x v="1150"/>
    <n v="44"/>
    <s v="2023-04-12"/>
    <n v="2023"/>
    <x v="3"/>
    <n v="1"/>
    <n v="1038"/>
    <n v="15"/>
    <n v="882.3"/>
    <s v="COD"/>
    <x v="1"/>
  </r>
  <r>
    <n v="1752"/>
    <x v="1150"/>
    <n v="21"/>
    <s v="2023-06-05"/>
    <n v="2023"/>
    <x v="4"/>
    <n v="3"/>
    <n v="420.66"/>
    <n v="10"/>
    <n v="1135.7820000000002"/>
    <s v="Debit Card"/>
    <x v="3"/>
  </r>
  <r>
    <n v="1753"/>
    <x v="1150"/>
    <n v="25"/>
    <s v="2023-09-07"/>
    <n v="2023"/>
    <x v="8"/>
    <n v="3"/>
    <n v="1011.65"/>
    <n v="15"/>
    <n v="2579.7075"/>
    <s v="COD"/>
    <x v="2"/>
  </r>
  <r>
    <n v="1754"/>
    <x v="1151"/>
    <n v="56"/>
    <s v="2024-04-30"/>
    <n v="2024"/>
    <x v="3"/>
    <n v="1"/>
    <n v="396.01"/>
    <n v="15"/>
    <n v="336.60849999999999"/>
    <s v="Credit Card"/>
    <x v="1"/>
  </r>
  <r>
    <n v="1755"/>
    <x v="1151"/>
    <n v="46"/>
    <s v="2024-05-07"/>
    <n v="2024"/>
    <x v="0"/>
    <n v="1"/>
    <n v="1155.3"/>
    <n v="0"/>
    <n v="1155.3"/>
    <s v="UPI"/>
    <x v="3"/>
  </r>
  <r>
    <n v="1756"/>
    <x v="1151"/>
    <n v="62"/>
    <s v="2023-11-08"/>
    <n v="2023"/>
    <x v="11"/>
    <n v="2"/>
    <n v="196.96"/>
    <n v="5"/>
    <n v="374.22399999999999"/>
    <s v="Debit Card"/>
    <x v="2"/>
  </r>
  <r>
    <n v="1757"/>
    <x v="1151"/>
    <n v="67"/>
    <s v="2024-04-27"/>
    <n v="2024"/>
    <x v="3"/>
    <n v="2"/>
    <n v="258.35000000000002"/>
    <n v="5"/>
    <n v="490.86500000000001"/>
    <s v="COD"/>
    <x v="2"/>
  </r>
  <r>
    <n v="1758"/>
    <x v="1151"/>
    <n v="63"/>
    <s v="2023-01-07"/>
    <n v="2023"/>
    <x v="5"/>
    <n v="2"/>
    <n v="309.79000000000002"/>
    <n v="5"/>
    <n v="588.601"/>
    <s v="UPI"/>
    <x v="2"/>
  </r>
  <r>
    <n v="1759"/>
    <x v="1151"/>
    <n v="40"/>
    <s v="2023-12-17"/>
    <n v="2023"/>
    <x v="2"/>
    <n v="3"/>
    <n v="316.49"/>
    <n v="15"/>
    <n v="807.04949999999997"/>
    <s v="Wallet"/>
    <x v="1"/>
  </r>
  <r>
    <n v="1760"/>
    <x v="1152"/>
    <n v="16"/>
    <s v="2023-11-03"/>
    <n v="2023"/>
    <x v="11"/>
    <n v="1"/>
    <n v="693.02"/>
    <n v="20"/>
    <n v="554.41600000000005"/>
    <s v="UPI"/>
    <x v="1"/>
  </r>
  <r>
    <n v="1761"/>
    <x v="1152"/>
    <n v="44"/>
    <s v="2024-01-07"/>
    <n v="2024"/>
    <x v="5"/>
    <n v="2"/>
    <n v="1038"/>
    <n v="5"/>
    <n v="1972.1999999999998"/>
    <s v="UPI"/>
    <x v="1"/>
  </r>
  <r>
    <n v="1762"/>
    <x v="1152"/>
    <n v="73"/>
    <s v="2024-05-11"/>
    <n v="2024"/>
    <x v="0"/>
    <n v="2"/>
    <n v="943.04"/>
    <n v="0"/>
    <n v="1886.08"/>
    <s v="Credit Card"/>
    <x v="1"/>
  </r>
  <r>
    <n v="1763"/>
    <x v="1152"/>
    <n v="58"/>
    <s v="2023-07-09"/>
    <n v="2023"/>
    <x v="7"/>
    <n v="2"/>
    <n v="334.98"/>
    <n v="5"/>
    <n v="636.46199999999999"/>
    <s v="Debit Card"/>
    <x v="1"/>
  </r>
  <r>
    <n v="1764"/>
    <x v="1152"/>
    <n v="42"/>
    <s v="2023-12-19"/>
    <n v="2023"/>
    <x v="2"/>
    <n v="1"/>
    <n v="233.11"/>
    <n v="10"/>
    <n v="209.79900000000001"/>
    <s v="COD"/>
    <x v="1"/>
  </r>
  <r>
    <n v="1765"/>
    <x v="1152"/>
    <n v="36"/>
    <s v="2023-10-12"/>
    <n v="2023"/>
    <x v="10"/>
    <n v="2"/>
    <n v="992.01"/>
    <n v="20"/>
    <n v="1587.2160000000001"/>
    <s v="UPI"/>
    <x v="3"/>
  </r>
  <r>
    <n v="1766"/>
    <x v="1153"/>
    <n v="25"/>
    <s v="2024-04-06"/>
    <n v="2024"/>
    <x v="3"/>
    <n v="1"/>
    <n v="1011.65"/>
    <n v="10"/>
    <n v="910.48500000000001"/>
    <s v="Wallet"/>
    <x v="2"/>
  </r>
  <r>
    <n v="1767"/>
    <x v="1153"/>
    <n v="30"/>
    <s v="2023-12-29"/>
    <n v="2023"/>
    <x v="2"/>
    <n v="3"/>
    <n v="866.89"/>
    <n v="20"/>
    <n v="2080.5360000000001"/>
    <s v="Debit Card"/>
    <x v="2"/>
  </r>
  <r>
    <n v="1768"/>
    <x v="1153"/>
    <n v="32"/>
    <s v="2023-09-08"/>
    <n v="2023"/>
    <x v="8"/>
    <n v="3"/>
    <n v="342.57"/>
    <n v="15"/>
    <n v="873.55349999999999"/>
    <s v="Credit Card"/>
    <x v="0"/>
  </r>
  <r>
    <n v="1769"/>
    <x v="1153"/>
    <n v="41"/>
    <s v="2023-09-19"/>
    <n v="2023"/>
    <x v="8"/>
    <n v="1"/>
    <n v="554.80999999999995"/>
    <n v="15"/>
    <n v="471.58849999999995"/>
    <s v="Debit Card"/>
    <x v="1"/>
  </r>
  <r>
    <n v="1770"/>
    <x v="1153"/>
    <n v="80"/>
    <s v="2023-06-14"/>
    <n v="2023"/>
    <x v="4"/>
    <n v="1"/>
    <n v="1014.45"/>
    <n v="20"/>
    <n v="811.56000000000006"/>
    <s v="COD"/>
    <x v="3"/>
  </r>
  <r>
    <n v="1771"/>
    <x v="1153"/>
    <n v="60"/>
    <s v="2023-11-05"/>
    <n v="2023"/>
    <x v="11"/>
    <n v="3"/>
    <n v="830.49"/>
    <n v="10"/>
    <n v="2242.3230000000003"/>
    <s v="Credit Card"/>
    <x v="0"/>
  </r>
  <r>
    <n v="1772"/>
    <x v="1153"/>
    <n v="58"/>
    <s v="2023-07-19"/>
    <n v="2023"/>
    <x v="7"/>
    <n v="1"/>
    <n v="334.98"/>
    <n v="10"/>
    <n v="301.48200000000003"/>
    <s v="Debit Card"/>
    <x v="1"/>
  </r>
  <r>
    <n v="1773"/>
    <x v="1154"/>
    <n v="47"/>
    <s v="2024-03-10"/>
    <n v="2024"/>
    <x v="1"/>
    <n v="1"/>
    <n v="1126.96"/>
    <n v="15"/>
    <n v="957.91600000000005"/>
    <s v="Debit Card"/>
    <x v="3"/>
  </r>
  <r>
    <n v="1774"/>
    <x v="1154"/>
    <n v="29"/>
    <s v="2023-11-21"/>
    <n v="2023"/>
    <x v="11"/>
    <n v="1"/>
    <n v="757"/>
    <n v="10"/>
    <n v="681.30000000000007"/>
    <s v="UPI"/>
    <x v="0"/>
  </r>
  <r>
    <n v="1775"/>
    <x v="1154"/>
    <n v="80"/>
    <s v="2023-09-05"/>
    <n v="2023"/>
    <x v="8"/>
    <n v="3"/>
    <n v="1014.45"/>
    <n v="5"/>
    <n v="2891.1825000000003"/>
    <s v="UPI"/>
    <x v="3"/>
  </r>
  <r>
    <n v="1776"/>
    <x v="1154"/>
    <n v="41"/>
    <s v="2023-09-06"/>
    <n v="2023"/>
    <x v="8"/>
    <n v="2"/>
    <n v="554.80999999999995"/>
    <n v="20"/>
    <n v="887.69599999999991"/>
    <s v="Wallet"/>
    <x v="1"/>
  </r>
  <r>
    <n v="1777"/>
    <x v="1154"/>
    <n v="26"/>
    <s v="2024-02-26"/>
    <n v="2024"/>
    <x v="9"/>
    <n v="3"/>
    <n v="272.61"/>
    <n v="5"/>
    <n v="776.93849999999998"/>
    <s v="Wallet"/>
    <x v="1"/>
  </r>
  <r>
    <n v="1778"/>
    <x v="1154"/>
    <n v="78"/>
    <s v="2023-03-03"/>
    <n v="2023"/>
    <x v="1"/>
    <n v="2"/>
    <n v="795.77"/>
    <n v="0"/>
    <n v="1591.54"/>
    <s v="Debit Card"/>
    <x v="3"/>
  </r>
  <r>
    <n v="1779"/>
    <x v="1154"/>
    <n v="68"/>
    <s v="2024-02-14"/>
    <n v="2024"/>
    <x v="9"/>
    <n v="3"/>
    <n v="180.99"/>
    <n v="10"/>
    <n v="488.67300000000006"/>
    <s v="Debit Card"/>
    <x v="0"/>
  </r>
  <r>
    <n v="1780"/>
    <x v="1155"/>
    <n v="49"/>
    <s v="2023-08-05"/>
    <n v="2023"/>
    <x v="6"/>
    <n v="3"/>
    <n v="974.54"/>
    <n v="0"/>
    <n v="2923.62"/>
    <s v="UPI"/>
    <x v="1"/>
  </r>
  <r>
    <n v="1781"/>
    <x v="1155"/>
    <n v="34"/>
    <s v="2023-04-15"/>
    <n v="2023"/>
    <x v="3"/>
    <n v="1"/>
    <n v="523.98"/>
    <n v="10"/>
    <n v="471.58200000000005"/>
    <s v="Credit Card"/>
    <x v="1"/>
  </r>
  <r>
    <n v="1782"/>
    <x v="1155"/>
    <n v="4"/>
    <s v="2023-11-30"/>
    <n v="2023"/>
    <x v="11"/>
    <n v="3"/>
    <n v="800.26"/>
    <n v="15"/>
    <n v="2040.6629999999998"/>
    <s v="Credit Card"/>
    <x v="2"/>
  </r>
  <r>
    <n v="1783"/>
    <x v="1155"/>
    <n v="48"/>
    <s v="2023-08-27"/>
    <n v="2023"/>
    <x v="6"/>
    <n v="1"/>
    <n v="1125.8499999999999"/>
    <n v="15"/>
    <n v="956.97249999999985"/>
    <s v="COD"/>
    <x v="0"/>
  </r>
  <r>
    <n v="1784"/>
    <x v="1155"/>
    <n v="72"/>
    <s v="2023-03-22"/>
    <n v="2023"/>
    <x v="1"/>
    <n v="3"/>
    <n v="1157.27"/>
    <n v="15"/>
    <n v="2951.0384999999997"/>
    <s v="UPI"/>
    <x v="2"/>
  </r>
  <r>
    <n v="1785"/>
    <x v="1155"/>
    <n v="14"/>
    <s v="2024-04-24"/>
    <n v="2024"/>
    <x v="3"/>
    <n v="2"/>
    <n v="574.25"/>
    <n v="15"/>
    <n v="976.22500000000002"/>
    <s v="UPI"/>
    <x v="3"/>
  </r>
  <r>
    <n v="1786"/>
    <x v="1155"/>
    <n v="26"/>
    <s v="2023-12-28"/>
    <n v="2023"/>
    <x v="2"/>
    <n v="3"/>
    <n v="272.61"/>
    <n v="15"/>
    <n v="695.15549999999996"/>
    <s v="UPI"/>
    <x v="1"/>
  </r>
  <r>
    <n v="1787"/>
    <x v="1155"/>
    <n v="21"/>
    <s v="2023-10-28"/>
    <n v="2023"/>
    <x v="10"/>
    <n v="1"/>
    <n v="420.66"/>
    <n v="10"/>
    <n v="378.59400000000005"/>
    <s v="Credit Card"/>
    <x v="3"/>
  </r>
  <r>
    <n v="1788"/>
    <x v="1156"/>
    <n v="16"/>
    <s v="2023-01-27"/>
    <n v="2023"/>
    <x v="5"/>
    <n v="2"/>
    <n v="693.02"/>
    <n v="20"/>
    <n v="1108.8320000000001"/>
    <s v="COD"/>
    <x v="1"/>
  </r>
  <r>
    <n v="1789"/>
    <x v="1156"/>
    <n v="48"/>
    <s v="2023-03-14"/>
    <n v="2023"/>
    <x v="1"/>
    <n v="2"/>
    <n v="1125.8499999999999"/>
    <n v="15"/>
    <n v="1913.9449999999997"/>
    <s v="Wallet"/>
    <x v="0"/>
  </r>
  <r>
    <n v="1790"/>
    <x v="1156"/>
    <n v="4"/>
    <s v="2023-11-18"/>
    <n v="2023"/>
    <x v="11"/>
    <n v="2"/>
    <n v="800.26"/>
    <n v="10"/>
    <n v="1440.4680000000001"/>
    <s v="COD"/>
    <x v="2"/>
  </r>
  <r>
    <n v="1791"/>
    <x v="1156"/>
    <n v="23"/>
    <s v="2023-06-17"/>
    <n v="2023"/>
    <x v="4"/>
    <n v="3"/>
    <n v="258.08"/>
    <n v="0"/>
    <n v="774.24"/>
    <s v="UPI"/>
    <x v="1"/>
  </r>
  <r>
    <n v="1792"/>
    <x v="1156"/>
    <n v="42"/>
    <s v="2023-10-17"/>
    <n v="2023"/>
    <x v="10"/>
    <n v="3"/>
    <n v="233.11"/>
    <n v="0"/>
    <n v="699.33"/>
    <s v="Wallet"/>
    <x v="1"/>
  </r>
  <r>
    <n v="1793"/>
    <x v="1156"/>
    <n v="8"/>
    <s v="2024-01-06"/>
    <n v="2024"/>
    <x v="5"/>
    <n v="3"/>
    <n v="155.08000000000001"/>
    <n v="5"/>
    <n v="441.97800000000001"/>
    <s v="COD"/>
    <x v="0"/>
  </r>
  <r>
    <n v="1794"/>
    <x v="1156"/>
    <n v="9"/>
    <s v="2024-04-19"/>
    <n v="2024"/>
    <x v="3"/>
    <n v="1"/>
    <n v="43.26"/>
    <n v="5"/>
    <n v="41.096999999999994"/>
    <s v="Debit Card"/>
    <x v="2"/>
  </r>
  <r>
    <n v="1795"/>
    <x v="1156"/>
    <n v="14"/>
    <s v="2023-09-25"/>
    <n v="2023"/>
    <x v="8"/>
    <n v="1"/>
    <n v="574.25"/>
    <n v="5"/>
    <n v="545.53750000000002"/>
    <s v="Credit Card"/>
    <x v="3"/>
  </r>
  <r>
    <n v="1796"/>
    <x v="1157"/>
    <n v="47"/>
    <s v="2024-05-12"/>
    <n v="2024"/>
    <x v="0"/>
    <n v="2"/>
    <n v="1126.96"/>
    <n v="10"/>
    <n v="2028.528"/>
    <s v="Credit Card"/>
    <x v="3"/>
  </r>
  <r>
    <n v="1797"/>
    <x v="1157"/>
    <n v="53"/>
    <s v="2023-06-25"/>
    <n v="2023"/>
    <x v="4"/>
    <n v="1"/>
    <n v="194.34"/>
    <n v="15"/>
    <n v="165.18899999999999"/>
    <s v="COD"/>
    <x v="1"/>
  </r>
  <r>
    <n v="1798"/>
    <x v="1157"/>
    <n v="70"/>
    <s v="2023-02-01"/>
    <n v="2023"/>
    <x v="9"/>
    <n v="3"/>
    <n v="797.23"/>
    <n v="15"/>
    <n v="2032.9365"/>
    <s v="COD"/>
    <x v="0"/>
  </r>
  <r>
    <n v="1799"/>
    <x v="1157"/>
    <n v="20"/>
    <s v="2023-10-08"/>
    <n v="2023"/>
    <x v="10"/>
    <n v="1"/>
    <n v="613.27"/>
    <n v="5"/>
    <n v="582.60649999999998"/>
    <s v="COD"/>
    <x v="1"/>
  </r>
  <r>
    <n v="1800"/>
    <x v="1157"/>
    <n v="21"/>
    <s v="2023-03-01"/>
    <n v="2023"/>
    <x v="1"/>
    <n v="2"/>
    <n v="420.66"/>
    <n v="5"/>
    <n v="799.25400000000002"/>
    <s v="Debit Card"/>
    <x v="3"/>
  </r>
  <r>
    <n v="1801"/>
    <x v="1157"/>
    <n v="8"/>
    <s v="2023-11-27"/>
    <n v="2023"/>
    <x v="11"/>
    <n v="3"/>
    <n v="155.08000000000001"/>
    <n v="20"/>
    <n v="372.19200000000001"/>
    <s v="Credit Card"/>
    <x v="0"/>
  </r>
  <r>
    <n v="1802"/>
    <x v="1158"/>
    <n v="7"/>
    <s v="2023-11-26"/>
    <n v="2023"/>
    <x v="11"/>
    <n v="3"/>
    <n v="97.29"/>
    <n v="5"/>
    <n v="277.2765"/>
    <s v="COD"/>
    <x v="3"/>
  </r>
  <r>
    <n v="1803"/>
    <x v="1158"/>
    <n v="6"/>
    <s v="2023-01-22"/>
    <n v="2023"/>
    <x v="5"/>
    <n v="1"/>
    <n v="719.19"/>
    <n v="5"/>
    <n v="683.23050000000001"/>
    <s v="Debit Card"/>
    <x v="0"/>
  </r>
  <r>
    <n v="1804"/>
    <x v="1158"/>
    <n v="18"/>
    <s v="2023-09-14"/>
    <n v="2023"/>
    <x v="8"/>
    <n v="2"/>
    <n v="138.07"/>
    <n v="10"/>
    <n v="248.52599999999998"/>
    <s v="COD"/>
    <x v="1"/>
  </r>
  <r>
    <n v="1805"/>
    <x v="1158"/>
    <n v="51"/>
    <s v="2023-01-10"/>
    <n v="2023"/>
    <x v="5"/>
    <n v="3"/>
    <n v="759.57"/>
    <n v="10"/>
    <n v="2050.8389999999999"/>
    <s v="COD"/>
    <x v="3"/>
  </r>
  <r>
    <n v="1806"/>
    <x v="1158"/>
    <n v="4"/>
    <s v="2023-12-09"/>
    <n v="2023"/>
    <x v="2"/>
    <n v="3"/>
    <n v="800.26"/>
    <n v="15"/>
    <n v="2040.6629999999998"/>
    <s v="Wallet"/>
    <x v="2"/>
  </r>
  <r>
    <n v="1807"/>
    <x v="1158"/>
    <n v="9"/>
    <s v="2023-01-21"/>
    <n v="2023"/>
    <x v="5"/>
    <n v="1"/>
    <n v="43.26"/>
    <n v="20"/>
    <n v="34.607999999999997"/>
    <s v="Credit Card"/>
    <x v="2"/>
  </r>
  <r>
    <n v="1808"/>
    <x v="1158"/>
    <n v="27"/>
    <s v="2023-04-28"/>
    <n v="2023"/>
    <x v="3"/>
    <n v="3"/>
    <n v="76.09"/>
    <n v="15"/>
    <n v="194.02950000000001"/>
    <s v="Credit Card"/>
    <x v="0"/>
  </r>
  <r>
    <n v="1809"/>
    <x v="1158"/>
    <n v="45"/>
    <s v="2023-12-26"/>
    <n v="2023"/>
    <x v="2"/>
    <n v="1"/>
    <n v="609.05999999999995"/>
    <n v="20"/>
    <n v="487.24799999999999"/>
    <s v="UPI"/>
    <x v="3"/>
  </r>
  <r>
    <n v="1810"/>
    <x v="1159"/>
    <n v="66"/>
    <s v="2024-04-05"/>
    <n v="2024"/>
    <x v="3"/>
    <n v="1"/>
    <n v="783.37"/>
    <n v="15"/>
    <n v="665.86450000000002"/>
    <s v="Debit Card"/>
    <x v="1"/>
  </r>
  <r>
    <n v="1811"/>
    <x v="1159"/>
    <n v="20"/>
    <s v="2023-10-02"/>
    <n v="2023"/>
    <x v="10"/>
    <n v="1"/>
    <n v="613.27"/>
    <n v="20"/>
    <n v="490.61599999999999"/>
    <s v="UPI"/>
    <x v="1"/>
  </r>
  <r>
    <n v="1812"/>
    <x v="1159"/>
    <n v="35"/>
    <s v="2023-10-12"/>
    <n v="2023"/>
    <x v="10"/>
    <n v="2"/>
    <n v="958.87"/>
    <n v="20"/>
    <n v="1534.192"/>
    <s v="COD"/>
    <x v="0"/>
  </r>
  <r>
    <n v="1813"/>
    <x v="1159"/>
    <n v="21"/>
    <s v="2024-03-03"/>
    <n v="2024"/>
    <x v="1"/>
    <n v="1"/>
    <n v="420.66"/>
    <n v="20"/>
    <n v="336.52800000000002"/>
    <s v="UPI"/>
    <x v="3"/>
  </r>
  <r>
    <n v="1814"/>
    <x v="1159"/>
    <n v="43"/>
    <s v="2023-04-11"/>
    <n v="2023"/>
    <x v="3"/>
    <n v="2"/>
    <n v="760.86"/>
    <n v="10"/>
    <n v="1369.548"/>
    <s v="COD"/>
    <x v="2"/>
  </r>
  <r>
    <n v="1815"/>
    <x v="1159"/>
    <n v="16"/>
    <s v="2023-11-30"/>
    <n v="2023"/>
    <x v="11"/>
    <n v="2"/>
    <n v="693.02"/>
    <n v="15"/>
    <n v="1178.134"/>
    <s v="Credit Card"/>
    <x v="1"/>
  </r>
  <r>
    <n v="1816"/>
    <x v="1160"/>
    <n v="58"/>
    <s v="2023-11-05"/>
    <n v="2023"/>
    <x v="11"/>
    <n v="3"/>
    <n v="334.98"/>
    <n v="20"/>
    <n v="803.95200000000011"/>
    <s v="COD"/>
    <x v="1"/>
  </r>
  <r>
    <n v="1817"/>
    <x v="1160"/>
    <n v="27"/>
    <s v="2023-04-05"/>
    <n v="2023"/>
    <x v="3"/>
    <n v="1"/>
    <n v="76.09"/>
    <n v="0"/>
    <n v="76.09"/>
    <s v="COD"/>
    <x v="0"/>
  </r>
  <r>
    <n v="1818"/>
    <x v="1160"/>
    <n v="14"/>
    <s v="2024-01-16"/>
    <n v="2024"/>
    <x v="5"/>
    <n v="1"/>
    <n v="574.25"/>
    <n v="5"/>
    <n v="545.53750000000002"/>
    <s v="Wallet"/>
    <x v="3"/>
  </r>
  <r>
    <n v="1819"/>
    <x v="1160"/>
    <n v="39"/>
    <s v="2024-03-02"/>
    <n v="2024"/>
    <x v="1"/>
    <n v="3"/>
    <n v="256.08999999999997"/>
    <n v="5"/>
    <n v="729.85649999999998"/>
    <s v="Wallet"/>
    <x v="0"/>
  </r>
  <r>
    <n v="1820"/>
    <x v="1160"/>
    <n v="39"/>
    <s v="2023-07-04"/>
    <n v="2023"/>
    <x v="7"/>
    <n v="2"/>
    <n v="256.08999999999997"/>
    <n v="0"/>
    <n v="512.17999999999995"/>
    <s v="Debit Card"/>
    <x v="0"/>
  </r>
  <r>
    <n v="1821"/>
    <x v="1160"/>
    <n v="73"/>
    <s v="2024-03-31"/>
    <n v="2024"/>
    <x v="1"/>
    <n v="2"/>
    <n v="943.04"/>
    <n v="5"/>
    <n v="1791.7759999999998"/>
    <s v="Wallet"/>
    <x v="1"/>
  </r>
  <r>
    <n v="1822"/>
    <x v="1161"/>
    <n v="4"/>
    <s v="2023-06-08"/>
    <n v="2023"/>
    <x v="4"/>
    <n v="1"/>
    <n v="800.26"/>
    <n v="5"/>
    <n v="760.24699999999996"/>
    <s v="Debit Card"/>
    <x v="2"/>
  </r>
  <r>
    <n v="1823"/>
    <x v="1161"/>
    <n v="43"/>
    <s v="2023-04-16"/>
    <n v="2023"/>
    <x v="3"/>
    <n v="2"/>
    <n v="760.86"/>
    <n v="15"/>
    <n v="1293.462"/>
    <s v="UPI"/>
    <x v="2"/>
  </r>
  <r>
    <n v="1824"/>
    <x v="1161"/>
    <n v="59"/>
    <s v="2023-07-20"/>
    <n v="2023"/>
    <x v="7"/>
    <n v="3"/>
    <n v="782.33"/>
    <n v="5"/>
    <n v="2229.6405"/>
    <s v="COD"/>
    <x v="0"/>
  </r>
  <r>
    <n v="1825"/>
    <x v="1161"/>
    <n v="62"/>
    <s v="2023-10-15"/>
    <n v="2023"/>
    <x v="10"/>
    <n v="3"/>
    <n v="196.96"/>
    <n v="10"/>
    <n v="531.79200000000003"/>
    <s v="Debit Card"/>
    <x v="2"/>
  </r>
  <r>
    <n v="1826"/>
    <x v="1161"/>
    <n v="10"/>
    <s v="2023-11-12"/>
    <n v="2023"/>
    <x v="11"/>
    <n v="1"/>
    <n v="64.11"/>
    <n v="0"/>
    <n v="64.11"/>
    <s v="Credit Card"/>
    <x v="0"/>
  </r>
  <r>
    <n v="1827"/>
    <x v="1161"/>
    <n v="80"/>
    <s v="2023-01-26"/>
    <n v="2023"/>
    <x v="5"/>
    <n v="1"/>
    <n v="1014.45"/>
    <n v="10"/>
    <n v="913.00500000000011"/>
    <s v="Credit Card"/>
    <x v="3"/>
  </r>
  <r>
    <n v="1828"/>
    <x v="1161"/>
    <n v="39"/>
    <s v="2023-08-16"/>
    <n v="2023"/>
    <x v="6"/>
    <n v="2"/>
    <n v="256.08999999999997"/>
    <n v="20"/>
    <n v="409.74399999999997"/>
    <s v="Debit Card"/>
    <x v="0"/>
  </r>
  <r>
    <n v="1829"/>
    <x v="1162"/>
    <n v="13"/>
    <s v="2023-01-28"/>
    <n v="2023"/>
    <x v="5"/>
    <n v="2"/>
    <n v="334.61"/>
    <n v="5"/>
    <n v="635.75900000000001"/>
    <s v="Debit Card"/>
    <x v="1"/>
  </r>
  <r>
    <n v="1830"/>
    <x v="1162"/>
    <n v="55"/>
    <s v="2024-01-15"/>
    <n v="2024"/>
    <x v="5"/>
    <n v="2"/>
    <n v="1016.06"/>
    <n v="0"/>
    <n v="2032.12"/>
    <s v="UPI"/>
    <x v="0"/>
  </r>
  <r>
    <n v="1831"/>
    <x v="1162"/>
    <n v="54"/>
    <s v="2023-12-01"/>
    <n v="2023"/>
    <x v="2"/>
    <n v="1"/>
    <n v="900.79"/>
    <n v="10"/>
    <n v="810.71100000000001"/>
    <s v="Credit Card"/>
    <x v="2"/>
  </r>
  <r>
    <n v="1832"/>
    <x v="1162"/>
    <n v="16"/>
    <s v="2023-06-04"/>
    <n v="2023"/>
    <x v="4"/>
    <n v="1"/>
    <n v="693.02"/>
    <n v="10"/>
    <n v="623.71799999999996"/>
    <s v="COD"/>
    <x v="1"/>
  </r>
  <r>
    <n v="1833"/>
    <x v="1162"/>
    <n v="27"/>
    <s v="2023-03-03"/>
    <n v="2023"/>
    <x v="1"/>
    <n v="3"/>
    <n v="76.09"/>
    <n v="0"/>
    <n v="228.27"/>
    <s v="COD"/>
    <x v="0"/>
  </r>
  <r>
    <n v="1834"/>
    <x v="1162"/>
    <n v="23"/>
    <s v="2023-01-08"/>
    <n v="2023"/>
    <x v="5"/>
    <n v="1"/>
    <n v="258.08"/>
    <n v="0"/>
    <n v="258.08"/>
    <s v="Debit Card"/>
    <x v="1"/>
  </r>
  <r>
    <n v="1835"/>
    <x v="1163"/>
    <n v="59"/>
    <s v="2024-03-21"/>
    <n v="2024"/>
    <x v="1"/>
    <n v="3"/>
    <n v="782.33"/>
    <n v="20"/>
    <n v="1877.5920000000003"/>
    <s v="UPI"/>
    <x v="0"/>
  </r>
  <r>
    <n v="1836"/>
    <x v="1163"/>
    <n v="35"/>
    <s v="2023-01-12"/>
    <n v="2023"/>
    <x v="5"/>
    <n v="3"/>
    <n v="958.87"/>
    <n v="20"/>
    <n v="2301.288"/>
    <s v="COD"/>
    <x v="0"/>
  </r>
  <r>
    <n v="1837"/>
    <x v="1163"/>
    <n v="9"/>
    <s v="2024-01-10"/>
    <n v="2024"/>
    <x v="5"/>
    <n v="3"/>
    <n v="43.26"/>
    <n v="5"/>
    <n v="123.291"/>
    <s v="Debit Card"/>
    <x v="2"/>
  </r>
  <r>
    <n v="1838"/>
    <x v="1163"/>
    <n v="9"/>
    <s v="2023-07-23"/>
    <n v="2023"/>
    <x v="7"/>
    <n v="3"/>
    <n v="43.26"/>
    <n v="15"/>
    <n v="110.313"/>
    <s v="Credit Card"/>
    <x v="2"/>
  </r>
  <r>
    <n v="1839"/>
    <x v="1163"/>
    <n v="5"/>
    <s v="2023-09-12"/>
    <n v="2023"/>
    <x v="8"/>
    <n v="2"/>
    <n v="296.85000000000002"/>
    <n v="15"/>
    <n v="504.64500000000004"/>
    <s v="COD"/>
    <x v="0"/>
  </r>
  <r>
    <n v="1840"/>
    <x v="1163"/>
    <n v="23"/>
    <s v="2024-05-13"/>
    <n v="2024"/>
    <x v="0"/>
    <n v="1"/>
    <n v="258.08"/>
    <n v="20"/>
    <n v="206.464"/>
    <s v="Credit Card"/>
    <x v="1"/>
  </r>
  <r>
    <n v="1841"/>
    <x v="1163"/>
    <n v="9"/>
    <s v="2024-05-06"/>
    <n v="2024"/>
    <x v="0"/>
    <n v="2"/>
    <n v="43.26"/>
    <n v="10"/>
    <n v="77.867999999999995"/>
    <s v="COD"/>
    <x v="2"/>
  </r>
  <r>
    <n v="1842"/>
    <x v="1163"/>
    <n v="26"/>
    <s v="2024-02-15"/>
    <n v="2024"/>
    <x v="9"/>
    <n v="2"/>
    <n v="272.61"/>
    <n v="0"/>
    <n v="545.22"/>
    <s v="UPI"/>
    <x v="1"/>
  </r>
  <r>
    <n v="1843"/>
    <x v="1164"/>
    <n v="25"/>
    <s v="2023-05-01"/>
    <n v="2023"/>
    <x v="0"/>
    <n v="3"/>
    <n v="1011.65"/>
    <n v="15"/>
    <n v="2579.7075"/>
    <s v="Credit Card"/>
    <x v="2"/>
  </r>
  <r>
    <n v="1844"/>
    <x v="1164"/>
    <n v="6"/>
    <s v="2024-03-23"/>
    <n v="2024"/>
    <x v="1"/>
    <n v="3"/>
    <n v="719.19"/>
    <n v="15"/>
    <n v="1833.9345000000001"/>
    <s v="Wallet"/>
    <x v="0"/>
  </r>
  <r>
    <n v="1845"/>
    <x v="1164"/>
    <n v="63"/>
    <s v="2024-02-10"/>
    <n v="2024"/>
    <x v="9"/>
    <n v="1"/>
    <n v="309.79000000000002"/>
    <n v="0"/>
    <n v="309.79000000000002"/>
    <s v="UPI"/>
    <x v="2"/>
  </r>
  <r>
    <n v="1846"/>
    <x v="1164"/>
    <n v="47"/>
    <s v="2023-02-15"/>
    <n v="2023"/>
    <x v="9"/>
    <n v="3"/>
    <n v="1126.96"/>
    <n v="10"/>
    <n v="3042.7920000000004"/>
    <s v="COD"/>
    <x v="3"/>
  </r>
  <r>
    <n v="1847"/>
    <x v="1164"/>
    <n v="61"/>
    <s v="2023-10-06"/>
    <n v="2023"/>
    <x v="10"/>
    <n v="1"/>
    <n v="498.92"/>
    <n v="10"/>
    <n v="449.02800000000002"/>
    <s v="UPI"/>
    <x v="0"/>
  </r>
  <r>
    <n v="1848"/>
    <x v="1164"/>
    <n v="71"/>
    <s v="2023-10-04"/>
    <n v="2023"/>
    <x v="10"/>
    <n v="1"/>
    <n v="780.27"/>
    <n v="10"/>
    <n v="702.24300000000005"/>
    <s v="UPI"/>
    <x v="2"/>
  </r>
  <r>
    <n v="1849"/>
    <x v="1165"/>
    <n v="53"/>
    <s v="2023-03-31"/>
    <n v="2023"/>
    <x v="1"/>
    <n v="3"/>
    <n v="194.34"/>
    <n v="15"/>
    <n v="495.56699999999995"/>
    <s v="UPI"/>
    <x v="1"/>
  </r>
  <r>
    <n v="1850"/>
    <x v="1165"/>
    <n v="60"/>
    <s v="2023-06-27"/>
    <n v="2023"/>
    <x v="4"/>
    <n v="2"/>
    <n v="830.49"/>
    <n v="5"/>
    <n v="1577.931"/>
    <s v="COD"/>
    <x v="0"/>
  </r>
  <r>
    <n v="1851"/>
    <x v="1165"/>
    <n v="70"/>
    <s v="2023-07-28"/>
    <n v="2023"/>
    <x v="7"/>
    <n v="2"/>
    <n v="797.23"/>
    <n v="15"/>
    <n v="1355.2909999999999"/>
    <s v="Credit Card"/>
    <x v="0"/>
  </r>
  <r>
    <n v="1852"/>
    <x v="1165"/>
    <n v="78"/>
    <s v="2023-05-10"/>
    <n v="2023"/>
    <x v="0"/>
    <n v="1"/>
    <n v="795.77"/>
    <n v="10"/>
    <n v="716.19299999999998"/>
    <s v="UPI"/>
    <x v="3"/>
  </r>
  <r>
    <n v="1853"/>
    <x v="1165"/>
    <n v="60"/>
    <s v="2023-08-19"/>
    <n v="2023"/>
    <x v="6"/>
    <n v="3"/>
    <n v="830.49"/>
    <n v="5"/>
    <n v="2366.8965000000003"/>
    <s v="Credit Card"/>
    <x v="0"/>
  </r>
  <r>
    <n v="1854"/>
    <x v="1165"/>
    <n v="44"/>
    <s v="2023-09-17"/>
    <n v="2023"/>
    <x v="8"/>
    <n v="3"/>
    <n v="1038"/>
    <n v="5"/>
    <n v="2958.2999999999997"/>
    <s v="Wallet"/>
    <x v="1"/>
  </r>
  <r>
    <n v="1855"/>
    <x v="1165"/>
    <n v="44"/>
    <s v="2023-10-04"/>
    <n v="2023"/>
    <x v="10"/>
    <n v="3"/>
    <n v="1038"/>
    <n v="5"/>
    <n v="2958.2999999999997"/>
    <s v="Wallet"/>
    <x v="1"/>
  </r>
  <r>
    <n v="1856"/>
    <x v="1165"/>
    <n v="18"/>
    <s v="2024-05-15"/>
    <n v="2024"/>
    <x v="0"/>
    <n v="1"/>
    <n v="138.07"/>
    <n v="15"/>
    <n v="117.3595"/>
    <s v="Credit Card"/>
    <x v="1"/>
  </r>
  <r>
    <n v="1857"/>
    <x v="1166"/>
    <n v="54"/>
    <s v="2024-03-26"/>
    <n v="2024"/>
    <x v="1"/>
    <n v="1"/>
    <n v="900.79"/>
    <n v="20"/>
    <n v="720.63200000000006"/>
    <s v="Wallet"/>
    <x v="2"/>
  </r>
  <r>
    <n v="1858"/>
    <x v="1166"/>
    <n v="6"/>
    <s v="2023-09-24"/>
    <n v="2023"/>
    <x v="8"/>
    <n v="1"/>
    <n v="719.19"/>
    <n v="20"/>
    <n v="575.35200000000009"/>
    <s v="Credit Card"/>
    <x v="0"/>
  </r>
  <r>
    <n v="1859"/>
    <x v="1166"/>
    <n v="33"/>
    <s v="2024-04-23"/>
    <n v="2024"/>
    <x v="3"/>
    <n v="3"/>
    <n v="965.4"/>
    <n v="5"/>
    <n v="2751.39"/>
    <s v="Debit Card"/>
    <x v="3"/>
  </r>
  <r>
    <n v="1860"/>
    <x v="1166"/>
    <n v="43"/>
    <s v="2023-09-08"/>
    <n v="2023"/>
    <x v="8"/>
    <n v="1"/>
    <n v="760.86"/>
    <n v="10"/>
    <n v="684.774"/>
    <s v="UPI"/>
    <x v="2"/>
  </r>
  <r>
    <n v="1861"/>
    <x v="1166"/>
    <n v="71"/>
    <s v="2024-04-24"/>
    <n v="2024"/>
    <x v="3"/>
    <n v="2"/>
    <n v="780.27"/>
    <n v="20"/>
    <n v="1248.432"/>
    <s v="COD"/>
    <x v="2"/>
  </r>
  <r>
    <n v="1862"/>
    <x v="1166"/>
    <n v="29"/>
    <s v="2023-10-23"/>
    <n v="2023"/>
    <x v="10"/>
    <n v="2"/>
    <n v="757"/>
    <n v="15"/>
    <n v="1286.8999999999999"/>
    <s v="Credit Card"/>
    <x v="0"/>
  </r>
  <r>
    <n v="1863"/>
    <x v="1167"/>
    <n v="29"/>
    <s v="2023-11-24"/>
    <n v="2023"/>
    <x v="11"/>
    <n v="3"/>
    <n v="757"/>
    <n v="15"/>
    <n v="1930.35"/>
    <s v="Debit Card"/>
    <x v="0"/>
  </r>
  <r>
    <n v="1864"/>
    <x v="1167"/>
    <n v="25"/>
    <s v="2024-01-02"/>
    <n v="2024"/>
    <x v="5"/>
    <n v="1"/>
    <n v="1011.65"/>
    <n v="20"/>
    <n v="809.32"/>
    <s v="Credit Card"/>
    <x v="2"/>
  </r>
  <r>
    <n v="1865"/>
    <x v="1167"/>
    <n v="64"/>
    <s v="2023-03-15"/>
    <n v="2023"/>
    <x v="1"/>
    <n v="1"/>
    <n v="567.71"/>
    <n v="10"/>
    <n v="510.93900000000002"/>
    <s v="Debit Card"/>
    <x v="0"/>
  </r>
  <r>
    <n v="1866"/>
    <x v="1167"/>
    <n v="52"/>
    <s v="2023-06-05"/>
    <n v="2023"/>
    <x v="4"/>
    <n v="1"/>
    <n v="256.76"/>
    <n v="20"/>
    <n v="205.40800000000002"/>
    <s v="Credit Card"/>
    <x v="1"/>
  </r>
  <r>
    <n v="1867"/>
    <x v="1167"/>
    <n v="25"/>
    <s v="2023-01-13"/>
    <n v="2023"/>
    <x v="5"/>
    <n v="1"/>
    <n v="1011.65"/>
    <n v="0"/>
    <n v="1011.65"/>
    <s v="UPI"/>
    <x v="2"/>
  </r>
  <r>
    <n v="1868"/>
    <x v="1168"/>
    <n v="16"/>
    <s v="2023-04-17"/>
    <n v="2023"/>
    <x v="3"/>
    <n v="1"/>
    <n v="693.02"/>
    <n v="0"/>
    <n v="693.02"/>
    <s v="Credit Card"/>
    <x v="1"/>
  </r>
  <r>
    <n v="1869"/>
    <x v="1168"/>
    <n v="33"/>
    <s v="2023-08-20"/>
    <n v="2023"/>
    <x v="6"/>
    <n v="1"/>
    <n v="965.4"/>
    <n v="15"/>
    <n v="820.58999999999992"/>
    <s v="UPI"/>
    <x v="3"/>
  </r>
  <r>
    <n v="1870"/>
    <x v="1168"/>
    <n v="52"/>
    <s v="2023-01-06"/>
    <n v="2023"/>
    <x v="5"/>
    <n v="3"/>
    <n v="256.76"/>
    <n v="20"/>
    <n v="616.22400000000005"/>
    <s v="UPI"/>
    <x v="1"/>
  </r>
  <r>
    <n v="1871"/>
    <x v="1168"/>
    <n v="44"/>
    <s v="2023-07-18"/>
    <n v="2023"/>
    <x v="7"/>
    <n v="2"/>
    <n v="1038"/>
    <n v="5"/>
    <n v="1972.1999999999998"/>
    <s v="UPI"/>
    <x v="1"/>
  </r>
  <r>
    <n v="1872"/>
    <x v="1168"/>
    <n v="55"/>
    <s v="2023-11-14"/>
    <n v="2023"/>
    <x v="11"/>
    <n v="3"/>
    <n v="1016.06"/>
    <n v="15"/>
    <n v="2590.953"/>
    <s v="Wallet"/>
    <x v="0"/>
  </r>
  <r>
    <n v="1873"/>
    <x v="1168"/>
    <n v="76"/>
    <s v="2023-01-22"/>
    <n v="2023"/>
    <x v="5"/>
    <n v="3"/>
    <n v="1043.26"/>
    <n v="15"/>
    <n v="2660.3129999999996"/>
    <s v="Credit Card"/>
    <x v="0"/>
  </r>
  <r>
    <n v="1874"/>
    <x v="1168"/>
    <n v="64"/>
    <s v="2023-06-13"/>
    <n v="2023"/>
    <x v="4"/>
    <n v="2"/>
    <n v="567.71"/>
    <n v="0"/>
    <n v="1135.42"/>
    <s v="UPI"/>
    <x v="0"/>
  </r>
  <r>
    <n v="1875"/>
    <x v="1169"/>
    <n v="61"/>
    <s v="2024-03-16"/>
    <n v="2024"/>
    <x v="1"/>
    <n v="2"/>
    <n v="498.92"/>
    <n v="20"/>
    <n v="798.27200000000005"/>
    <s v="Credit Card"/>
    <x v="0"/>
  </r>
  <r>
    <n v="1876"/>
    <x v="1169"/>
    <n v="55"/>
    <s v="2023-12-19"/>
    <n v="2023"/>
    <x v="2"/>
    <n v="3"/>
    <n v="1016.06"/>
    <n v="20"/>
    <n v="2438.5439999999999"/>
    <s v="UPI"/>
    <x v="0"/>
  </r>
  <r>
    <n v="1877"/>
    <x v="1169"/>
    <n v="63"/>
    <s v="2023-01-14"/>
    <n v="2023"/>
    <x v="5"/>
    <n v="2"/>
    <n v="309.79000000000002"/>
    <n v="0"/>
    <n v="619.58000000000004"/>
    <s v="COD"/>
    <x v="2"/>
  </r>
  <r>
    <n v="1878"/>
    <x v="1169"/>
    <n v="12"/>
    <s v="2023-09-01"/>
    <n v="2023"/>
    <x v="8"/>
    <n v="2"/>
    <n v="627.41999999999996"/>
    <n v="20"/>
    <n v="1003.872"/>
    <s v="Credit Card"/>
    <x v="3"/>
  </r>
  <r>
    <n v="1879"/>
    <x v="1169"/>
    <n v="11"/>
    <s v="2023-05-06"/>
    <n v="2023"/>
    <x v="0"/>
    <n v="3"/>
    <n v="1038.77"/>
    <n v="0"/>
    <n v="3116.31"/>
    <s v="COD"/>
    <x v="3"/>
  </r>
  <r>
    <n v="1880"/>
    <x v="1169"/>
    <n v="49"/>
    <s v="2024-01-19"/>
    <n v="2024"/>
    <x v="5"/>
    <n v="2"/>
    <n v="974.54"/>
    <n v="5"/>
    <n v="1851.6259999999997"/>
    <s v="Wallet"/>
    <x v="1"/>
  </r>
  <r>
    <n v="1881"/>
    <x v="1169"/>
    <n v="61"/>
    <s v="2023-01-18"/>
    <n v="2023"/>
    <x v="5"/>
    <n v="2"/>
    <n v="498.92"/>
    <n v="10"/>
    <n v="898.05600000000004"/>
    <s v="Wallet"/>
    <x v="0"/>
  </r>
  <r>
    <n v="1882"/>
    <x v="1170"/>
    <n v="58"/>
    <s v="2023-04-21"/>
    <n v="2023"/>
    <x v="3"/>
    <n v="3"/>
    <n v="334.98"/>
    <n v="15"/>
    <n v="854.19900000000007"/>
    <s v="Credit Card"/>
    <x v="1"/>
  </r>
  <r>
    <n v="1883"/>
    <x v="1170"/>
    <n v="2"/>
    <s v="2023-12-17"/>
    <n v="2023"/>
    <x v="2"/>
    <n v="1"/>
    <n v="427.27"/>
    <n v="20"/>
    <n v="341.81600000000003"/>
    <s v="Credit Card"/>
    <x v="1"/>
  </r>
  <r>
    <n v="1884"/>
    <x v="1170"/>
    <n v="65"/>
    <s v="2023-08-16"/>
    <n v="2023"/>
    <x v="6"/>
    <n v="1"/>
    <n v="1189.73"/>
    <n v="20"/>
    <n v="951.78400000000011"/>
    <s v="Debit Card"/>
    <x v="1"/>
  </r>
  <r>
    <n v="1885"/>
    <x v="1170"/>
    <n v="60"/>
    <s v="2023-05-21"/>
    <n v="2023"/>
    <x v="0"/>
    <n v="3"/>
    <n v="830.49"/>
    <n v="20"/>
    <n v="1993.1760000000004"/>
    <s v="COD"/>
    <x v="0"/>
  </r>
  <r>
    <n v="1886"/>
    <x v="1170"/>
    <n v="69"/>
    <s v="2023-12-01"/>
    <n v="2023"/>
    <x v="2"/>
    <n v="3"/>
    <n v="951.81"/>
    <n v="0"/>
    <n v="2855.43"/>
    <s v="UPI"/>
    <x v="0"/>
  </r>
  <r>
    <n v="1887"/>
    <x v="1170"/>
    <n v="75"/>
    <s v="2023-03-02"/>
    <n v="2023"/>
    <x v="1"/>
    <n v="3"/>
    <n v="390.41"/>
    <n v="20"/>
    <n v="936.98400000000004"/>
    <s v="COD"/>
    <x v="2"/>
  </r>
  <r>
    <n v="1888"/>
    <x v="1171"/>
    <n v="23"/>
    <s v="2024-04-06"/>
    <n v="2024"/>
    <x v="3"/>
    <n v="2"/>
    <n v="258.08"/>
    <n v="10"/>
    <n v="464.54399999999998"/>
    <s v="Debit Card"/>
    <x v="1"/>
  </r>
  <r>
    <n v="1889"/>
    <x v="1171"/>
    <n v="6"/>
    <s v="2023-05-29"/>
    <n v="2023"/>
    <x v="0"/>
    <n v="3"/>
    <n v="719.19"/>
    <n v="10"/>
    <n v="1941.8130000000001"/>
    <s v="COD"/>
    <x v="0"/>
  </r>
  <r>
    <n v="1890"/>
    <x v="1171"/>
    <n v="15"/>
    <s v="2023-12-18"/>
    <n v="2023"/>
    <x v="2"/>
    <n v="1"/>
    <n v="1183.2"/>
    <n v="0"/>
    <n v="1183.2"/>
    <s v="Debit Card"/>
    <x v="2"/>
  </r>
  <r>
    <n v="1891"/>
    <x v="1171"/>
    <n v="62"/>
    <s v="2023-09-06"/>
    <n v="2023"/>
    <x v="8"/>
    <n v="1"/>
    <n v="196.96"/>
    <n v="0"/>
    <n v="196.96"/>
    <s v="COD"/>
    <x v="2"/>
  </r>
  <r>
    <n v="1892"/>
    <x v="1171"/>
    <n v="23"/>
    <s v="2024-01-31"/>
    <n v="2024"/>
    <x v="5"/>
    <n v="2"/>
    <n v="258.08"/>
    <n v="0"/>
    <n v="516.16"/>
    <s v="UPI"/>
    <x v="1"/>
  </r>
  <r>
    <n v="1893"/>
    <x v="1171"/>
    <n v="24"/>
    <s v="2023-04-25"/>
    <n v="2023"/>
    <x v="3"/>
    <n v="2"/>
    <n v="1019.85"/>
    <n v="20"/>
    <n v="1631.7600000000002"/>
    <s v="COD"/>
    <x v="3"/>
  </r>
  <r>
    <n v="1894"/>
    <x v="1171"/>
    <n v="30"/>
    <s v="2024-01-01"/>
    <n v="2024"/>
    <x v="5"/>
    <n v="2"/>
    <n v="866.89"/>
    <n v="0"/>
    <n v="1733.78"/>
    <s v="Credit Card"/>
    <x v="2"/>
  </r>
  <r>
    <n v="1895"/>
    <x v="1171"/>
    <n v="22"/>
    <s v="2023-03-13"/>
    <n v="2023"/>
    <x v="1"/>
    <n v="1"/>
    <n v="373.43"/>
    <n v="20"/>
    <n v="298.74400000000003"/>
    <s v="Wallet"/>
    <x v="3"/>
  </r>
  <r>
    <n v="1896"/>
    <x v="1172"/>
    <n v="4"/>
    <s v="2023-08-13"/>
    <n v="2023"/>
    <x v="6"/>
    <n v="2"/>
    <n v="800.26"/>
    <n v="10"/>
    <n v="1440.4680000000001"/>
    <s v="COD"/>
    <x v="2"/>
  </r>
  <r>
    <n v="1897"/>
    <x v="1172"/>
    <n v="3"/>
    <s v="2023-12-29"/>
    <n v="2023"/>
    <x v="2"/>
    <n v="3"/>
    <n v="506.08"/>
    <n v="10"/>
    <n v="1366.4159999999999"/>
    <s v="Wallet"/>
    <x v="0"/>
  </r>
  <r>
    <n v="1898"/>
    <x v="1172"/>
    <n v="14"/>
    <s v="2023-08-03"/>
    <n v="2023"/>
    <x v="6"/>
    <n v="2"/>
    <n v="574.25"/>
    <n v="0"/>
    <n v="1148.5"/>
    <s v="UPI"/>
    <x v="3"/>
  </r>
  <r>
    <n v="1899"/>
    <x v="1172"/>
    <n v="56"/>
    <s v="2023-10-13"/>
    <n v="2023"/>
    <x v="10"/>
    <n v="3"/>
    <n v="396.01"/>
    <n v="15"/>
    <n v="1009.8254999999999"/>
    <s v="Credit Card"/>
    <x v="1"/>
  </r>
  <r>
    <n v="1900"/>
    <x v="1172"/>
    <n v="9"/>
    <s v="2023-02-14"/>
    <n v="2023"/>
    <x v="9"/>
    <n v="2"/>
    <n v="43.26"/>
    <n v="10"/>
    <n v="77.867999999999995"/>
    <s v="COD"/>
    <x v="2"/>
  </r>
  <r>
    <n v="1901"/>
    <x v="1172"/>
    <n v="52"/>
    <s v="2023-09-17"/>
    <n v="2023"/>
    <x v="8"/>
    <n v="1"/>
    <n v="256.76"/>
    <n v="5"/>
    <n v="243.92199999999997"/>
    <s v="Credit Card"/>
    <x v="1"/>
  </r>
  <r>
    <n v="1902"/>
    <x v="1173"/>
    <n v="4"/>
    <s v="2023-03-24"/>
    <n v="2023"/>
    <x v="1"/>
    <n v="1"/>
    <n v="800.26"/>
    <n v="20"/>
    <n v="640.20800000000008"/>
    <s v="Debit Card"/>
    <x v="2"/>
  </r>
  <r>
    <n v="1903"/>
    <x v="1173"/>
    <n v="26"/>
    <s v="2023-08-17"/>
    <n v="2023"/>
    <x v="6"/>
    <n v="3"/>
    <n v="272.61"/>
    <n v="20"/>
    <n v="654.26400000000012"/>
    <s v="UPI"/>
    <x v="1"/>
  </r>
  <r>
    <n v="1904"/>
    <x v="1173"/>
    <n v="72"/>
    <s v="2023-05-15"/>
    <n v="2023"/>
    <x v="0"/>
    <n v="2"/>
    <n v="1157.27"/>
    <n v="0"/>
    <n v="2314.54"/>
    <s v="Debit Card"/>
    <x v="2"/>
  </r>
  <r>
    <n v="1905"/>
    <x v="1173"/>
    <n v="75"/>
    <s v="2023-07-31"/>
    <n v="2023"/>
    <x v="7"/>
    <n v="1"/>
    <n v="390.41"/>
    <n v="20"/>
    <n v="312.32800000000003"/>
    <s v="Credit Card"/>
    <x v="2"/>
  </r>
  <r>
    <n v="1906"/>
    <x v="1173"/>
    <n v="30"/>
    <s v="2023-04-14"/>
    <n v="2023"/>
    <x v="3"/>
    <n v="1"/>
    <n v="866.89"/>
    <n v="10"/>
    <n v="780.20100000000002"/>
    <s v="Debit Card"/>
    <x v="2"/>
  </r>
  <r>
    <n v="1907"/>
    <x v="1173"/>
    <n v="51"/>
    <s v="2023-01-06"/>
    <n v="2023"/>
    <x v="5"/>
    <n v="2"/>
    <n v="759.57"/>
    <n v="0"/>
    <n v="1519.14"/>
    <s v="Wallet"/>
    <x v="3"/>
  </r>
  <r>
    <n v="1908"/>
    <x v="1173"/>
    <n v="2"/>
    <s v="2023-02-27"/>
    <n v="2023"/>
    <x v="9"/>
    <n v="3"/>
    <n v="427.27"/>
    <n v="10"/>
    <n v="1153.6289999999999"/>
    <s v="Wallet"/>
    <x v="1"/>
  </r>
  <r>
    <n v="1909"/>
    <x v="1174"/>
    <n v="68"/>
    <s v="2023-01-05"/>
    <n v="2023"/>
    <x v="5"/>
    <n v="2"/>
    <n v="180.99"/>
    <n v="5"/>
    <n v="343.88100000000003"/>
    <s v="UPI"/>
    <x v="0"/>
  </r>
  <r>
    <n v="1910"/>
    <x v="1174"/>
    <n v="32"/>
    <s v="2024-03-16"/>
    <n v="2024"/>
    <x v="1"/>
    <n v="2"/>
    <n v="342.57"/>
    <n v="5"/>
    <n v="650.88299999999992"/>
    <s v="Debit Card"/>
    <x v="0"/>
  </r>
  <r>
    <n v="1911"/>
    <x v="1174"/>
    <n v="61"/>
    <s v="2023-09-02"/>
    <n v="2023"/>
    <x v="8"/>
    <n v="2"/>
    <n v="498.92"/>
    <n v="5"/>
    <n v="947.94799999999998"/>
    <s v="Credit Card"/>
    <x v="0"/>
  </r>
  <r>
    <n v="1912"/>
    <x v="1174"/>
    <n v="23"/>
    <s v="2023-07-18"/>
    <n v="2023"/>
    <x v="7"/>
    <n v="3"/>
    <n v="258.08"/>
    <n v="20"/>
    <n v="619.39200000000005"/>
    <s v="Credit Card"/>
    <x v="1"/>
  </r>
  <r>
    <n v="1913"/>
    <x v="1174"/>
    <n v="19"/>
    <s v="2023-12-08"/>
    <n v="2023"/>
    <x v="2"/>
    <n v="1"/>
    <n v="262.97000000000003"/>
    <n v="20"/>
    <n v="210.37600000000003"/>
    <s v="Debit Card"/>
    <x v="3"/>
  </r>
  <r>
    <n v="1914"/>
    <x v="1174"/>
    <n v="9"/>
    <s v="2023-09-02"/>
    <n v="2023"/>
    <x v="8"/>
    <n v="3"/>
    <n v="43.26"/>
    <n v="0"/>
    <n v="129.78"/>
    <s v="Wallet"/>
    <x v="2"/>
  </r>
  <r>
    <n v="1915"/>
    <x v="1174"/>
    <n v="22"/>
    <s v="2023-05-07"/>
    <n v="2023"/>
    <x v="0"/>
    <n v="3"/>
    <n v="373.43"/>
    <n v="15"/>
    <n v="952.24649999999997"/>
    <s v="UPI"/>
    <x v="3"/>
  </r>
  <r>
    <n v="1916"/>
    <x v="1174"/>
    <n v="29"/>
    <s v="2024-02-28"/>
    <n v="2024"/>
    <x v="9"/>
    <n v="2"/>
    <n v="757"/>
    <n v="15"/>
    <n v="1286.8999999999999"/>
    <s v="Credit Card"/>
    <x v="0"/>
  </r>
  <r>
    <n v="1917"/>
    <x v="1175"/>
    <n v="56"/>
    <s v="2023-01-22"/>
    <n v="2023"/>
    <x v="5"/>
    <n v="2"/>
    <n v="396.01"/>
    <n v="15"/>
    <n v="673.21699999999998"/>
    <s v="Credit Card"/>
    <x v="1"/>
  </r>
  <r>
    <n v="1918"/>
    <x v="1175"/>
    <n v="25"/>
    <s v="2023-12-10"/>
    <n v="2023"/>
    <x v="2"/>
    <n v="3"/>
    <n v="1011.65"/>
    <n v="10"/>
    <n v="2731.4549999999999"/>
    <s v="COD"/>
    <x v="2"/>
  </r>
  <r>
    <n v="1919"/>
    <x v="1175"/>
    <n v="58"/>
    <s v="2023-11-07"/>
    <n v="2023"/>
    <x v="11"/>
    <n v="1"/>
    <n v="334.98"/>
    <n v="5"/>
    <n v="318.23099999999999"/>
    <s v="COD"/>
    <x v="1"/>
  </r>
  <r>
    <n v="1920"/>
    <x v="1175"/>
    <n v="79"/>
    <s v="2024-05-01"/>
    <n v="2024"/>
    <x v="0"/>
    <n v="3"/>
    <n v="488.34"/>
    <n v="15"/>
    <n v="1245.2670000000001"/>
    <s v="Debit Card"/>
    <x v="2"/>
  </r>
  <r>
    <n v="1921"/>
    <x v="1175"/>
    <n v="31"/>
    <s v="2023-11-03"/>
    <n v="2023"/>
    <x v="11"/>
    <n v="3"/>
    <n v="131.79"/>
    <n v="10"/>
    <n v="355.83300000000003"/>
    <s v="COD"/>
    <x v="3"/>
  </r>
  <r>
    <n v="1922"/>
    <x v="1176"/>
    <n v="10"/>
    <s v="2023-08-10"/>
    <n v="2023"/>
    <x v="6"/>
    <n v="3"/>
    <n v="64.11"/>
    <n v="0"/>
    <n v="192.32999999999998"/>
    <s v="COD"/>
    <x v="0"/>
  </r>
  <r>
    <n v="1923"/>
    <x v="1176"/>
    <n v="9"/>
    <s v="2023-10-15"/>
    <n v="2023"/>
    <x v="10"/>
    <n v="1"/>
    <n v="43.26"/>
    <n v="5"/>
    <n v="41.096999999999994"/>
    <s v="Credit Card"/>
    <x v="2"/>
  </r>
  <r>
    <n v="1924"/>
    <x v="1176"/>
    <n v="48"/>
    <s v="2023-05-23"/>
    <n v="2023"/>
    <x v="0"/>
    <n v="2"/>
    <n v="1125.8499999999999"/>
    <n v="10"/>
    <n v="2026.53"/>
    <s v="COD"/>
    <x v="0"/>
  </r>
  <r>
    <n v="1925"/>
    <x v="1176"/>
    <n v="44"/>
    <s v="2023-06-05"/>
    <n v="2023"/>
    <x v="4"/>
    <n v="3"/>
    <n v="1038"/>
    <n v="20"/>
    <n v="2491.2000000000003"/>
    <s v="UPI"/>
    <x v="1"/>
  </r>
  <r>
    <n v="1926"/>
    <x v="1176"/>
    <n v="40"/>
    <s v="2024-03-13"/>
    <n v="2024"/>
    <x v="1"/>
    <n v="2"/>
    <n v="316.49"/>
    <n v="20"/>
    <n v="506.38400000000001"/>
    <s v="COD"/>
    <x v="1"/>
  </r>
  <r>
    <n v="1927"/>
    <x v="1177"/>
    <n v="50"/>
    <s v="2024-01-23"/>
    <n v="2024"/>
    <x v="5"/>
    <n v="3"/>
    <n v="1122.8699999999999"/>
    <n v="20"/>
    <n v="2694.8879999999999"/>
    <s v="Wallet"/>
    <x v="1"/>
  </r>
  <r>
    <n v="1928"/>
    <x v="1177"/>
    <n v="78"/>
    <s v="2023-11-03"/>
    <n v="2023"/>
    <x v="11"/>
    <n v="3"/>
    <n v="795.77"/>
    <n v="20"/>
    <n v="1909.848"/>
    <s v="Debit Card"/>
    <x v="3"/>
  </r>
  <r>
    <n v="1929"/>
    <x v="1177"/>
    <n v="61"/>
    <s v="2023-06-22"/>
    <n v="2023"/>
    <x v="4"/>
    <n v="1"/>
    <n v="498.92"/>
    <n v="15"/>
    <n v="424.08199999999999"/>
    <s v="UPI"/>
    <x v="0"/>
  </r>
  <r>
    <n v="1930"/>
    <x v="1177"/>
    <n v="69"/>
    <s v="2023-09-22"/>
    <n v="2023"/>
    <x v="8"/>
    <n v="3"/>
    <n v="951.81"/>
    <n v="0"/>
    <n v="2855.43"/>
    <s v="UPI"/>
    <x v="0"/>
  </r>
  <r>
    <n v="1931"/>
    <x v="1177"/>
    <n v="35"/>
    <s v="2024-04-23"/>
    <n v="2024"/>
    <x v="3"/>
    <n v="2"/>
    <n v="958.87"/>
    <n v="10"/>
    <n v="1725.9660000000001"/>
    <s v="Wallet"/>
    <x v="0"/>
  </r>
  <r>
    <n v="1932"/>
    <x v="1177"/>
    <n v="66"/>
    <s v="2023-04-27"/>
    <n v="2023"/>
    <x v="3"/>
    <n v="2"/>
    <n v="783.37"/>
    <n v="10"/>
    <n v="1410.066"/>
    <s v="Debit Card"/>
    <x v="1"/>
  </r>
  <r>
    <n v="1933"/>
    <x v="1177"/>
    <n v="73"/>
    <s v="2023-04-08"/>
    <n v="2023"/>
    <x v="3"/>
    <n v="2"/>
    <n v="943.04"/>
    <n v="10"/>
    <n v="1697.472"/>
    <s v="Debit Card"/>
    <x v="1"/>
  </r>
  <r>
    <n v="1934"/>
    <x v="1177"/>
    <n v="43"/>
    <s v="2023-09-23"/>
    <n v="2023"/>
    <x v="8"/>
    <n v="3"/>
    <n v="760.86"/>
    <n v="15"/>
    <n v="1940.193"/>
    <s v="UPI"/>
    <x v="2"/>
  </r>
  <r>
    <n v="1935"/>
    <x v="1178"/>
    <n v="34"/>
    <s v="2023-11-03"/>
    <n v="2023"/>
    <x v="11"/>
    <n v="2"/>
    <n v="523.98"/>
    <n v="5"/>
    <n v="995.56200000000001"/>
    <s v="Wallet"/>
    <x v="1"/>
  </r>
  <r>
    <n v="1936"/>
    <x v="1178"/>
    <n v="18"/>
    <s v="2024-02-15"/>
    <n v="2024"/>
    <x v="9"/>
    <n v="3"/>
    <n v="138.07"/>
    <n v="10"/>
    <n v="372.78899999999999"/>
    <s v="Debit Card"/>
    <x v="1"/>
  </r>
  <r>
    <n v="1937"/>
    <x v="1178"/>
    <n v="47"/>
    <s v="2023-12-31"/>
    <n v="2023"/>
    <x v="2"/>
    <n v="3"/>
    <n v="1126.96"/>
    <n v="20"/>
    <n v="2704.7040000000002"/>
    <s v="UPI"/>
    <x v="3"/>
  </r>
  <r>
    <n v="1938"/>
    <x v="1178"/>
    <n v="27"/>
    <s v="2024-02-13"/>
    <n v="2024"/>
    <x v="9"/>
    <n v="2"/>
    <n v="76.09"/>
    <n v="20"/>
    <n v="121.74400000000001"/>
    <s v="Wallet"/>
    <x v="0"/>
  </r>
  <r>
    <n v="1939"/>
    <x v="1178"/>
    <n v="23"/>
    <s v="2023-03-02"/>
    <n v="2023"/>
    <x v="1"/>
    <n v="3"/>
    <n v="258.08"/>
    <n v="10"/>
    <n v="696.81600000000003"/>
    <s v="Debit Card"/>
    <x v="1"/>
  </r>
  <r>
    <n v="1940"/>
    <x v="1178"/>
    <n v="27"/>
    <s v="2023-11-03"/>
    <n v="2023"/>
    <x v="11"/>
    <n v="3"/>
    <n v="76.09"/>
    <n v="10"/>
    <n v="205.44300000000001"/>
    <s v="Debit Card"/>
    <x v="0"/>
  </r>
  <r>
    <n v="1941"/>
    <x v="1179"/>
    <n v="64"/>
    <s v="2023-07-11"/>
    <n v="2023"/>
    <x v="7"/>
    <n v="1"/>
    <n v="567.71"/>
    <n v="15"/>
    <n v="482.55350000000004"/>
    <s v="COD"/>
    <x v="0"/>
  </r>
  <r>
    <n v="1942"/>
    <x v="1179"/>
    <n v="35"/>
    <s v="2024-04-22"/>
    <n v="2024"/>
    <x v="3"/>
    <n v="3"/>
    <n v="958.87"/>
    <n v="15"/>
    <n v="2445.1185"/>
    <s v="Wallet"/>
    <x v="0"/>
  </r>
  <r>
    <n v="1943"/>
    <x v="1179"/>
    <n v="44"/>
    <s v="2023-03-16"/>
    <n v="2023"/>
    <x v="1"/>
    <n v="2"/>
    <n v="1038"/>
    <n v="20"/>
    <n v="1660.8000000000002"/>
    <s v="Credit Card"/>
    <x v="1"/>
  </r>
  <r>
    <n v="1944"/>
    <x v="1179"/>
    <n v="33"/>
    <s v="2023-03-05"/>
    <n v="2023"/>
    <x v="1"/>
    <n v="2"/>
    <n v="965.4"/>
    <n v="20"/>
    <n v="1544.64"/>
    <s v="COD"/>
    <x v="3"/>
  </r>
  <r>
    <n v="1945"/>
    <x v="1179"/>
    <n v="1"/>
    <s v="2023-02-04"/>
    <n v="2023"/>
    <x v="9"/>
    <n v="1"/>
    <n v="469.08"/>
    <n v="10"/>
    <n v="422.17199999999997"/>
    <s v="COD"/>
    <x v="0"/>
  </r>
  <r>
    <n v="1946"/>
    <x v="1179"/>
    <n v="59"/>
    <s v="2024-04-23"/>
    <n v="2024"/>
    <x v="3"/>
    <n v="3"/>
    <n v="782.33"/>
    <n v="20"/>
    <n v="1877.5920000000003"/>
    <s v="UPI"/>
    <x v="0"/>
  </r>
  <r>
    <n v="1947"/>
    <x v="1179"/>
    <n v="66"/>
    <s v="2023-10-18"/>
    <n v="2023"/>
    <x v="10"/>
    <n v="2"/>
    <n v="783.37"/>
    <n v="5"/>
    <n v="1488.403"/>
    <s v="UPI"/>
    <x v="1"/>
  </r>
  <r>
    <n v="1948"/>
    <x v="1180"/>
    <n v="7"/>
    <s v="2023-08-07"/>
    <n v="2023"/>
    <x v="6"/>
    <n v="3"/>
    <n v="97.29"/>
    <n v="15"/>
    <n v="248.08949999999999"/>
    <s v="Wallet"/>
    <x v="3"/>
  </r>
  <r>
    <n v="1949"/>
    <x v="1180"/>
    <n v="14"/>
    <s v="2023-09-01"/>
    <n v="2023"/>
    <x v="8"/>
    <n v="2"/>
    <n v="574.25"/>
    <n v="15"/>
    <n v="976.22500000000002"/>
    <s v="UPI"/>
    <x v="3"/>
  </r>
  <r>
    <n v="1950"/>
    <x v="1180"/>
    <n v="16"/>
    <s v="2023-03-13"/>
    <n v="2023"/>
    <x v="1"/>
    <n v="1"/>
    <n v="693.02"/>
    <n v="0"/>
    <n v="693.02"/>
    <s v="UPI"/>
    <x v="1"/>
  </r>
  <r>
    <n v="1951"/>
    <x v="1180"/>
    <n v="7"/>
    <s v="2023-01-22"/>
    <n v="2023"/>
    <x v="5"/>
    <n v="1"/>
    <n v="97.29"/>
    <n v="10"/>
    <n v="87.561000000000007"/>
    <s v="Credit Card"/>
    <x v="3"/>
  </r>
  <r>
    <n v="1952"/>
    <x v="1180"/>
    <n v="71"/>
    <s v="2023-10-02"/>
    <n v="2023"/>
    <x v="10"/>
    <n v="2"/>
    <n v="780.27"/>
    <n v="5"/>
    <n v="1482.5129999999999"/>
    <s v="Credit Card"/>
    <x v="2"/>
  </r>
  <r>
    <n v="1953"/>
    <x v="1180"/>
    <n v="55"/>
    <s v="2023-04-15"/>
    <n v="2023"/>
    <x v="3"/>
    <n v="1"/>
    <n v="1016.06"/>
    <n v="20"/>
    <n v="812.84799999999996"/>
    <s v="Credit Card"/>
    <x v="0"/>
  </r>
  <r>
    <n v="1954"/>
    <x v="1180"/>
    <n v="2"/>
    <s v="2023-02-27"/>
    <n v="2023"/>
    <x v="9"/>
    <n v="2"/>
    <n v="427.27"/>
    <n v="20"/>
    <n v="683.63200000000006"/>
    <s v="UPI"/>
    <x v="1"/>
  </r>
  <r>
    <n v="1955"/>
    <x v="1180"/>
    <n v="37"/>
    <s v="2023-08-09"/>
    <n v="2023"/>
    <x v="6"/>
    <n v="1"/>
    <n v="968.87"/>
    <n v="5"/>
    <n v="920.42649999999992"/>
    <s v="Debit Card"/>
    <x v="1"/>
  </r>
  <r>
    <n v="1956"/>
    <x v="1181"/>
    <n v="80"/>
    <s v="2023-11-06"/>
    <n v="2023"/>
    <x v="11"/>
    <n v="3"/>
    <n v="1014.45"/>
    <n v="10"/>
    <n v="2739.0150000000003"/>
    <s v="Wallet"/>
    <x v="3"/>
  </r>
  <r>
    <n v="1957"/>
    <x v="1181"/>
    <n v="46"/>
    <s v="2024-03-06"/>
    <n v="2024"/>
    <x v="1"/>
    <n v="1"/>
    <n v="1155.3"/>
    <n v="5"/>
    <n v="1097.5349999999999"/>
    <s v="Credit Card"/>
    <x v="3"/>
  </r>
  <r>
    <n v="1958"/>
    <x v="1181"/>
    <n v="71"/>
    <s v="2023-10-27"/>
    <n v="2023"/>
    <x v="10"/>
    <n v="2"/>
    <n v="780.27"/>
    <n v="5"/>
    <n v="1482.5129999999999"/>
    <s v="Debit Card"/>
    <x v="2"/>
  </r>
  <r>
    <n v="1959"/>
    <x v="1181"/>
    <n v="50"/>
    <s v="2023-04-15"/>
    <n v="2023"/>
    <x v="3"/>
    <n v="3"/>
    <n v="1122.8699999999999"/>
    <n v="20"/>
    <n v="2694.8879999999999"/>
    <s v="Credit Card"/>
    <x v="1"/>
  </r>
  <r>
    <n v="1960"/>
    <x v="1181"/>
    <n v="21"/>
    <s v="2023-02-16"/>
    <n v="2023"/>
    <x v="9"/>
    <n v="3"/>
    <n v="420.66"/>
    <n v="20"/>
    <n v="1009.5840000000001"/>
    <s v="UPI"/>
    <x v="3"/>
  </r>
  <r>
    <n v="1961"/>
    <x v="1181"/>
    <n v="63"/>
    <s v="2023-03-05"/>
    <n v="2023"/>
    <x v="1"/>
    <n v="1"/>
    <n v="309.79000000000002"/>
    <n v="5"/>
    <n v="294.3005"/>
    <s v="COD"/>
    <x v="2"/>
  </r>
  <r>
    <n v="1962"/>
    <x v="1182"/>
    <n v="29"/>
    <s v="2023-05-04"/>
    <n v="2023"/>
    <x v="0"/>
    <n v="2"/>
    <n v="757"/>
    <n v="20"/>
    <n v="1211.2"/>
    <s v="Debit Card"/>
    <x v="0"/>
  </r>
  <r>
    <n v="1963"/>
    <x v="1182"/>
    <n v="23"/>
    <s v="2024-04-14"/>
    <n v="2024"/>
    <x v="3"/>
    <n v="1"/>
    <n v="258.08"/>
    <n v="10"/>
    <n v="232.27199999999999"/>
    <s v="Credit Card"/>
    <x v="1"/>
  </r>
  <r>
    <n v="1964"/>
    <x v="1182"/>
    <n v="1"/>
    <s v="2023-05-03"/>
    <n v="2023"/>
    <x v="0"/>
    <n v="3"/>
    <n v="469.08"/>
    <n v="10"/>
    <n v="1266.5160000000001"/>
    <s v="COD"/>
    <x v="0"/>
  </r>
  <r>
    <n v="1965"/>
    <x v="1182"/>
    <n v="75"/>
    <s v="2024-03-16"/>
    <n v="2024"/>
    <x v="1"/>
    <n v="3"/>
    <n v="390.41"/>
    <n v="15"/>
    <n v="995.54549999999995"/>
    <s v="COD"/>
    <x v="2"/>
  </r>
  <r>
    <n v="1966"/>
    <x v="1182"/>
    <n v="28"/>
    <s v="2023-04-29"/>
    <n v="2023"/>
    <x v="3"/>
    <n v="1"/>
    <n v="494.39"/>
    <n v="0"/>
    <n v="494.39"/>
    <s v="COD"/>
    <x v="3"/>
  </r>
  <r>
    <n v="1967"/>
    <x v="1182"/>
    <n v="57"/>
    <s v="2023-08-15"/>
    <n v="2023"/>
    <x v="6"/>
    <n v="1"/>
    <n v="768.03"/>
    <n v="15"/>
    <n v="652.82549999999992"/>
    <s v="Wallet"/>
    <x v="2"/>
  </r>
  <r>
    <n v="1968"/>
    <x v="1182"/>
    <n v="49"/>
    <s v="2023-01-12"/>
    <n v="2023"/>
    <x v="5"/>
    <n v="3"/>
    <n v="974.54"/>
    <n v="10"/>
    <n v="2631.2579999999998"/>
    <s v="Debit Card"/>
    <x v="1"/>
  </r>
  <r>
    <n v="1969"/>
    <x v="1182"/>
    <n v="63"/>
    <s v="2023-08-12"/>
    <n v="2023"/>
    <x v="6"/>
    <n v="3"/>
    <n v="309.79000000000002"/>
    <n v="10"/>
    <n v="836.43300000000011"/>
    <s v="UPI"/>
    <x v="2"/>
  </r>
  <r>
    <n v="1970"/>
    <x v="1183"/>
    <n v="3"/>
    <s v="2023-09-13"/>
    <n v="2023"/>
    <x v="8"/>
    <n v="3"/>
    <n v="506.08"/>
    <n v="20"/>
    <n v="1214.5920000000001"/>
    <s v="COD"/>
    <x v="0"/>
  </r>
  <r>
    <n v="1971"/>
    <x v="1183"/>
    <n v="57"/>
    <s v="2023-11-07"/>
    <n v="2023"/>
    <x v="11"/>
    <n v="1"/>
    <n v="768.03"/>
    <n v="10"/>
    <n v="691.22699999999998"/>
    <s v="Debit Card"/>
    <x v="2"/>
  </r>
  <r>
    <n v="1972"/>
    <x v="1183"/>
    <n v="10"/>
    <s v="2023-11-04"/>
    <n v="2023"/>
    <x v="11"/>
    <n v="3"/>
    <n v="64.11"/>
    <n v="15"/>
    <n v="163.48049999999998"/>
    <s v="Debit Card"/>
    <x v="0"/>
  </r>
  <r>
    <n v="1973"/>
    <x v="1183"/>
    <n v="52"/>
    <s v="2023-04-17"/>
    <n v="2023"/>
    <x v="3"/>
    <n v="1"/>
    <n v="256.76"/>
    <n v="10"/>
    <n v="231.084"/>
    <s v="UPI"/>
    <x v="1"/>
  </r>
  <r>
    <n v="1974"/>
    <x v="1183"/>
    <n v="52"/>
    <s v="2023-05-21"/>
    <n v="2023"/>
    <x v="0"/>
    <n v="1"/>
    <n v="256.76"/>
    <n v="10"/>
    <n v="231.084"/>
    <s v="Debit Card"/>
    <x v="1"/>
  </r>
  <r>
    <n v="1975"/>
    <x v="1183"/>
    <n v="49"/>
    <s v="2023-11-04"/>
    <n v="2023"/>
    <x v="11"/>
    <n v="2"/>
    <n v="974.54"/>
    <n v="0"/>
    <n v="1949.08"/>
    <s v="Wallet"/>
    <x v="1"/>
  </r>
  <r>
    <n v="1976"/>
    <x v="1183"/>
    <n v="32"/>
    <s v="2023-11-27"/>
    <n v="2023"/>
    <x v="11"/>
    <n v="3"/>
    <n v="342.57"/>
    <n v="0"/>
    <n v="1027.71"/>
    <s v="COD"/>
    <x v="0"/>
  </r>
  <r>
    <n v="1977"/>
    <x v="1183"/>
    <n v="3"/>
    <s v="2023-07-19"/>
    <n v="2023"/>
    <x v="7"/>
    <n v="3"/>
    <n v="506.08"/>
    <n v="10"/>
    <n v="1366.4159999999999"/>
    <s v="UPI"/>
    <x v="0"/>
  </r>
  <r>
    <n v="1978"/>
    <x v="1184"/>
    <n v="49"/>
    <s v="2023-01-11"/>
    <n v="2023"/>
    <x v="5"/>
    <n v="2"/>
    <n v="974.54"/>
    <n v="15"/>
    <n v="1656.7179999999998"/>
    <s v="COD"/>
    <x v="1"/>
  </r>
  <r>
    <n v="1979"/>
    <x v="1184"/>
    <n v="55"/>
    <s v="2023-02-15"/>
    <n v="2023"/>
    <x v="9"/>
    <n v="2"/>
    <n v="1016.06"/>
    <n v="10"/>
    <n v="1828.9079999999999"/>
    <s v="UPI"/>
    <x v="0"/>
  </r>
  <r>
    <n v="1980"/>
    <x v="1184"/>
    <n v="30"/>
    <s v="2023-05-18"/>
    <n v="2023"/>
    <x v="0"/>
    <n v="2"/>
    <n v="866.89"/>
    <n v="10"/>
    <n v="1560.402"/>
    <s v="COD"/>
    <x v="2"/>
  </r>
  <r>
    <n v="1981"/>
    <x v="1184"/>
    <n v="21"/>
    <s v="2023-03-28"/>
    <n v="2023"/>
    <x v="1"/>
    <n v="1"/>
    <n v="420.66"/>
    <n v="20"/>
    <n v="336.52800000000002"/>
    <s v="Wallet"/>
    <x v="3"/>
  </r>
  <r>
    <n v="1982"/>
    <x v="1184"/>
    <n v="77"/>
    <s v="2023-09-29"/>
    <n v="2023"/>
    <x v="8"/>
    <n v="1"/>
    <n v="1078.19"/>
    <n v="0"/>
    <n v="1078.19"/>
    <s v="COD"/>
    <x v="1"/>
  </r>
  <r>
    <n v="1983"/>
    <x v="1184"/>
    <n v="47"/>
    <s v="2023-01-25"/>
    <n v="2023"/>
    <x v="5"/>
    <n v="1"/>
    <n v="1126.96"/>
    <n v="0"/>
    <n v="1126.96"/>
    <s v="Debit Card"/>
    <x v="3"/>
  </r>
  <r>
    <n v="1984"/>
    <x v="1184"/>
    <n v="12"/>
    <s v="2023-11-12"/>
    <n v="2023"/>
    <x v="11"/>
    <n v="3"/>
    <n v="627.41999999999996"/>
    <n v="20"/>
    <n v="1505.808"/>
    <s v="Credit Card"/>
    <x v="3"/>
  </r>
  <r>
    <n v="1985"/>
    <x v="1185"/>
    <n v="33"/>
    <s v="2023-02-10"/>
    <n v="2023"/>
    <x v="9"/>
    <n v="3"/>
    <n v="965.4"/>
    <n v="10"/>
    <n v="2606.58"/>
    <s v="COD"/>
    <x v="3"/>
  </r>
  <r>
    <n v="1986"/>
    <x v="1185"/>
    <n v="20"/>
    <s v="2023-05-31"/>
    <n v="2023"/>
    <x v="0"/>
    <n v="1"/>
    <n v="613.27"/>
    <n v="15"/>
    <n v="521.27949999999998"/>
    <s v="UPI"/>
    <x v="1"/>
  </r>
  <r>
    <n v="1987"/>
    <x v="1185"/>
    <n v="24"/>
    <s v="2023-04-28"/>
    <n v="2023"/>
    <x v="3"/>
    <n v="2"/>
    <n v="1019.85"/>
    <n v="10"/>
    <n v="1835.73"/>
    <s v="Debit Card"/>
    <x v="3"/>
  </r>
  <r>
    <n v="1988"/>
    <x v="1185"/>
    <n v="67"/>
    <s v="2023-02-04"/>
    <n v="2023"/>
    <x v="9"/>
    <n v="1"/>
    <n v="258.35000000000002"/>
    <n v="0"/>
    <n v="258.35000000000002"/>
    <s v="Wallet"/>
    <x v="2"/>
  </r>
  <r>
    <n v="1989"/>
    <x v="1185"/>
    <n v="7"/>
    <s v="2023-10-21"/>
    <n v="2023"/>
    <x v="10"/>
    <n v="3"/>
    <n v="97.29"/>
    <n v="5"/>
    <n v="277.2765"/>
    <s v="UPI"/>
    <x v="3"/>
  </r>
  <r>
    <n v="1990"/>
    <x v="1186"/>
    <n v="71"/>
    <s v="2023-08-29"/>
    <n v="2023"/>
    <x v="6"/>
    <n v="2"/>
    <n v="780.27"/>
    <n v="5"/>
    <n v="1482.5129999999999"/>
    <s v="Debit Card"/>
    <x v="2"/>
  </r>
  <r>
    <n v="1991"/>
    <x v="1186"/>
    <n v="3"/>
    <s v="2024-02-18"/>
    <n v="2024"/>
    <x v="9"/>
    <n v="1"/>
    <n v="506.08"/>
    <n v="20"/>
    <n v="404.86400000000003"/>
    <s v="Credit Card"/>
    <x v="0"/>
  </r>
  <r>
    <n v="1992"/>
    <x v="1186"/>
    <n v="9"/>
    <s v="2024-01-31"/>
    <n v="2024"/>
    <x v="5"/>
    <n v="1"/>
    <n v="43.26"/>
    <n v="10"/>
    <n v="38.933999999999997"/>
    <s v="Debit Card"/>
    <x v="2"/>
  </r>
  <r>
    <n v="1993"/>
    <x v="1186"/>
    <n v="69"/>
    <s v="2023-03-05"/>
    <n v="2023"/>
    <x v="1"/>
    <n v="2"/>
    <n v="951.81"/>
    <n v="20"/>
    <n v="1522.896"/>
    <s v="UPI"/>
    <x v="0"/>
  </r>
  <r>
    <n v="1994"/>
    <x v="1186"/>
    <n v="23"/>
    <s v="2023-03-20"/>
    <n v="2023"/>
    <x v="1"/>
    <n v="3"/>
    <n v="258.08"/>
    <n v="5"/>
    <n v="735.52800000000002"/>
    <s v="Debit Card"/>
    <x v="1"/>
  </r>
  <r>
    <n v="1995"/>
    <x v="1187"/>
    <n v="2"/>
    <s v="2023-06-16"/>
    <n v="2023"/>
    <x v="4"/>
    <n v="1"/>
    <n v="427.27"/>
    <n v="10"/>
    <n v="384.54300000000001"/>
    <s v="Wallet"/>
    <x v="1"/>
  </r>
  <r>
    <n v="1996"/>
    <x v="1187"/>
    <n v="3"/>
    <s v="2023-09-14"/>
    <n v="2023"/>
    <x v="8"/>
    <n v="3"/>
    <n v="506.08"/>
    <n v="0"/>
    <n v="1518.24"/>
    <s v="COD"/>
    <x v="0"/>
  </r>
  <r>
    <n v="1997"/>
    <x v="1187"/>
    <n v="18"/>
    <s v="2023-03-27"/>
    <n v="2023"/>
    <x v="1"/>
    <n v="1"/>
    <n v="138.07"/>
    <n v="15"/>
    <n v="117.3595"/>
    <s v="Debit Card"/>
    <x v="1"/>
  </r>
  <r>
    <n v="1998"/>
    <x v="1187"/>
    <n v="17"/>
    <s v="2023-05-04"/>
    <n v="2023"/>
    <x v="0"/>
    <n v="3"/>
    <n v="695.6"/>
    <n v="10"/>
    <n v="1878.1200000000001"/>
    <s v="Wallet"/>
    <x v="0"/>
  </r>
  <r>
    <n v="1999"/>
    <x v="1187"/>
    <n v="36"/>
    <s v="2023-08-25"/>
    <n v="2023"/>
    <x v="6"/>
    <n v="1"/>
    <n v="992.01"/>
    <n v="15"/>
    <n v="843.20849999999996"/>
    <s v="Debit Card"/>
    <x v="3"/>
  </r>
  <r>
    <n v="2000"/>
    <x v="1188"/>
    <n v="15"/>
    <s v="2024-01-01"/>
    <n v="2024"/>
    <x v="5"/>
    <n v="1"/>
    <n v="1183.2"/>
    <n v="5"/>
    <n v="1124.04"/>
    <s v="Wallet"/>
    <x v="2"/>
  </r>
  <r>
    <n v="2001"/>
    <x v="1188"/>
    <n v="6"/>
    <s v="2023-02-04"/>
    <n v="2023"/>
    <x v="9"/>
    <n v="2"/>
    <n v="719.19"/>
    <n v="5"/>
    <n v="1366.461"/>
    <s v="Credit Card"/>
    <x v="0"/>
  </r>
  <r>
    <n v="2002"/>
    <x v="1188"/>
    <n v="37"/>
    <s v="2023-08-24"/>
    <n v="2023"/>
    <x v="6"/>
    <n v="3"/>
    <n v="968.87"/>
    <n v="15"/>
    <n v="2470.6185"/>
    <s v="COD"/>
    <x v="1"/>
  </r>
  <r>
    <n v="2003"/>
    <x v="1188"/>
    <n v="71"/>
    <s v="2023-10-05"/>
    <n v="2023"/>
    <x v="10"/>
    <n v="3"/>
    <n v="780.27"/>
    <n v="15"/>
    <n v="1989.6885"/>
    <s v="Wallet"/>
    <x v="2"/>
  </r>
  <r>
    <n v="2004"/>
    <x v="1188"/>
    <n v="60"/>
    <s v="2024-05-07"/>
    <n v="2024"/>
    <x v="0"/>
    <n v="3"/>
    <n v="830.49"/>
    <n v="20"/>
    <n v="1993.1760000000004"/>
    <s v="UPI"/>
    <x v="0"/>
  </r>
  <r>
    <n v="2005"/>
    <x v="1189"/>
    <n v="78"/>
    <s v="2023-10-23"/>
    <n v="2023"/>
    <x v="10"/>
    <n v="3"/>
    <n v="795.77"/>
    <n v="15"/>
    <n v="2029.2134999999998"/>
    <s v="UPI"/>
    <x v="3"/>
  </r>
  <r>
    <n v="2006"/>
    <x v="1189"/>
    <n v="68"/>
    <s v="2024-04-24"/>
    <n v="2024"/>
    <x v="3"/>
    <n v="2"/>
    <n v="180.99"/>
    <n v="5"/>
    <n v="343.88100000000003"/>
    <s v="Wallet"/>
    <x v="0"/>
  </r>
  <r>
    <n v="2007"/>
    <x v="1189"/>
    <n v="64"/>
    <s v="2023-03-06"/>
    <n v="2023"/>
    <x v="1"/>
    <n v="1"/>
    <n v="567.71"/>
    <n v="5"/>
    <n v="539.32450000000006"/>
    <s v="Credit Card"/>
    <x v="0"/>
  </r>
  <r>
    <n v="2008"/>
    <x v="1189"/>
    <n v="77"/>
    <s v="2023-07-08"/>
    <n v="2023"/>
    <x v="7"/>
    <n v="2"/>
    <n v="1078.19"/>
    <n v="0"/>
    <n v="2156.38"/>
    <s v="Wallet"/>
    <x v="1"/>
  </r>
  <r>
    <n v="2009"/>
    <x v="1189"/>
    <n v="53"/>
    <s v="2023-07-15"/>
    <n v="2023"/>
    <x v="7"/>
    <n v="2"/>
    <n v="194.34"/>
    <n v="10"/>
    <n v="349.81200000000001"/>
    <s v="UPI"/>
    <x v="1"/>
  </r>
  <r>
    <n v="2010"/>
    <x v="1189"/>
    <n v="4"/>
    <s v="2023-06-11"/>
    <n v="2023"/>
    <x v="4"/>
    <n v="2"/>
    <n v="800.26"/>
    <n v="5"/>
    <n v="1520.4939999999999"/>
    <s v="Credit Card"/>
    <x v="2"/>
  </r>
  <r>
    <n v="2011"/>
    <x v="1189"/>
    <n v="28"/>
    <s v="2023-08-11"/>
    <n v="2023"/>
    <x v="6"/>
    <n v="3"/>
    <n v="494.39"/>
    <n v="5"/>
    <n v="1409.0115000000001"/>
    <s v="COD"/>
    <x v="3"/>
  </r>
  <r>
    <n v="2012"/>
    <x v="1190"/>
    <n v="76"/>
    <s v="2024-02-09"/>
    <n v="2024"/>
    <x v="9"/>
    <n v="3"/>
    <n v="1043.26"/>
    <n v="5"/>
    <n v="2973.2909999999997"/>
    <s v="UPI"/>
    <x v="0"/>
  </r>
  <r>
    <n v="2013"/>
    <x v="1190"/>
    <n v="51"/>
    <s v="2023-05-06"/>
    <n v="2023"/>
    <x v="0"/>
    <n v="1"/>
    <n v="759.57"/>
    <n v="0"/>
    <n v="759.57"/>
    <s v="Debit Card"/>
    <x v="3"/>
  </r>
  <r>
    <n v="2014"/>
    <x v="1190"/>
    <n v="57"/>
    <s v="2023-05-10"/>
    <n v="2023"/>
    <x v="0"/>
    <n v="2"/>
    <n v="768.03"/>
    <n v="15"/>
    <n v="1305.6509999999998"/>
    <s v="COD"/>
    <x v="2"/>
  </r>
  <r>
    <n v="2015"/>
    <x v="1190"/>
    <n v="60"/>
    <s v="2023-07-10"/>
    <n v="2023"/>
    <x v="7"/>
    <n v="1"/>
    <n v="830.49"/>
    <n v="15"/>
    <n v="705.91650000000004"/>
    <s v="Debit Card"/>
    <x v="0"/>
  </r>
  <r>
    <n v="2016"/>
    <x v="1190"/>
    <n v="54"/>
    <s v="2024-05-06"/>
    <n v="2024"/>
    <x v="0"/>
    <n v="1"/>
    <n v="900.79"/>
    <n v="5"/>
    <n v="855.75049999999987"/>
    <s v="Debit Card"/>
    <x v="2"/>
  </r>
  <r>
    <n v="2017"/>
    <x v="1190"/>
    <n v="13"/>
    <s v="2023-06-01"/>
    <n v="2023"/>
    <x v="4"/>
    <n v="2"/>
    <n v="334.61"/>
    <n v="0"/>
    <n v="669.22"/>
    <s v="UPI"/>
    <x v="1"/>
  </r>
  <r>
    <n v="2018"/>
    <x v="1191"/>
    <n v="60"/>
    <s v="2024-04-10"/>
    <n v="2024"/>
    <x v="3"/>
    <n v="2"/>
    <n v="830.49"/>
    <n v="15"/>
    <n v="1411.8330000000001"/>
    <s v="Credit Card"/>
    <x v="0"/>
  </r>
  <r>
    <n v="2019"/>
    <x v="1191"/>
    <n v="77"/>
    <s v="2023-05-31"/>
    <n v="2023"/>
    <x v="0"/>
    <n v="2"/>
    <n v="1078.19"/>
    <n v="20"/>
    <n v="1725.1040000000003"/>
    <s v="Wallet"/>
    <x v="1"/>
  </r>
  <r>
    <n v="2020"/>
    <x v="1191"/>
    <n v="62"/>
    <s v="2023-01-21"/>
    <n v="2023"/>
    <x v="5"/>
    <n v="2"/>
    <n v="196.96"/>
    <n v="0"/>
    <n v="393.92"/>
    <s v="UPI"/>
    <x v="2"/>
  </r>
  <r>
    <n v="2021"/>
    <x v="1191"/>
    <n v="43"/>
    <s v="2023-04-10"/>
    <n v="2023"/>
    <x v="3"/>
    <n v="2"/>
    <n v="760.86"/>
    <n v="20"/>
    <n v="1217.376"/>
    <s v="Debit Card"/>
    <x v="2"/>
  </r>
  <r>
    <n v="2022"/>
    <x v="1191"/>
    <n v="2"/>
    <s v="2023-02-21"/>
    <n v="2023"/>
    <x v="9"/>
    <n v="1"/>
    <n v="427.27"/>
    <n v="20"/>
    <n v="341.81600000000003"/>
    <s v="UPI"/>
    <x v="1"/>
  </r>
  <r>
    <n v="2023"/>
    <x v="1191"/>
    <n v="8"/>
    <s v="2023-01-13"/>
    <n v="2023"/>
    <x v="5"/>
    <n v="3"/>
    <n v="155.08000000000001"/>
    <n v="5"/>
    <n v="441.97800000000001"/>
    <s v="Wallet"/>
    <x v="0"/>
  </r>
  <r>
    <n v="2024"/>
    <x v="1191"/>
    <n v="48"/>
    <s v="2023-01-13"/>
    <n v="2023"/>
    <x v="5"/>
    <n v="2"/>
    <n v="1125.8499999999999"/>
    <n v="15"/>
    <n v="1913.9449999999997"/>
    <s v="UPI"/>
    <x v="0"/>
  </r>
  <r>
    <n v="2025"/>
    <x v="1191"/>
    <n v="79"/>
    <s v="2023-08-24"/>
    <n v="2023"/>
    <x v="6"/>
    <n v="2"/>
    <n v="488.34"/>
    <n v="20"/>
    <n v="781.34400000000005"/>
    <s v="UPI"/>
    <x v="2"/>
  </r>
  <r>
    <n v="2026"/>
    <x v="1192"/>
    <n v="37"/>
    <s v="2023-07-08"/>
    <n v="2023"/>
    <x v="7"/>
    <n v="1"/>
    <n v="968.87"/>
    <n v="20"/>
    <n v="775.096"/>
    <s v="Wallet"/>
    <x v="1"/>
  </r>
  <r>
    <n v="2027"/>
    <x v="1192"/>
    <n v="16"/>
    <s v="2024-03-28"/>
    <n v="2024"/>
    <x v="1"/>
    <n v="2"/>
    <n v="693.02"/>
    <n v="15"/>
    <n v="1178.134"/>
    <s v="COD"/>
    <x v="1"/>
  </r>
  <r>
    <n v="2028"/>
    <x v="1192"/>
    <n v="66"/>
    <s v="2023-01-19"/>
    <n v="2023"/>
    <x v="5"/>
    <n v="3"/>
    <n v="783.37"/>
    <n v="20"/>
    <n v="1880.0880000000002"/>
    <s v="Wallet"/>
    <x v="1"/>
  </r>
  <r>
    <n v="2029"/>
    <x v="1192"/>
    <n v="65"/>
    <s v="2023-02-04"/>
    <n v="2023"/>
    <x v="9"/>
    <n v="1"/>
    <n v="1189.73"/>
    <n v="15"/>
    <n v="1011.2705"/>
    <s v="UPI"/>
    <x v="1"/>
  </r>
  <r>
    <n v="2030"/>
    <x v="1192"/>
    <n v="57"/>
    <s v="2024-01-10"/>
    <n v="2024"/>
    <x v="5"/>
    <n v="3"/>
    <n v="768.03"/>
    <n v="10"/>
    <n v="2073.681"/>
    <s v="Debit Card"/>
    <x v="2"/>
  </r>
  <r>
    <n v="2031"/>
    <x v="1192"/>
    <n v="19"/>
    <s v="2024-01-26"/>
    <n v="2024"/>
    <x v="5"/>
    <n v="1"/>
    <n v="262.97000000000003"/>
    <n v="0"/>
    <n v="262.97000000000003"/>
    <s v="Wallet"/>
    <x v="3"/>
  </r>
  <r>
    <n v="2032"/>
    <x v="1192"/>
    <n v="50"/>
    <s v="2023-05-22"/>
    <n v="2023"/>
    <x v="0"/>
    <n v="2"/>
    <n v="1122.8699999999999"/>
    <n v="5"/>
    <n v="2133.4529999999995"/>
    <s v="Credit Card"/>
    <x v="1"/>
  </r>
  <r>
    <n v="2033"/>
    <x v="1193"/>
    <n v="6"/>
    <s v="2023-06-05"/>
    <n v="2023"/>
    <x v="4"/>
    <n v="1"/>
    <n v="719.19"/>
    <n v="5"/>
    <n v="683.23050000000001"/>
    <s v="Debit Card"/>
    <x v="0"/>
  </r>
  <r>
    <n v="2034"/>
    <x v="1193"/>
    <n v="54"/>
    <s v="2023-10-19"/>
    <n v="2023"/>
    <x v="10"/>
    <n v="1"/>
    <n v="900.79"/>
    <n v="15"/>
    <n v="765.67149999999992"/>
    <s v="Debit Card"/>
    <x v="2"/>
  </r>
  <r>
    <n v="2035"/>
    <x v="1193"/>
    <n v="55"/>
    <s v="2023-10-08"/>
    <n v="2023"/>
    <x v="10"/>
    <n v="3"/>
    <n v="1016.06"/>
    <n v="10"/>
    <n v="2743.3620000000001"/>
    <s v="Debit Card"/>
    <x v="0"/>
  </r>
  <r>
    <n v="2036"/>
    <x v="1193"/>
    <n v="1"/>
    <s v="2023-02-03"/>
    <n v="2023"/>
    <x v="9"/>
    <n v="1"/>
    <n v="469.08"/>
    <n v="0"/>
    <n v="469.08"/>
    <s v="UPI"/>
    <x v="0"/>
  </r>
  <r>
    <n v="2037"/>
    <x v="1193"/>
    <n v="62"/>
    <s v="2024-02-07"/>
    <n v="2024"/>
    <x v="9"/>
    <n v="1"/>
    <n v="196.96"/>
    <n v="5"/>
    <n v="187.11199999999999"/>
    <s v="COD"/>
    <x v="2"/>
  </r>
  <r>
    <n v="2038"/>
    <x v="1194"/>
    <n v="22"/>
    <s v="2024-04-18"/>
    <n v="2024"/>
    <x v="3"/>
    <n v="3"/>
    <n v="373.43"/>
    <n v="15"/>
    <n v="952.24649999999997"/>
    <s v="Credit Card"/>
    <x v="3"/>
  </r>
  <r>
    <n v="2039"/>
    <x v="1194"/>
    <n v="11"/>
    <s v="2023-12-09"/>
    <n v="2023"/>
    <x v="2"/>
    <n v="2"/>
    <n v="1038.77"/>
    <n v="10"/>
    <n v="1869.7860000000001"/>
    <s v="Wallet"/>
    <x v="3"/>
  </r>
  <r>
    <n v="2040"/>
    <x v="1194"/>
    <n v="48"/>
    <s v="2024-03-11"/>
    <n v="2024"/>
    <x v="1"/>
    <n v="2"/>
    <n v="1125.8499999999999"/>
    <n v="10"/>
    <n v="2026.53"/>
    <s v="Wallet"/>
    <x v="0"/>
  </r>
  <r>
    <n v="2041"/>
    <x v="1194"/>
    <n v="72"/>
    <s v="2023-10-08"/>
    <n v="2023"/>
    <x v="10"/>
    <n v="3"/>
    <n v="1157.27"/>
    <n v="10"/>
    <n v="3124.6289999999999"/>
    <s v="UPI"/>
    <x v="2"/>
  </r>
  <r>
    <n v="2042"/>
    <x v="1194"/>
    <n v="68"/>
    <s v="2023-03-21"/>
    <n v="2023"/>
    <x v="1"/>
    <n v="3"/>
    <n v="180.99"/>
    <n v="20"/>
    <n v="434.37600000000003"/>
    <s v="Wallet"/>
    <x v="0"/>
  </r>
  <r>
    <n v="2043"/>
    <x v="1195"/>
    <n v="36"/>
    <s v="2024-02-17"/>
    <n v="2024"/>
    <x v="9"/>
    <n v="3"/>
    <n v="992.01"/>
    <n v="5"/>
    <n v="2827.2284999999997"/>
    <s v="Debit Card"/>
    <x v="3"/>
  </r>
  <r>
    <n v="2044"/>
    <x v="1195"/>
    <n v="3"/>
    <s v="2023-08-11"/>
    <n v="2023"/>
    <x v="6"/>
    <n v="2"/>
    <n v="506.08"/>
    <n v="10"/>
    <n v="910.94399999999996"/>
    <s v="UPI"/>
    <x v="0"/>
  </r>
  <r>
    <n v="2045"/>
    <x v="1195"/>
    <n v="66"/>
    <s v="2023-06-03"/>
    <n v="2023"/>
    <x v="4"/>
    <n v="2"/>
    <n v="783.37"/>
    <n v="15"/>
    <n v="1331.729"/>
    <s v="Credit Card"/>
    <x v="1"/>
  </r>
  <r>
    <n v="2046"/>
    <x v="1195"/>
    <n v="76"/>
    <s v="2023-06-03"/>
    <n v="2023"/>
    <x v="4"/>
    <n v="2"/>
    <n v="1043.26"/>
    <n v="0"/>
    <n v="2086.52"/>
    <s v="Debit Card"/>
    <x v="0"/>
  </r>
  <r>
    <n v="2047"/>
    <x v="1195"/>
    <n v="72"/>
    <s v="2023-04-25"/>
    <n v="2023"/>
    <x v="3"/>
    <n v="1"/>
    <n v="1157.27"/>
    <n v="5"/>
    <n v="1099.4064999999998"/>
    <s v="COD"/>
    <x v="2"/>
  </r>
  <r>
    <n v="2048"/>
    <x v="1195"/>
    <n v="20"/>
    <s v="2024-04-19"/>
    <n v="2024"/>
    <x v="3"/>
    <n v="1"/>
    <n v="613.27"/>
    <n v="20"/>
    <n v="490.61599999999999"/>
    <s v="Wallet"/>
    <x v="1"/>
  </r>
  <r>
    <n v="2049"/>
    <x v="1195"/>
    <n v="47"/>
    <s v="2023-07-31"/>
    <n v="2023"/>
    <x v="7"/>
    <n v="3"/>
    <n v="1126.96"/>
    <n v="15"/>
    <n v="2873.748"/>
    <s v="COD"/>
    <x v="3"/>
  </r>
  <r>
    <n v="2050"/>
    <x v="1196"/>
    <n v="73"/>
    <s v="2023-06-19"/>
    <n v="2023"/>
    <x v="4"/>
    <n v="2"/>
    <n v="943.04"/>
    <n v="0"/>
    <n v="1886.08"/>
    <s v="Debit Card"/>
    <x v="1"/>
  </r>
  <r>
    <n v="2051"/>
    <x v="1196"/>
    <n v="21"/>
    <s v="2023-11-16"/>
    <n v="2023"/>
    <x v="11"/>
    <n v="2"/>
    <n v="420.66"/>
    <n v="0"/>
    <n v="841.32"/>
    <s v="UPI"/>
    <x v="3"/>
  </r>
  <r>
    <n v="2052"/>
    <x v="1196"/>
    <n v="8"/>
    <s v="2023-08-12"/>
    <n v="2023"/>
    <x v="6"/>
    <n v="2"/>
    <n v="155.08000000000001"/>
    <n v="15"/>
    <n v="263.63600000000002"/>
    <s v="Debit Card"/>
    <x v="0"/>
  </r>
  <r>
    <n v="2053"/>
    <x v="1196"/>
    <n v="54"/>
    <s v="2023-08-31"/>
    <n v="2023"/>
    <x v="6"/>
    <n v="1"/>
    <n v="900.79"/>
    <n v="10"/>
    <n v="810.71100000000001"/>
    <s v="UPI"/>
    <x v="2"/>
  </r>
  <r>
    <n v="2054"/>
    <x v="1196"/>
    <n v="16"/>
    <s v="2023-06-07"/>
    <n v="2023"/>
    <x v="4"/>
    <n v="1"/>
    <n v="693.02"/>
    <n v="15"/>
    <n v="589.06700000000001"/>
    <s v="COD"/>
    <x v="1"/>
  </r>
  <r>
    <n v="2055"/>
    <x v="1196"/>
    <n v="51"/>
    <s v="2023-10-29"/>
    <n v="2023"/>
    <x v="10"/>
    <n v="1"/>
    <n v="759.57"/>
    <n v="15"/>
    <n v="645.6345"/>
    <s v="COD"/>
    <x v="3"/>
  </r>
  <r>
    <n v="2056"/>
    <x v="1196"/>
    <n v="31"/>
    <s v="2023-05-27"/>
    <n v="2023"/>
    <x v="0"/>
    <n v="1"/>
    <n v="131.79"/>
    <n v="20"/>
    <n v="105.432"/>
    <s v="Debit Card"/>
    <x v="3"/>
  </r>
  <r>
    <n v="2057"/>
    <x v="1196"/>
    <n v="44"/>
    <s v="2023-03-23"/>
    <n v="2023"/>
    <x v="1"/>
    <n v="3"/>
    <n v="1038"/>
    <n v="10"/>
    <n v="2802.6"/>
    <s v="Wallet"/>
    <x v="1"/>
  </r>
  <r>
    <n v="2058"/>
    <x v="1197"/>
    <n v="49"/>
    <s v="2024-03-12"/>
    <n v="2024"/>
    <x v="1"/>
    <n v="1"/>
    <n v="974.54"/>
    <n v="0"/>
    <n v="974.54"/>
    <s v="Credit Card"/>
    <x v="1"/>
  </r>
  <r>
    <n v="2059"/>
    <x v="1197"/>
    <n v="11"/>
    <s v="2024-02-12"/>
    <n v="2024"/>
    <x v="9"/>
    <n v="3"/>
    <n v="1038.77"/>
    <n v="0"/>
    <n v="3116.31"/>
    <s v="Debit Card"/>
    <x v="3"/>
  </r>
  <r>
    <n v="2060"/>
    <x v="1197"/>
    <n v="70"/>
    <s v="2023-08-08"/>
    <n v="2023"/>
    <x v="6"/>
    <n v="2"/>
    <n v="797.23"/>
    <n v="0"/>
    <n v="1594.46"/>
    <s v="Debit Card"/>
    <x v="0"/>
  </r>
  <r>
    <n v="2061"/>
    <x v="1197"/>
    <n v="7"/>
    <s v="2023-01-02"/>
    <n v="2023"/>
    <x v="5"/>
    <n v="2"/>
    <n v="97.29"/>
    <n v="5"/>
    <n v="184.851"/>
    <s v="Credit Card"/>
    <x v="3"/>
  </r>
  <r>
    <n v="2062"/>
    <x v="1197"/>
    <n v="18"/>
    <s v="2023-05-30"/>
    <n v="2023"/>
    <x v="0"/>
    <n v="2"/>
    <n v="138.07"/>
    <n v="10"/>
    <n v="248.52599999999998"/>
    <s v="Wallet"/>
    <x v="1"/>
  </r>
  <r>
    <n v="2063"/>
    <x v="1197"/>
    <n v="12"/>
    <s v="2023-01-21"/>
    <n v="2023"/>
    <x v="5"/>
    <n v="1"/>
    <n v="627.41999999999996"/>
    <n v="10"/>
    <n v="564.678"/>
    <s v="UPI"/>
    <x v="3"/>
  </r>
  <r>
    <n v="2064"/>
    <x v="1197"/>
    <n v="13"/>
    <s v="2023-01-20"/>
    <n v="2023"/>
    <x v="5"/>
    <n v="3"/>
    <n v="334.61"/>
    <n v="0"/>
    <n v="1003.83"/>
    <s v="Credit Card"/>
    <x v="1"/>
  </r>
  <r>
    <n v="2065"/>
    <x v="1198"/>
    <n v="79"/>
    <s v="2023-01-01"/>
    <n v="2023"/>
    <x v="5"/>
    <n v="1"/>
    <n v="488.34"/>
    <n v="5"/>
    <n v="463.92299999999994"/>
    <s v="COD"/>
    <x v="2"/>
  </r>
  <r>
    <n v="2066"/>
    <x v="1198"/>
    <n v="63"/>
    <s v="2023-02-25"/>
    <n v="2023"/>
    <x v="9"/>
    <n v="2"/>
    <n v="309.79000000000002"/>
    <n v="20"/>
    <n v="495.66400000000004"/>
    <s v="UPI"/>
    <x v="2"/>
  </r>
  <r>
    <n v="2067"/>
    <x v="1198"/>
    <n v="79"/>
    <s v="2024-03-04"/>
    <n v="2024"/>
    <x v="1"/>
    <n v="3"/>
    <n v="488.34"/>
    <n v="0"/>
    <n v="1465.02"/>
    <s v="Wallet"/>
    <x v="2"/>
  </r>
  <r>
    <n v="2068"/>
    <x v="1198"/>
    <n v="37"/>
    <s v="2023-03-12"/>
    <n v="2023"/>
    <x v="1"/>
    <n v="1"/>
    <n v="968.87"/>
    <n v="15"/>
    <n v="823.53949999999998"/>
    <s v="Wallet"/>
    <x v="1"/>
  </r>
  <r>
    <n v="2069"/>
    <x v="1198"/>
    <n v="34"/>
    <s v="2023-03-22"/>
    <n v="2023"/>
    <x v="1"/>
    <n v="3"/>
    <n v="523.98"/>
    <n v="20"/>
    <n v="1257.5520000000001"/>
    <s v="Credit Card"/>
    <x v="1"/>
  </r>
  <r>
    <n v="2070"/>
    <x v="1198"/>
    <n v="64"/>
    <s v="2023-11-07"/>
    <n v="2023"/>
    <x v="11"/>
    <n v="1"/>
    <n v="567.71"/>
    <n v="10"/>
    <n v="510.93900000000002"/>
    <s v="Credit Card"/>
    <x v="0"/>
  </r>
  <r>
    <n v="2071"/>
    <x v="1198"/>
    <n v="51"/>
    <s v="2024-03-12"/>
    <n v="2024"/>
    <x v="1"/>
    <n v="2"/>
    <n v="759.57"/>
    <n v="5"/>
    <n v="1443.183"/>
    <s v="COD"/>
    <x v="3"/>
  </r>
  <r>
    <n v="2072"/>
    <x v="1198"/>
    <n v="58"/>
    <s v="2023-07-03"/>
    <n v="2023"/>
    <x v="7"/>
    <n v="3"/>
    <n v="334.98"/>
    <n v="10"/>
    <n v="904.44600000000003"/>
    <s v="UPI"/>
    <x v="1"/>
  </r>
  <r>
    <n v="2073"/>
    <x v="1199"/>
    <n v="52"/>
    <s v="2023-08-03"/>
    <n v="2023"/>
    <x v="6"/>
    <n v="1"/>
    <n v="256.76"/>
    <n v="10"/>
    <n v="231.084"/>
    <s v="UPI"/>
    <x v="1"/>
  </r>
  <r>
    <n v="2074"/>
    <x v="1199"/>
    <n v="27"/>
    <s v="2023-05-04"/>
    <n v="2023"/>
    <x v="0"/>
    <n v="2"/>
    <n v="76.09"/>
    <n v="5"/>
    <n v="144.571"/>
    <s v="Debit Card"/>
    <x v="0"/>
  </r>
  <r>
    <n v="2075"/>
    <x v="1199"/>
    <n v="5"/>
    <s v="2023-02-10"/>
    <n v="2023"/>
    <x v="9"/>
    <n v="1"/>
    <n v="296.85000000000002"/>
    <n v="20"/>
    <n v="237.48000000000002"/>
    <s v="Credit Card"/>
    <x v="0"/>
  </r>
  <r>
    <n v="2076"/>
    <x v="1199"/>
    <n v="19"/>
    <s v="2023-02-25"/>
    <n v="2023"/>
    <x v="9"/>
    <n v="2"/>
    <n v="262.97000000000003"/>
    <n v="5"/>
    <n v="499.64300000000003"/>
    <s v="Debit Card"/>
    <x v="3"/>
  </r>
  <r>
    <n v="2077"/>
    <x v="1199"/>
    <n v="10"/>
    <s v="2023-05-25"/>
    <n v="2023"/>
    <x v="0"/>
    <n v="2"/>
    <n v="64.11"/>
    <n v="10"/>
    <n v="115.398"/>
    <s v="Wallet"/>
    <x v="0"/>
  </r>
  <r>
    <n v="2078"/>
    <x v="1199"/>
    <n v="31"/>
    <s v="2024-01-03"/>
    <n v="2024"/>
    <x v="5"/>
    <n v="2"/>
    <n v="131.79"/>
    <n v="15"/>
    <n v="224.04299999999998"/>
    <s v="COD"/>
    <x v="3"/>
  </r>
  <r>
    <n v="2079"/>
    <x v="1199"/>
    <n v="16"/>
    <s v="2024-04-21"/>
    <n v="2024"/>
    <x v="3"/>
    <n v="3"/>
    <n v="693.02"/>
    <n v="20"/>
    <n v="1663.248"/>
    <s v="Wallet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n v="6748.37"/>
    <s v="2023-12-30"/>
  </r>
  <r>
    <n v="2"/>
    <x v="1"/>
    <n v="18016.2"/>
    <s v="2023-12-02"/>
  </r>
  <r>
    <n v="3"/>
    <x v="0"/>
    <n v="7919.98"/>
    <s v="2023-07-20"/>
  </r>
  <r>
    <n v="4"/>
    <x v="1"/>
    <n v="7556.63"/>
    <s v="2023-01-26"/>
  </r>
  <r>
    <n v="5"/>
    <x v="2"/>
    <n v="16981.310000000001"/>
    <s v="2024-02-16"/>
  </r>
  <r>
    <n v="6"/>
    <x v="3"/>
    <n v="8401.6200000000008"/>
    <s v="2024-02-21"/>
  </r>
  <r>
    <n v="7"/>
    <x v="3"/>
    <n v="9806.57"/>
    <s v="2024-05-09"/>
  </r>
  <r>
    <n v="8"/>
    <x v="2"/>
    <n v="15890.77"/>
    <s v="2024-03-17"/>
  </r>
  <r>
    <n v="9"/>
    <x v="2"/>
    <n v="9542.6299999999992"/>
    <s v="2024-02-22"/>
  </r>
  <r>
    <n v="10"/>
    <x v="3"/>
    <n v="15160.34"/>
    <s v="2023-12-29"/>
  </r>
  <r>
    <n v="11"/>
    <x v="4"/>
    <n v="13509.69"/>
    <s v="2024-05-05"/>
  </r>
  <r>
    <n v="12"/>
    <x v="1"/>
    <n v="17494.54"/>
    <s v="2023-04-05"/>
  </r>
  <r>
    <n v="13"/>
    <x v="2"/>
    <n v="17514.310000000001"/>
    <s v="2023-03-26"/>
  </r>
  <r>
    <n v="14"/>
    <x v="2"/>
    <n v="8900.2199999999993"/>
    <s v="2023-09-07"/>
  </r>
  <r>
    <n v="15"/>
    <x v="0"/>
    <n v="3815.19"/>
    <s v="2024-03-28"/>
  </r>
  <r>
    <n v="16"/>
    <x v="3"/>
    <n v="5560.44"/>
    <s v="2023-11-06"/>
  </r>
  <r>
    <n v="17"/>
    <x v="0"/>
    <n v="19184.189999999999"/>
    <s v="2024-04-09"/>
  </r>
  <r>
    <n v="18"/>
    <x v="1"/>
    <n v="14694.9"/>
    <s v="2023-08-02"/>
  </r>
  <r>
    <n v="19"/>
    <x v="2"/>
    <n v="15646.34"/>
    <s v="2023-11-20"/>
  </r>
  <r>
    <n v="20"/>
    <x v="4"/>
    <n v="14515.94"/>
    <s v="2024-02-14"/>
  </r>
  <r>
    <n v="21"/>
    <x v="1"/>
    <n v="8087.45"/>
    <s v="2023-01-02"/>
  </r>
  <r>
    <n v="22"/>
    <x v="4"/>
    <n v="10173.17"/>
    <s v="2024-02-27"/>
  </r>
  <r>
    <n v="23"/>
    <x v="2"/>
    <n v="4832.55"/>
    <s v="2023-03-17"/>
  </r>
  <r>
    <n v="24"/>
    <x v="4"/>
    <n v="13926.76"/>
    <s v="2024-03-15"/>
  </r>
  <r>
    <n v="25"/>
    <x v="4"/>
    <n v="6195.47"/>
    <s v="2023-07-20"/>
  </r>
  <r>
    <n v="26"/>
    <x v="4"/>
    <n v="19878.990000000002"/>
    <s v="2023-11-10"/>
  </r>
  <r>
    <n v="27"/>
    <x v="1"/>
    <n v="4736.5600000000004"/>
    <s v="2024-01-30"/>
  </r>
  <r>
    <n v="28"/>
    <x v="4"/>
    <n v="9644.1"/>
    <s v="2024-01-04"/>
  </r>
  <r>
    <n v="29"/>
    <x v="3"/>
    <n v="11395.34"/>
    <s v="2023-10-03"/>
  </r>
  <r>
    <n v="30"/>
    <x v="1"/>
    <n v="1845.76"/>
    <s v="2023-06-20"/>
  </r>
  <r>
    <n v="31"/>
    <x v="1"/>
    <n v="8739.39"/>
    <s v="2023-11-18"/>
  </r>
  <r>
    <n v="32"/>
    <x v="3"/>
    <n v="10015.83"/>
    <s v="2024-03-25"/>
  </r>
  <r>
    <n v="33"/>
    <x v="4"/>
    <n v="18651.919999999998"/>
    <s v="2024-04-13"/>
  </r>
  <r>
    <n v="34"/>
    <x v="2"/>
    <n v="11866.06"/>
    <s v="2024-04-17"/>
  </r>
  <r>
    <n v="35"/>
    <x v="3"/>
    <n v="16861.240000000002"/>
    <s v="2023-04-25"/>
  </r>
  <r>
    <n v="36"/>
    <x v="1"/>
    <n v="6029.31"/>
    <s v="2024-04-01"/>
  </r>
  <r>
    <n v="37"/>
    <x v="4"/>
    <n v="16517.990000000002"/>
    <s v="2023-12-09"/>
  </r>
  <r>
    <n v="38"/>
    <x v="1"/>
    <n v="5828.7"/>
    <s v="2023-05-16"/>
  </r>
  <r>
    <n v="39"/>
    <x v="0"/>
    <n v="11084.11"/>
    <s v="2023-01-21"/>
  </r>
  <r>
    <n v="40"/>
    <x v="0"/>
    <n v="19088.16"/>
    <s v="2023-08-19"/>
  </r>
  <r>
    <n v="41"/>
    <x v="1"/>
    <n v="8542.6200000000008"/>
    <s v="2023-08-09"/>
  </r>
  <r>
    <n v="42"/>
    <x v="2"/>
    <n v="19214.11"/>
    <s v="2024-02-15"/>
  </r>
  <r>
    <n v="43"/>
    <x v="4"/>
    <n v="11169.9"/>
    <s v="2024-04-05"/>
  </r>
  <r>
    <n v="44"/>
    <x v="4"/>
    <n v="18858.419999999998"/>
    <s v="2023-01-09"/>
  </r>
  <r>
    <n v="45"/>
    <x v="2"/>
    <n v="17502.37"/>
    <s v="2024-01-11"/>
  </r>
  <r>
    <n v="46"/>
    <x v="1"/>
    <n v="15609.12"/>
    <s v="2023-12-06"/>
  </r>
  <r>
    <n v="47"/>
    <x v="0"/>
    <n v="10436.08"/>
    <s v="2023-10-25"/>
  </r>
  <r>
    <n v="48"/>
    <x v="2"/>
    <n v="11147.71"/>
    <s v="2023-10-10"/>
  </r>
  <r>
    <n v="49"/>
    <x v="0"/>
    <n v="15813.82"/>
    <s v="2024-03-13"/>
  </r>
  <r>
    <n v="50"/>
    <x v="4"/>
    <n v="18586.95"/>
    <s v="2023-07-19"/>
  </r>
  <r>
    <n v="51"/>
    <x v="4"/>
    <n v="14788.7"/>
    <s v="2023-04-01"/>
  </r>
  <r>
    <n v="52"/>
    <x v="3"/>
    <n v="13465.95"/>
    <s v="2023-01-08"/>
  </r>
  <r>
    <n v="53"/>
    <x v="0"/>
    <n v="2513.86"/>
    <s v="2023-11-28"/>
  </r>
  <r>
    <n v="54"/>
    <x v="1"/>
    <n v="18984.990000000002"/>
    <s v="2023-01-11"/>
  </r>
  <r>
    <n v="55"/>
    <x v="2"/>
    <n v="3467.67"/>
    <s v="2024-01-19"/>
  </r>
  <r>
    <n v="56"/>
    <x v="2"/>
    <n v="4211.43"/>
    <s v="2023-05-30"/>
  </r>
  <r>
    <n v="57"/>
    <x v="3"/>
    <n v="8895.94"/>
    <s v="2024-04-08"/>
  </r>
  <r>
    <n v="58"/>
    <x v="2"/>
    <n v="4877.7700000000004"/>
    <s v="2023-03-25"/>
  </r>
  <r>
    <n v="59"/>
    <x v="2"/>
    <n v="2854.48"/>
    <s v="2024-04-22"/>
  </r>
  <r>
    <n v="60"/>
    <x v="4"/>
    <n v="6880.36"/>
    <s v="2023-10-05"/>
  </r>
  <r>
    <n v="61"/>
    <x v="0"/>
    <n v="13141.43"/>
    <s v="2023-02-09"/>
  </r>
  <r>
    <n v="62"/>
    <x v="1"/>
    <n v="17591.2"/>
    <s v="2024-03-12"/>
  </r>
  <r>
    <n v="63"/>
    <x v="2"/>
    <n v="19118.13"/>
    <s v="2023-02-03"/>
  </r>
  <r>
    <n v="64"/>
    <x v="3"/>
    <n v="19337.73"/>
    <s v="2023-02-28"/>
  </r>
  <r>
    <n v="65"/>
    <x v="4"/>
    <n v="7413.07"/>
    <s v="2023-09-14"/>
  </r>
  <r>
    <n v="66"/>
    <x v="3"/>
    <n v="9840.65"/>
    <s v="2023-03-04"/>
  </r>
  <r>
    <n v="67"/>
    <x v="1"/>
    <n v="13691.97"/>
    <s v="2023-05-23"/>
  </r>
  <r>
    <n v="68"/>
    <x v="2"/>
    <n v="7768.92"/>
    <s v="2023-02-17"/>
  </r>
  <r>
    <n v="69"/>
    <x v="0"/>
    <n v="4351.57"/>
    <s v="2024-02-17"/>
  </r>
  <r>
    <n v="70"/>
    <x v="1"/>
    <n v="11360.78"/>
    <s v="2023-05-09"/>
  </r>
  <r>
    <n v="71"/>
    <x v="1"/>
    <n v="18307.48"/>
    <s v="2023-11-14"/>
  </r>
  <r>
    <n v="72"/>
    <x v="0"/>
    <n v="19850.34"/>
    <s v="2023-03-25"/>
  </r>
  <r>
    <n v="73"/>
    <x v="4"/>
    <n v="7499.92"/>
    <s v="2023-09-25"/>
  </r>
  <r>
    <n v="74"/>
    <x v="2"/>
    <n v="4689.24"/>
    <s v="2024-04-18"/>
  </r>
  <r>
    <n v="75"/>
    <x v="3"/>
    <n v="1565.99"/>
    <s v="2024-03-12"/>
  </r>
  <r>
    <n v="76"/>
    <x v="1"/>
    <n v="16060.64"/>
    <s v="2023-08-10"/>
  </r>
  <r>
    <n v="77"/>
    <x v="3"/>
    <n v="16338.23"/>
    <s v="2024-02-02"/>
  </r>
  <r>
    <n v="78"/>
    <x v="4"/>
    <n v="5034.84"/>
    <s v="2023-04-08"/>
  </r>
  <r>
    <n v="79"/>
    <x v="4"/>
    <n v="13112.3"/>
    <s v="2024-02-01"/>
  </r>
  <r>
    <n v="80"/>
    <x v="0"/>
    <n v="15206.95"/>
    <s v="2023-02-04"/>
  </r>
  <r>
    <n v="81"/>
    <x v="3"/>
    <n v="16855.71"/>
    <s v="2024-04-23"/>
  </r>
  <r>
    <n v="82"/>
    <x v="3"/>
    <n v="11591.7"/>
    <s v="2023-08-23"/>
  </r>
  <r>
    <n v="83"/>
    <x v="0"/>
    <n v="7122.07"/>
    <s v="2023-07-08"/>
  </r>
  <r>
    <n v="84"/>
    <x v="3"/>
    <n v="18099.439999999999"/>
    <s v="2023-01-19"/>
  </r>
  <r>
    <n v="85"/>
    <x v="2"/>
    <n v="4573.53"/>
    <s v="2023-10-20"/>
  </r>
  <r>
    <n v="86"/>
    <x v="2"/>
    <n v="1325.31"/>
    <s v="2023-12-07"/>
  </r>
  <r>
    <n v="87"/>
    <x v="1"/>
    <n v="13325.62"/>
    <s v="2023-08-01"/>
  </r>
  <r>
    <n v="88"/>
    <x v="3"/>
    <n v="19422.09"/>
    <s v="2024-03-17"/>
  </r>
  <r>
    <n v="89"/>
    <x v="1"/>
    <n v="2619.2800000000002"/>
    <s v="2024-03-07"/>
  </r>
  <r>
    <n v="90"/>
    <x v="1"/>
    <n v="12298.32"/>
    <s v="2023-10-15"/>
  </r>
  <r>
    <n v="91"/>
    <x v="3"/>
    <n v="12264.82"/>
    <s v="2023-08-31"/>
  </r>
  <r>
    <n v="92"/>
    <x v="2"/>
    <n v="11518.12"/>
    <s v="2023-10-10"/>
  </r>
  <r>
    <n v="93"/>
    <x v="1"/>
    <n v="3275.31"/>
    <s v="2024-02-20"/>
  </r>
  <r>
    <n v="94"/>
    <x v="2"/>
    <n v="15936.78"/>
    <s v="2023-11-23"/>
  </r>
  <r>
    <n v="95"/>
    <x v="3"/>
    <n v="5674.71"/>
    <s v="2023-10-02"/>
  </r>
  <r>
    <n v="96"/>
    <x v="1"/>
    <n v="6575.58"/>
    <s v="2024-03-15"/>
  </r>
  <r>
    <n v="97"/>
    <x v="0"/>
    <n v="2043.35"/>
    <s v="2023-06-03"/>
  </r>
  <r>
    <n v="98"/>
    <x v="3"/>
    <n v="14222.23"/>
    <s v="2024-02-22"/>
  </r>
  <r>
    <n v="99"/>
    <x v="2"/>
    <n v="19986.330000000002"/>
    <s v="2023-05-24"/>
  </r>
  <r>
    <n v="100"/>
    <x v="4"/>
    <n v="17145"/>
    <s v="2023-02-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41F46-CB0B-451D-BE95-95DF52544E5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Revenue" fld="9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4ACAA-E928-46B4-919D-45AE9455D4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13">
        <item x="5"/>
        <item x="9"/>
        <item x="1"/>
        <item x="3"/>
        <item x="0"/>
        <item x="4"/>
        <item x="7"/>
        <item x="6"/>
        <item x="8"/>
        <item x="10"/>
        <item x="1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9" baseField="0" baseItem="0" numFmtId="1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F605C-4E9C-47D8-B3DF-ABA30A7E259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04" firstHeaderRow="1" firstDataRow="1" firstDataCol="1"/>
  <pivotFields count="12">
    <pivotField dataField="1" showAll="0"/>
    <pivotField axis="axisRow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 t="grand">
      <x/>
    </i>
  </rowItems>
  <colItems count="1">
    <i/>
  </colItems>
  <dataFields count="1">
    <dataField name="Count of Order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5417C-2686-4BDD-9ED1-DE38414A96F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04" firstHeaderRow="1" firstDataRow="1" firstDataCol="1"/>
  <pivotFields count="12">
    <pivotField showAll="0"/>
    <pivotField axis="axisRow" showAll="0" sortType="descending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01">
    <i>
      <x v="1177"/>
    </i>
    <i>
      <x v="1165"/>
    </i>
    <i>
      <x v="1195"/>
    </i>
    <i>
      <x v="1155"/>
    </i>
    <i>
      <x v="1169"/>
    </i>
    <i>
      <x v="1168"/>
    </i>
    <i>
      <x v="1179"/>
    </i>
    <i>
      <x v="1181"/>
    </i>
    <i>
      <x v="1192"/>
    </i>
    <i>
      <x v="1147"/>
    </i>
    <i>
      <x v="1184"/>
    </i>
    <i>
      <x v="1188"/>
    </i>
    <i>
      <x v="1164"/>
    </i>
    <i>
      <x v="1142"/>
    </i>
    <i>
      <x v="1194"/>
    </i>
    <i>
      <x v="1189"/>
    </i>
    <i>
      <x v="1182"/>
    </i>
    <i>
      <x v="1154"/>
    </i>
    <i>
      <x v="1191"/>
    </i>
    <i>
      <x v="1171"/>
    </i>
    <i>
      <x v="1196"/>
    </i>
    <i>
      <x v="1085"/>
    </i>
    <i>
      <x v="1170"/>
    </i>
    <i>
      <x v="1146"/>
    </i>
    <i>
      <x v="1153"/>
    </i>
    <i>
      <x v="1148"/>
    </i>
    <i>
      <x v="1197"/>
    </i>
    <i>
      <x v="1144"/>
    </i>
    <i>
      <x v="1081"/>
    </i>
    <i>
      <x v="1173"/>
    </i>
    <i>
      <x v="1198"/>
    </i>
    <i>
      <x v="1190"/>
    </i>
    <i>
      <x v="1166"/>
    </i>
    <i>
      <x v="1132"/>
    </i>
    <i>
      <x v="1156"/>
    </i>
    <i>
      <x v="1183"/>
    </i>
    <i>
      <x v="1152"/>
    </i>
    <i>
      <x v="1030"/>
    </i>
    <i>
      <x v="1150"/>
    </i>
    <i>
      <x v="1141"/>
    </i>
    <i>
      <x v="1047"/>
    </i>
    <i>
      <x v="1161"/>
    </i>
    <i>
      <x v="1038"/>
    </i>
    <i>
      <x v="979"/>
    </i>
    <i>
      <x v="1105"/>
    </i>
    <i>
      <x v="1054"/>
    </i>
    <i>
      <x v="1158"/>
    </i>
    <i>
      <x v="1157"/>
    </i>
    <i>
      <x v="1149"/>
    </i>
    <i>
      <x v="1143"/>
    </i>
    <i>
      <x v="1180"/>
    </i>
    <i>
      <x v="1094"/>
    </i>
    <i>
      <x v="1090"/>
    </i>
    <i>
      <x v="907"/>
    </i>
    <i>
      <x v="1163"/>
    </i>
    <i>
      <x v="1119"/>
    </i>
    <i>
      <x v="1093"/>
    </i>
    <i>
      <x v="1080"/>
    </i>
    <i>
      <x v="1033"/>
    </i>
    <i>
      <x v="1159"/>
    </i>
    <i>
      <x v="1103"/>
    </i>
    <i>
      <x v="1022"/>
    </i>
    <i>
      <x v="1185"/>
    </i>
    <i>
      <x v="1138"/>
    </i>
    <i>
      <x v="1019"/>
    </i>
    <i>
      <x v="1175"/>
    </i>
    <i>
      <x v="1172"/>
    </i>
    <i>
      <x v="1176"/>
    </i>
    <i>
      <x v="1099"/>
    </i>
    <i>
      <x v="1174"/>
    </i>
    <i>
      <x v="995"/>
    </i>
    <i>
      <x v="1178"/>
    </i>
    <i>
      <x v="1136"/>
    </i>
    <i>
      <x v="1115"/>
    </i>
    <i>
      <x v="1069"/>
    </i>
    <i>
      <x v="1125"/>
    </i>
    <i>
      <x v="891"/>
    </i>
    <i>
      <x v="1095"/>
    </i>
    <i>
      <x v="1102"/>
    </i>
    <i>
      <x v="792"/>
    </i>
    <i>
      <x v="1193"/>
    </i>
    <i>
      <x v="1045"/>
    </i>
    <i>
      <x v="1116"/>
    </i>
    <i>
      <x v="810"/>
    </i>
    <i>
      <x v="1187"/>
    </i>
    <i>
      <x v="1055"/>
    </i>
    <i>
      <x v="1050"/>
    </i>
    <i>
      <x v="1113"/>
    </i>
    <i>
      <x v="1020"/>
    </i>
    <i>
      <x v="1060"/>
    </i>
    <i>
      <x v="1077"/>
    </i>
    <i>
      <x v="1162"/>
    </i>
    <i>
      <x v="1041"/>
    </i>
    <i>
      <x v="1035"/>
    </i>
    <i>
      <x v="1086"/>
    </i>
    <i>
      <x v="1053"/>
    </i>
    <i>
      <x v="1067"/>
    </i>
    <i>
      <x v="908"/>
    </i>
    <i>
      <x v="1121"/>
    </i>
    <i>
      <x v="1167"/>
    </i>
    <i>
      <x v="1160"/>
    </i>
    <i>
      <x v="836"/>
    </i>
    <i>
      <x v="1058"/>
    </i>
    <i>
      <x v="1027"/>
    </i>
    <i>
      <x v="1046"/>
    </i>
    <i>
      <x v="1000"/>
    </i>
    <i>
      <x v="1145"/>
    </i>
    <i>
      <x v="856"/>
    </i>
    <i>
      <x v="983"/>
    </i>
    <i>
      <x v="1134"/>
    </i>
    <i>
      <x v="1118"/>
    </i>
    <i>
      <x v="1087"/>
    </i>
    <i>
      <x v="1186"/>
    </i>
    <i>
      <x v="887"/>
    </i>
    <i>
      <x v="853"/>
    </i>
    <i>
      <x v="892"/>
    </i>
    <i>
      <x v="1039"/>
    </i>
    <i>
      <x v="962"/>
    </i>
    <i>
      <x v="1123"/>
    </i>
    <i>
      <x v="1126"/>
    </i>
    <i>
      <x v="883"/>
    </i>
    <i>
      <x v="956"/>
    </i>
    <i>
      <x v="840"/>
    </i>
    <i>
      <x v="1097"/>
    </i>
    <i>
      <x v="1029"/>
    </i>
    <i>
      <x v="1044"/>
    </i>
    <i>
      <x v="1091"/>
    </i>
    <i>
      <x v="838"/>
    </i>
    <i>
      <x v="1107"/>
    </i>
    <i>
      <x v="1151"/>
    </i>
    <i>
      <x v="1140"/>
    </i>
    <i>
      <x v="895"/>
    </i>
    <i>
      <x v="940"/>
    </i>
    <i>
      <x v="1049"/>
    </i>
    <i>
      <x v="822"/>
    </i>
    <i>
      <x v="894"/>
    </i>
    <i>
      <x v="1024"/>
    </i>
    <i>
      <x v="1040"/>
    </i>
    <i>
      <x v="833"/>
    </i>
    <i>
      <x v="1062"/>
    </i>
    <i>
      <x v="1114"/>
    </i>
    <i>
      <x v="972"/>
    </i>
    <i>
      <x v="91"/>
    </i>
    <i>
      <x v="1042"/>
    </i>
    <i>
      <x v="1023"/>
    </i>
    <i>
      <x v="1137"/>
    </i>
    <i>
      <x v="1068"/>
    </i>
    <i>
      <x v="783"/>
    </i>
    <i>
      <x v="947"/>
    </i>
    <i>
      <x v="869"/>
    </i>
    <i>
      <x v="981"/>
    </i>
    <i>
      <x v="1133"/>
    </i>
    <i>
      <x v="870"/>
    </i>
    <i>
      <x v="804"/>
    </i>
    <i>
      <x v="982"/>
    </i>
    <i>
      <x v="975"/>
    </i>
    <i>
      <x v="1124"/>
    </i>
    <i>
      <x v="271"/>
    </i>
    <i>
      <x v="158"/>
    </i>
    <i>
      <x v="1073"/>
    </i>
    <i>
      <x v="190"/>
    </i>
    <i>
      <x v="1059"/>
    </i>
    <i>
      <x v="897"/>
    </i>
    <i>
      <x v="816"/>
    </i>
    <i>
      <x v="1130"/>
    </i>
    <i>
      <x v="993"/>
    </i>
    <i>
      <x v="1117"/>
    </i>
    <i>
      <x v="815"/>
    </i>
    <i>
      <x v="949"/>
    </i>
    <i>
      <x v="547"/>
    </i>
    <i>
      <x v="1043"/>
    </i>
    <i>
      <x v="973"/>
    </i>
    <i>
      <x v="865"/>
    </i>
    <i>
      <x v="890"/>
    </i>
    <i>
      <x v="944"/>
    </i>
    <i>
      <x v="1092"/>
    </i>
    <i>
      <x v="814"/>
    </i>
    <i>
      <x v="945"/>
    </i>
    <i>
      <x v="386"/>
    </i>
    <i>
      <x v="354"/>
    </i>
    <i>
      <x v="319"/>
    </i>
    <i>
      <x v="109"/>
    </i>
    <i>
      <x v="70"/>
    </i>
    <i>
      <x v="1108"/>
    </i>
    <i>
      <x v="1100"/>
    </i>
    <i>
      <x v="829"/>
    </i>
    <i>
      <x v="1014"/>
    </i>
    <i>
      <x v="841"/>
    </i>
    <i>
      <x v="1139"/>
    </i>
    <i>
      <x v="209"/>
    </i>
    <i>
      <x v="1199"/>
    </i>
    <i>
      <x v="619"/>
    </i>
    <i>
      <x v="1066"/>
    </i>
    <i>
      <x v="902"/>
    </i>
    <i>
      <x v="315"/>
    </i>
    <i>
      <x v="592"/>
    </i>
    <i>
      <x v="1106"/>
    </i>
    <i>
      <x v="1063"/>
    </i>
    <i>
      <x v="586"/>
    </i>
    <i>
      <x v="259"/>
    </i>
    <i>
      <x v="369"/>
    </i>
    <i>
      <x v="827"/>
    </i>
    <i>
      <x v="938"/>
    </i>
    <i>
      <x v="1083"/>
    </i>
    <i>
      <x v="488"/>
    </i>
    <i>
      <x v="876"/>
    </i>
    <i>
      <x v="820"/>
    </i>
    <i>
      <x v="698"/>
    </i>
    <i>
      <x v="90"/>
    </i>
    <i>
      <x v="576"/>
    </i>
    <i>
      <x v="342"/>
    </i>
    <i>
      <x v="399"/>
    </i>
    <i>
      <x v="843"/>
    </i>
    <i>
      <x v="1031"/>
    </i>
    <i>
      <x v="1064"/>
    </i>
    <i>
      <x v="476"/>
    </i>
    <i>
      <x v="1112"/>
    </i>
    <i>
      <x v="186"/>
    </i>
    <i>
      <x v="882"/>
    </i>
    <i>
      <x v="645"/>
    </i>
    <i>
      <x v="376"/>
    </i>
    <i>
      <x v="465"/>
    </i>
    <i>
      <x v="899"/>
    </i>
    <i>
      <x v="537"/>
    </i>
    <i>
      <x v="1028"/>
    </i>
    <i>
      <x v="996"/>
    </i>
    <i>
      <x v="831"/>
    </i>
    <i>
      <x v="681"/>
    </i>
    <i>
      <x v="444"/>
    </i>
    <i>
      <x v="980"/>
    </i>
    <i>
      <x v="1084"/>
    </i>
    <i>
      <x v="878"/>
    </i>
    <i>
      <x v="671"/>
    </i>
    <i>
      <x v="19"/>
    </i>
    <i>
      <x v="697"/>
    </i>
    <i>
      <x v="228"/>
    </i>
    <i>
      <x v="1036"/>
    </i>
    <i>
      <x v="503"/>
    </i>
    <i>
      <x v="22"/>
    </i>
    <i>
      <x v="169"/>
    </i>
    <i>
      <x v="265"/>
    </i>
    <i>
      <x v="187"/>
    </i>
    <i>
      <x v="921"/>
    </i>
    <i>
      <x v="1071"/>
    </i>
    <i>
      <x v="1016"/>
    </i>
    <i>
      <x v="1098"/>
    </i>
    <i>
      <x v="850"/>
    </i>
    <i>
      <x v="872"/>
    </i>
    <i>
      <x v="911"/>
    </i>
    <i>
      <x v="785"/>
    </i>
    <i>
      <x v="898"/>
    </i>
    <i>
      <x v="49"/>
    </i>
    <i>
      <x v="46"/>
    </i>
    <i>
      <x v="418"/>
    </i>
    <i>
      <x v="1034"/>
    </i>
    <i>
      <x v="849"/>
    </i>
    <i>
      <x v="480"/>
    </i>
    <i>
      <x v="502"/>
    </i>
    <i>
      <x v="120"/>
    </i>
    <i>
      <x v="721"/>
    </i>
    <i>
      <x v="992"/>
    </i>
    <i>
      <x v="918"/>
    </i>
    <i>
      <x v="910"/>
    </i>
    <i>
      <x v="632"/>
    </i>
    <i>
      <x v="736"/>
    </i>
    <i>
      <x v="176"/>
    </i>
    <i>
      <x v="1048"/>
    </i>
    <i>
      <x v="714"/>
    </i>
    <i>
      <x v="248"/>
    </i>
    <i>
      <x v="193"/>
    </i>
    <i>
      <x v="1120"/>
    </i>
    <i>
      <x v="118"/>
    </i>
    <i>
      <x v="1110"/>
    </i>
    <i>
      <x v="575"/>
    </i>
    <i>
      <x v="585"/>
    </i>
    <i>
      <x v="500"/>
    </i>
    <i>
      <x v="610"/>
    </i>
    <i>
      <x v="846"/>
    </i>
    <i>
      <x v="924"/>
    </i>
    <i>
      <x v="978"/>
    </i>
    <i>
      <x v="857"/>
    </i>
    <i>
      <x v="871"/>
    </i>
    <i>
      <x v="811"/>
    </i>
    <i>
      <x v="311"/>
    </i>
    <i>
      <x v="867"/>
    </i>
    <i>
      <x v="826"/>
    </i>
    <i>
      <x v="644"/>
    </i>
    <i>
      <x v="373"/>
    </i>
    <i>
      <x v="1018"/>
    </i>
    <i>
      <x v="855"/>
    </i>
    <i>
      <x v="140"/>
    </i>
    <i>
      <x v="1002"/>
    </i>
    <i>
      <x v="906"/>
    </i>
    <i>
      <x v="416"/>
    </i>
    <i>
      <x v="862"/>
    </i>
    <i>
      <x v="934"/>
    </i>
    <i>
      <x v="277"/>
    </i>
    <i>
      <x v="290"/>
    </i>
    <i>
      <x v="127"/>
    </i>
    <i>
      <x v="747"/>
    </i>
    <i>
      <x v="223"/>
    </i>
    <i>
      <x v="144"/>
    </i>
    <i>
      <x v="863"/>
    </i>
    <i>
      <x v="258"/>
    </i>
    <i>
      <x v="941"/>
    </i>
    <i>
      <x v="946"/>
    </i>
    <i>
      <x v="986"/>
    </i>
    <i>
      <x v="943"/>
    </i>
    <i>
      <x v="789"/>
    </i>
    <i>
      <x v="197"/>
    </i>
    <i>
      <x v="847"/>
    </i>
    <i>
      <x v="1057"/>
    </i>
    <i>
      <x v="1122"/>
    </i>
    <i>
      <x v="903"/>
    </i>
    <i>
      <x v="931"/>
    </i>
    <i>
      <x v="1079"/>
    </i>
    <i>
      <x v="936"/>
    </i>
    <i>
      <x v="278"/>
    </i>
    <i>
      <x v="154"/>
    </i>
    <i>
      <x v="149"/>
    </i>
    <i>
      <x v="914"/>
    </i>
    <i>
      <x v="117"/>
    </i>
    <i>
      <x v="842"/>
    </i>
    <i>
      <x v="430"/>
    </i>
    <i>
      <x v="102"/>
    </i>
    <i>
      <x v="874"/>
    </i>
    <i>
      <x v="287"/>
    </i>
    <i>
      <x v="737"/>
    </i>
    <i>
      <x v="998"/>
    </i>
    <i>
      <x v="802"/>
    </i>
    <i>
      <x v="1082"/>
    </i>
    <i>
      <x v="837"/>
    </i>
    <i>
      <x v="1025"/>
    </i>
    <i>
      <x v="33"/>
    </i>
    <i>
      <x v="69"/>
    </i>
    <i>
      <x v="912"/>
    </i>
    <i>
      <x v="1135"/>
    </i>
    <i>
      <x v="966"/>
    </i>
    <i>
      <x v="512"/>
    </i>
    <i>
      <x v="437"/>
    </i>
    <i>
      <x v="1032"/>
    </i>
    <i>
      <x v="844"/>
    </i>
    <i>
      <x v="885"/>
    </i>
    <i>
      <x v="1006"/>
    </i>
    <i>
      <x v="985"/>
    </i>
    <i>
      <x v="1011"/>
    </i>
    <i>
      <x v="452"/>
    </i>
    <i>
      <x v="326"/>
    </i>
    <i>
      <x v="744"/>
    </i>
    <i>
      <x v="492"/>
    </i>
    <i>
      <x v="791"/>
    </i>
    <i>
      <x v="673"/>
    </i>
    <i>
      <x v="510"/>
    </i>
    <i>
      <x v="366"/>
    </i>
    <i>
      <x v="141"/>
    </i>
    <i>
      <x v="858"/>
    </i>
    <i>
      <x v="780"/>
    </i>
    <i>
      <x v="395"/>
    </i>
    <i>
      <x v="806"/>
    </i>
    <i>
      <x v="291"/>
    </i>
    <i>
      <x v="674"/>
    </i>
    <i>
      <x v="851"/>
    </i>
    <i>
      <x v="793"/>
    </i>
    <i>
      <x v="551"/>
    </i>
    <i>
      <x v="913"/>
    </i>
    <i>
      <x v="988"/>
    </i>
    <i>
      <x v="952"/>
    </i>
    <i>
      <x v="925"/>
    </i>
    <i>
      <x v="1007"/>
    </i>
    <i>
      <x v="919"/>
    </i>
    <i>
      <x v="297"/>
    </i>
    <i>
      <x v="687"/>
    </i>
    <i>
      <x v="731"/>
    </i>
    <i>
      <x v="133"/>
    </i>
    <i>
      <x v="443"/>
    </i>
    <i>
      <x v="1021"/>
    </i>
    <i>
      <x v="704"/>
    </i>
    <i>
      <x v="926"/>
    </i>
    <i>
      <x v="424"/>
    </i>
    <i>
      <x v="1096"/>
    </i>
    <i>
      <x v="928"/>
    </i>
    <i>
      <x v="752"/>
    </i>
    <i>
      <x v="440"/>
    </i>
    <i>
      <x v="180"/>
    </i>
    <i>
      <x v="467"/>
    </i>
    <i>
      <x v="879"/>
    </i>
    <i>
      <x v="808"/>
    </i>
    <i>
      <x v="799"/>
    </i>
    <i>
      <x v="454"/>
    </i>
    <i>
      <x v="103"/>
    </i>
    <i>
      <x v="344"/>
    </i>
    <i>
      <x v="587"/>
    </i>
    <i>
      <x v="916"/>
    </i>
    <i>
      <x v="1074"/>
    </i>
    <i>
      <x v="963"/>
    </i>
    <i>
      <x v="181"/>
    </i>
    <i>
      <x v="647"/>
    </i>
    <i>
      <x v="75"/>
    </i>
    <i>
      <x v="1056"/>
    </i>
    <i>
      <x v="795"/>
    </i>
    <i>
      <x v="745"/>
    </i>
    <i>
      <x v="536"/>
    </i>
    <i>
      <x v="232"/>
    </i>
    <i>
      <x v="316"/>
    </i>
    <i>
      <x v="98"/>
    </i>
    <i>
      <x v="111"/>
    </i>
    <i>
      <x v="969"/>
    </i>
    <i>
      <x v="935"/>
    </i>
    <i>
      <x/>
    </i>
    <i>
      <x v="513"/>
    </i>
    <i>
      <x v="583"/>
    </i>
    <i>
      <x v="288"/>
    </i>
    <i>
      <x v="80"/>
    </i>
    <i>
      <x v="566"/>
    </i>
    <i>
      <x v="84"/>
    </i>
    <i>
      <x v="17"/>
    </i>
    <i>
      <x v="954"/>
    </i>
    <i>
      <x v="798"/>
    </i>
    <i>
      <x v="206"/>
    </i>
    <i>
      <x v="624"/>
    </i>
    <i>
      <x v="73"/>
    </i>
    <i>
      <x v="807"/>
    </i>
    <i>
      <x v="188"/>
    </i>
    <i>
      <x v="539"/>
    </i>
    <i>
      <x v="734"/>
    </i>
    <i>
      <x v="560"/>
    </i>
    <i>
      <x v="225"/>
    </i>
    <i>
      <x v="579"/>
    </i>
    <i>
      <x v="809"/>
    </i>
    <i>
      <x v="866"/>
    </i>
    <i>
      <x v="881"/>
    </i>
    <i>
      <x v="854"/>
    </i>
    <i>
      <x v="705"/>
    </i>
    <i>
      <x v="819"/>
    </i>
    <i>
      <x v="603"/>
    </i>
    <i>
      <x v="1127"/>
    </i>
    <i>
      <x v="852"/>
    </i>
    <i>
      <x v="1109"/>
    </i>
    <i>
      <x v="651"/>
    </i>
    <i>
      <x v="279"/>
    </i>
    <i>
      <x v="817"/>
    </i>
    <i>
      <x v="2"/>
    </i>
    <i>
      <x v="590"/>
    </i>
    <i>
      <x v="1075"/>
    </i>
    <i>
      <x v="401"/>
    </i>
    <i>
      <x v="490"/>
    </i>
    <i>
      <x v="830"/>
    </i>
    <i>
      <x v="531"/>
    </i>
    <i>
      <x v="1017"/>
    </i>
    <i>
      <x v="751"/>
    </i>
    <i>
      <x v="823"/>
    </i>
    <i>
      <x v="436"/>
    </i>
    <i>
      <x v="446"/>
    </i>
    <i>
      <x v="627"/>
    </i>
    <i>
      <x v="283"/>
    </i>
    <i>
      <x v="796"/>
    </i>
    <i>
      <x v="639"/>
    </i>
    <i>
      <x v="338"/>
    </i>
    <i>
      <x v="1061"/>
    </i>
    <i>
      <x v="596"/>
    </i>
    <i>
      <x v="479"/>
    </i>
    <i>
      <x v="487"/>
    </i>
    <i>
      <x v="961"/>
    </i>
    <i>
      <x v="1111"/>
    </i>
    <i>
      <x v="675"/>
    </i>
    <i>
      <x v="515"/>
    </i>
    <i>
      <x v="62"/>
    </i>
    <i>
      <x v="1088"/>
    </i>
    <i>
      <x v="66"/>
    </i>
    <i>
      <x v="593"/>
    </i>
    <i>
      <x v="129"/>
    </i>
    <i>
      <x v="198"/>
    </i>
    <i>
      <x v="468"/>
    </i>
    <i>
      <x v="832"/>
    </i>
    <i>
      <x v="790"/>
    </i>
    <i>
      <x v="245"/>
    </i>
    <i>
      <x v="189"/>
    </i>
    <i>
      <x v="12"/>
    </i>
    <i>
      <x v="794"/>
    </i>
    <i>
      <x v="554"/>
    </i>
    <i>
      <x v="1104"/>
    </i>
    <i>
      <x v="10"/>
    </i>
    <i>
      <x v="146"/>
    </i>
    <i>
      <x v="23"/>
    </i>
    <i>
      <x v="825"/>
    </i>
    <i>
      <x v="398"/>
    </i>
    <i>
      <x v="240"/>
    </i>
    <i>
      <x v="588"/>
    </i>
    <i>
      <x v="1052"/>
    </i>
    <i>
      <x v="1037"/>
    </i>
    <i>
      <x v="1076"/>
    </i>
    <i>
      <x v="549"/>
    </i>
    <i>
      <x v="977"/>
    </i>
    <i>
      <x v="797"/>
    </i>
    <i>
      <x v="388"/>
    </i>
    <i>
      <x v="904"/>
    </i>
    <i>
      <x v="683"/>
    </i>
    <i>
      <x v="754"/>
    </i>
    <i>
      <x v="47"/>
    </i>
    <i>
      <x v="757"/>
    </i>
    <i>
      <x v="100"/>
    </i>
    <i>
      <x v="95"/>
    </i>
    <i>
      <x v="999"/>
    </i>
    <i>
      <x v="558"/>
    </i>
    <i>
      <x v="1051"/>
    </i>
    <i>
      <x v="782"/>
    </i>
    <i>
      <x v="194"/>
    </i>
    <i>
      <x v="477"/>
    </i>
    <i>
      <x v="517"/>
    </i>
    <i>
      <x v="613"/>
    </i>
    <i>
      <x v="634"/>
    </i>
    <i>
      <x v="568"/>
    </i>
    <i>
      <x v="451"/>
    </i>
    <i>
      <x v="1001"/>
    </i>
    <i>
      <x v="274"/>
    </i>
    <i>
      <x v="653"/>
    </i>
    <i>
      <x v="89"/>
    </i>
    <i>
      <x v="227"/>
    </i>
    <i>
      <x v="88"/>
    </i>
    <i>
      <x v="43"/>
    </i>
    <i>
      <x v="1070"/>
    </i>
    <i>
      <x v="262"/>
    </i>
    <i>
      <x v="165"/>
    </i>
    <i>
      <x v="218"/>
    </i>
    <i>
      <x v="930"/>
    </i>
    <i>
      <x v="699"/>
    </i>
    <i>
      <x v="474"/>
    </i>
    <i>
      <x v="272"/>
    </i>
    <i>
      <x v="432"/>
    </i>
    <i>
      <x v="788"/>
    </i>
    <i>
      <x v="948"/>
    </i>
    <i>
      <x v="929"/>
    </i>
    <i>
      <x v="229"/>
    </i>
    <i>
      <x v="964"/>
    </i>
    <i>
      <x v="68"/>
    </i>
    <i>
      <x v="34"/>
    </i>
    <i>
      <x v="643"/>
    </i>
    <i>
      <x v="909"/>
    </i>
    <i>
      <x v="991"/>
    </i>
    <i>
      <x v="38"/>
    </i>
    <i>
      <x v="314"/>
    </i>
    <i>
      <x v="212"/>
    </i>
    <i>
      <x v="875"/>
    </i>
    <i>
      <x v="670"/>
    </i>
    <i>
      <x v="1026"/>
    </i>
    <i>
      <x v="207"/>
    </i>
    <i>
      <x v="950"/>
    </i>
    <i>
      <x v="1072"/>
    </i>
    <i>
      <x v="1065"/>
    </i>
    <i>
      <x v="700"/>
    </i>
    <i>
      <x v="42"/>
    </i>
    <i>
      <x v="689"/>
    </i>
    <i>
      <x v="145"/>
    </i>
    <i>
      <x v="839"/>
    </i>
    <i>
      <x v="391"/>
    </i>
    <i>
      <x v="677"/>
    </i>
    <i>
      <x v="571"/>
    </i>
    <i>
      <x v="518"/>
    </i>
    <i>
      <x v="6"/>
    </i>
    <i>
      <x v="93"/>
    </i>
    <i>
      <x v="1101"/>
    </i>
    <i>
      <x v="293"/>
    </i>
    <i>
      <x v="771"/>
    </i>
    <i>
      <x v="405"/>
    </i>
    <i>
      <x v="937"/>
    </i>
    <i>
      <x v="813"/>
    </i>
    <i>
      <x v="173"/>
    </i>
    <i>
      <x v="202"/>
    </i>
    <i>
      <x v="893"/>
    </i>
    <i>
      <x v="710"/>
    </i>
    <i>
      <x v="1008"/>
    </i>
    <i>
      <x v="442"/>
    </i>
    <i>
      <x v="818"/>
    </i>
    <i>
      <x v="824"/>
    </i>
    <i>
      <x v="497"/>
    </i>
    <i>
      <x v="36"/>
    </i>
    <i>
      <x v="828"/>
    </i>
    <i>
      <x v="735"/>
    </i>
    <i>
      <x v="758"/>
    </i>
    <i>
      <x v="959"/>
    </i>
    <i>
      <x v="760"/>
    </i>
    <i>
      <x v="545"/>
    </i>
    <i>
      <x v="774"/>
    </i>
    <i>
      <x v="868"/>
    </i>
    <i>
      <x v="781"/>
    </i>
    <i>
      <x v="989"/>
    </i>
    <i>
      <x v="505"/>
    </i>
    <i>
      <x v="213"/>
    </i>
    <i>
      <x v="848"/>
    </i>
    <i>
      <x v="642"/>
    </i>
    <i>
      <x v="652"/>
    </i>
    <i>
      <x v="250"/>
    </i>
    <i>
      <x v="580"/>
    </i>
    <i>
      <x v="974"/>
    </i>
    <i>
      <x v="1004"/>
    </i>
    <i>
      <x v="720"/>
    </i>
    <i>
      <x v="286"/>
    </i>
    <i>
      <x v="1013"/>
    </i>
    <i>
      <x v="708"/>
    </i>
    <i>
      <x v="725"/>
    </i>
    <i>
      <x v="667"/>
    </i>
    <i>
      <x v="167"/>
    </i>
    <i>
      <x v="3"/>
    </i>
    <i>
      <x v="327"/>
    </i>
    <i>
      <x v="74"/>
    </i>
    <i>
      <x v="953"/>
    </i>
    <i>
      <x v="694"/>
    </i>
    <i>
      <x v="1005"/>
    </i>
    <i>
      <x v="922"/>
    </i>
    <i>
      <x v="884"/>
    </i>
    <i>
      <x v="584"/>
    </i>
    <i>
      <x v="280"/>
    </i>
    <i>
      <x v="132"/>
    </i>
    <i>
      <x v="331"/>
    </i>
    <i>
      <x v="740"/>
    </i>
    <i>
      <x v="300"/>
    </i>
    <i>
      <x v="364"/>
    </i>
    <i>
      <x v="800"/>
    </i>
    <i>
      <x v="528"/>
    </i>
    <i>
      <x v="65"/>
    </i>
    <i>
      <x v="64"/>
    </i>
    <i>
      <x v="195"/>
    </i>
    <i>
      <x v="37"/>
    </i>
    <i>
      <x v="21"/>
    </i>
    <i>
      <x v="1078"/>
    </i>
    <i>
      <x v="994"/>
    </i>
    <i>
      <x v="658"/>
    </i>
    <i>
      <x v="234"/>
    </i>
    <i>
      <x v="905"/>
    </i>
    <i>
      <x v="177"/>
    </i>
    <i>
      <x v="498"/>
    </i>
    <i>
      <x v="224"/>
    </i>
    <i>
      <x v="457"/>
    </i>
    <i>
      <x v="107"/>
    </i>
    <i>
      <x v="60"/>
    </i>
    <i>
      <x v="1131"/>
    </i>
    <i>
      <x v="294"/>
    </i>
    <i>
      <x v="616"/>
    </i>
    <i>
      <x v="984"/>
    </i>
    <i>
      <x v="958"/>
    </i>
    <i>
      <x v="239"/>
    </i>
    <i>
      <x v="775"/>
    </i>
    <i>
      <x v="570"/>
    </i>
    <i>
      <x v="662"/>
    </i>
    <i>
      <x v="888"/>
    </i>
    <i>
      <x v="759"/>
    </i>
    <i>
      <x v="434"/>
    </i>
    <i>
      <x v="383"/>
    </i>
    <i>
      <x v="1009"/>
    </i>
    <i>
      <x v="901"/>
    </i>
    <i>
      <x v="696"/>
    </i>
    <i>
      <x v="428"/>
    </i>
    <i>
      <x v="722"/>
    </i>
    <i>
      <x v="126"/>
    </i>
    <i>
      <x v="1129"/>
    </i>
    <i>
      <x v="475"/>
    </i>
    <i>
      <x v="112"/>
    </i>
    <i>
      <x v="990"/>
    </i>
    <i>
      <x v="743"/>
    </i>
    <i>
      <x v="368"/>
    </i>
    <i>
      <x v="128"/>
    </i>
    <i>
      <x v="310"/>
    </i>
    <i>
      <x v="421"/>
    </i>
    <i>
      <x v="196"/>
    </i>
    <i>
      <x v="58"/>
    </i>
    <i>
      <x v="680"/>
    </i>
    <i>
      <x v="115"/>
    </i>
    <i>
      <x v="951"/>
    </i>
    <i>
      <x v="256"/>
    </i>
    <i>
      <x v="778"/>
    </i>
    <i>
      <x v="44"/>
    </i>
    <i>
      <x v="16"/>
    </i>
    <i>
      <x v="335"/>
    </i>
    <i>
      <x v="960"/>
    </i>
    <i>
      <x v="486"/>
    </i>
    <i>
      <x v="1128"/>
    </i>
    <i>
      <x v="174"/>
    </i>
    <i>
      <x v="805"/>
    </i>
    <i>
      <x v="693"/>
    </i>
    <i>
      <x v="92"/>
    </i>
    <i>
      <x v="534"/>
    </i>
    <i>
      <x v="334"/>
    </i>
    <i>
      <x v="834"/>
    </i>
    <i>
      <x v="997"/>
    </i>
    <i>
      <x v="582"/>
    </i>
    <i>
      <x v="233"/>
    </i>
    <i>
      <x v="676"/>
    </i>
    <i>
      <x v="104"/>
    </i>
    <i>
      <x v="134"/>
    </i>
    <i>
      <x v="821"/>
    </i>
    <i>
      <x v="762"/>
    </i>
    <i>
      <x v="63"/>
    </i>
    <i>
      <x v="927"/>
    </i>
    <i>
      <x v="768"/>
    </i>
    <i>
      <x v="654"/>
    </i>
    <i>
      <x v="618"/>
    </i>
    <i>
      <x v="483"/>
    </i>
    <i>
      <x v="682"/>
    </i>
    <i>
      <x v="1015"/>
    </i>
    <i>
      <x v="655"/>
    </i>
    <i>
      <x v="472"/>
    </i>
    <i>
      <x v="114"/>
    </i>
    <i>
      <x v="208"/>
    </i>
    <i>
      <x v="441"/>
    </i>
    <i>
      <x v="4"/>
    </i>
    <i>
      <x v="29"/>
    </i>
    <i>
      <x v="170"/>
    </i>
    <i>
      <x v="247"/>
    </i>
    <i>
      <x v="31"/>
    </i>
    <i>
      <x v="458"/>
    </i>
    <i>
      <x v="532"/>
    </i>
    <i>
      <x v="367"/>
    </i>
    <i>
      <x v="787"/>
    </i>
    <i>
      <x v="900"/>
    </i>
    <i>
      <x v="766"/>
    </i>
    <i>
      <x v="933"/>
    </i>
    <i>
      <x v="691"/>
    </i>
    <i>
      <x v="5"/>
    </i>
    <i>
      <x v="917"/>
    </i>
    <i>
      <x v="466"/>
    </i>
    <i>
      <x v="738"/>
    </i>
    <i>
      <x v="246"/>
    </i>
    <i>
      <x v="20"/>
    </i>
    <i>
      <x v="166"/>
    </i>
    <i>
      <x v="321"/>
    </i>
    <i>
      <x v="178"/>
    </i>
    <i>
      <x v="15"/>
    </i>
    <i>
      <x v="51"/>
    </i>
    <i>
      <x v="727"/>
    </i>
    <i>
      <x v="116"/>
    </i>
    <i>
      <x v="320"/>
    </i>
    <i>
      <x v="1012"/>
    </i>
    <i>
      <x v="678"/>
    </i>
    <i>
      <x v="124"/>
    </i>
    <i>
      <x v="214"/>
    </i>
    <i>
      <x v="604"/>
    </i>
    <i>
      <x v="358"/>
    </i>
    <i>
      <x v="1089"/>
    </i>
    <i>
      <x v="666"/>
    </i>
    <i>
      <x v="761"/>
    </i>
    <i>
      <x v="631"/>
    </i>
    <i>
      <x v="220"/>
    </i>
    <i>
      <x v="507"/>
    </i>
    <i>
      <x v="920"/>
    </i>
    <i>
      <x v="772"/>
    </i>
    <i>
      <x v="609"/>
    </i>
    <i>
      <x v="877"/>
    </i>
    <i>
      <x v="889"/>
    </i>
    <i>
      <x v="1003"/>
    </i>
    <i>
      <x v="210"/>
    </i>
    <i>
      <x v="59"/>
    </i>
    <i>
      <x v="548"/>
    </i>
    <i>
      <x v="55"/>
    </i>
    <i>
      <x v="669"/>
    </i>
    <i>
      <x v="591"/>
    </i>
    <i>
      <x v="357"/>
    </i>
    <i>
      <x v="886"/>
    </i>
    <i>
      <x v="343"/>
    </i>
    <i>
      <x v="57"/>
    </i>
    <i>
      <x v="148"/>
    </i>
    <i>
      <x v="72"/>
    </i>
    <i>
      <x v="87"/>
    </i>
    <i>
      <x v="636"/>
    </i>
    <i>
      <x v="24"/>
    </i>
    <i>
      <x v="403"/>
    </i>
    <i>
      <x v="203"/>
    </i>
    <i>
      <x v="478"/>
    </i>
    <i>
      <x v="770"/>
    </i>
    <i>
      <x v="407"/>
    </i>
    <i>
      <x v="379"/>
    </i>
    <i>
      <x v="161"/>
    </i>
    <i>
      <x v="152"/>
    </i>
    <i>
      <x v="339"/>
    </i>
    <i>
      <x v="626"/>
    </i>
    <i>
      <x v="567"/>
    </i>
    <i>
      <x v="276"/>
    </i>
    <i>
      <x v="976"/>
    </i>
    <i>
      <x v="845"/>
    </i>
    <i>
      <x v="267"/>
    </i>
    <i>
      <x v="143"/>
    </i>
    <i>
      <x v="923"/>
    </i>
    <i>
      <x v="915"/>
    </i>
    <i>
      <x v="748"/>
    </i>
    <i>
      <x v="746"/>
    </i>
    <i>
      <x v="255"/>
    </i>
    <i>
      <x v="235"/>
    </i>
    <i>
      <x v="543"/>
    </i>
    <i>
      <x v="301"/>
    </i>
    <i>
      <x v="408"/>
    </i>
    <i>
      <x v="597"/>
    </i>
    <i>
      <x v="559"/>
    </i>
    <i>
      <x v="495"/>
    </i>
    <i>
      <x v="123"/>
    </i>
    <i>
      <x v="156"/>
    </i>
    <i>
      <x v="864"/>
    </i>
    <i>
      <x v="420"/>
    </i>
    <i>
      <x v="241"/>
    </i>
    <i>
      <x v="896"/>
    </i>
    <i>
      <x v="516"/>
    </i>
    <i>
      <x v="96"/>
    </i>
    <i>
      <x v="304"/>
    </i>
    <i>
      <x v="352"/>
    </i>
    <i>
      <x v="665"/>
    </i>
    <i>
      <x v="216"/>
    </i>
    <i>
      <x v="244"/>
    </i>
    <i>
      <x v="380"/>
    </i>
    <i>
      <x v="763"/>
    </i>
    <i>
      <x v="499"/>
    </i>
    <i>
      <x v="414"/>
    </i>
    <i>
      <x v="957"/>
    </i>
    <i>
      <x v="970"/>
    </i>
    <i>
      <x v="709"/>
    </i>
    <i>
      <x v="563"/>
    </i>
    <i>
      <x v="506"/>
    </i>
    <i>
      <x v="703"/>
    </i>
    <i>
      <x v="453"/>
    </i>
    <i>
      <x v="812"/>
    </i>
    <i>
      <x v="397"/>
    </i>
    <i>
      <x v="82"/>
    </i>
    <i>
      <x v="527"/>
    </i>
    <i>
      <x v="153"/>
    </i>
    <i>
      <x v="464"/>
    </i>
    <i>
      <x v="544"/>
    </i>
    <i>
      <x v="360"/>
    </i>
    <i>
      <x v="724"/>
    </i>
    <i>
      <x v="656"/>
    </i>
    <i>
      <x v="496"/>
    </i>
    <i>
      <x v="776"/>
    </i>
    <i>
      <x v="299"/>
    </i>
    <i>
      <x v="942"/>
    </i>
    <i>
      <x v="390"/>
    </i>
    <i>
      <x v="939"/>
    </i>
    <i>
      <x v="303"/>
    </i>
    <i>
      <x v="417"/>
    </i>
    <i>
      <x v="94"/>
    </i>
    <i>
      <x v="110"/>
    </i>
    <i>
      <x v="773"/>
    </i>
    <i>
      <x v="447"/>
    </i>
    <i>
      <x v="101"/>
    </i>
    <i>
      <x v="35"/>
    </i>
    <i>
      <x v="535"/>
    </i>
    <i>
      <x v="663"/>
    </i>
    <i>
      <x v="835"/>
    </i>
    <i>
      <x v="581"/>
    </i>
    <i>
      <x v="629"/>
    </i>
    <i>
      <x v="81"/>
    </i>
    <i>
      <x v="556"/>
    </i>
    <i>
      <x v="448"/>
    </i>
    <i>
      <x v="284"/>
    </i>
    <i>
      <x v="295"/>
    </i>
    <i>
      <x v="473"/>
    </i>
    <i>
      <x v="85"/>
    </i>
    <i>
      <x v="801"/>
    </i>
    <i>
      <x v="955"/>
    </i>
    <i>
      <x v="429"/>
    </i>
    <i>
      <x v="463"/>
    </i>
    <i>
      <x v="573"/>
    </i>
    <i>
      <x v="30"/>
    </i>
    <i>
      <x v="784"/>
    </i>
    <i>
      <x v="433"/>
    </i>
    <i>
      <x v="612"/>
    </i>
    <i>
      <x v="199"/>
    </i>
    <i>
      <x v="599"/>
    </i>
    <i>
      <x v="526"/>
    </i>
    <i>
      <x v="684"/>
    </i>
    <i>
      <x v="172"/>
    </i>
    <i>
      <x v="289"/>
    </i>
    <i>
      <x v="411"/>
    </i>
    <i>
      <x v="211"/>
    </i>
    <i>
      <x v="427"/>
    </i>
    <i>
      <x v="13"/>
    </i>
    <i>
      <x v="595"/>
    </i>
    <i>
      <x v="460"/>
    </i>
    <i>
      <x v="372"/>
    </i>
    <i>
      <x v="251"/>
    </i>
    <i>
      <x v="880"/>
    </i>
    <i>
      <x v="562"/>
    </i>
    <i>
      <x v="273"/>
    </i>
    <i>
      <x v="226"/>
    </i>
    <i>
      <x v="381"/>
    </i>
    <i>
      <x v="456"/>
    </i>
    <i>
      <x v="471"/>
    </i>
    <i>
      <x v="230"/>
    </i>
    <i>
      <x v="661"/>
    </i>
    <i>
      <x v="306"/>
    </i>
    <i>
      <x v="692"/>
    </i>
    <i>
      <x v="249"/>
    </i>
    <i>
      <x v="965"/>
    </i>
    <i>
      <x v="707"/>
    </i>
    <i>
      <x v="204"/>
    </i>
    <i>
      <x v="336"/>
    </i>
    <i>
      <x v="302"/>
    </i>
    <i>
      <x v="729"/>
    </i>
    <i>
      <x v="511"/>
    </i>
    <i>
      <x v="11"/>
    </i>
    <i>
      <x v="45"/>
    </i>
    <i>
      <x v="191"/>
    </i>
    <i>
      <x v="574"/>
    </i>
    <i>
      <x v="355"/>
    </i>
    <i>
      <x v="553"/>
    </i>
    <i>
      <x v="67"/>
    </i>
    <i>
      <x v="623"/>
    </i>
    <i>
      <x v="630"/>
    </i>
    <i>
      <x v="347"/>
    </i>
    <i>
      <x v="217"/>
    </i>
    <i>
      <x v="489"/>
    </i>
    <i>
      <x v="53"/>
    </i>
    <i>
      <x v="282"/>
    </i>
    <i>
      <x v="1010"/>
    </i>
    <i>
      <x v="690"/>
    </i>
    <i>
      <x v="328"/>
    </i>
    <i>
      <x v="449"/>
    </i>
    <i>
      <x v="971"/>
    </i>
    <i>
      <x v="529"/>
    </i>
    <i>
      <x v="192"/>
    </i>
    <i>
      <x v="932"/>
    </i>
    <i>
      <x v="605"/>
    </i>
    <i>
      <x v="26"/>
    </i>
    <i>
      <x v="572"/>
    </i>
    <i>
      <x v="275"/>
    </i>
    <i>
      <x v="394"/>
    </i>
    <i>
      <x v="136"/>
    </i>
    <i>
      <x v="484"/>
    </i>
    <i>
      <x v="615"/>
    </i>
    <i>
      <x v="541"/>
    </i>
    <i>
      <x v="530"/>
    </i>
    <i>
      <x v="122"/>
    </i>
    <i>
      <x v="330"/>
    </i>
    <i>
      <x v="345"/>
    </i>
    <i>
      <x v="121"/>
    </i>
    <i>
      <x v="413"/>
    </i>
    <i>
      <x v="485"/>
    </i>
    <i>
      <x v="77"/>
    </i>
    <i>
      <x v="859"/>
    </i>
    <i>
      <x v="164"/>
    </i>
    <i>
      <x v="318"/>
    </i>
    <i>
      <x v="222"/>
    </i>
    <i>
      <x v="716"/>
    </i>
    <i>
      <x v="967"/>
    </i>
    <i>
      <x v="298"/>
    </i>
    <i>
      <x v="649"/>
    </i>
    <i>
      <x v="422"/>
    </i>
    <i>
      <x v="578"/>
    </i>
    <i>
      <x v="668"/>
    </i>
    <i>
      <x v="719"/>
    </i>
    <i>
      <x v="378"/>
    </i>
    <i>
      <x v="400"/>
    </i>
    <i>
      <x v="425"/>
    </i>
    <i>
      <x v="147"/>
    </i>
    <i>
      <x v="431"/>
    </i>
    <i>
      <x v="309"/>
    </i>
    <i>
      <x v="41"/>
    </i>
    <i>
      <x v="412"/>
    </i>
    <i>
      <x v="750"/>
    </i>
    <i>
      <x v="685"/>
    </i>
    <i>
      <x v="52"/>
    </i>
    <i>
      <x v="119"/>
    </i>
    <i>
      <x v="337"/>
    </i>
    <i>
      <x v="99"/>
    </i>
    <i>
      <x v="261"/>
    </i>
    <i>
      <x v="351"/>
    </i>
    <i>
      <x v="438"/>
    </i>
    <i>
      <x v="753"/>
    </i>
    <i>
      <x v="621"/>
    </i>
    <i>
      <x v="137"/>
    </i>
    <i>
      <x v="160"/>
    </i>
    <i>
      <x v="130"/>
    </i>
    <i>
      <x v="83"/>
    </i>
    <i>
      <x v="557"/>
    </i>
    <i>
      <x v="323"/>
    </i>
    <i>
      <x v="514"/>
    </i>
    <i>
      <x v="415"/>
    </i>
    <i>
      <x v="706"/>
    </i>
    <i>
      <x v="600"/>
    </i>
    <i>
      <x v="520"/>
    </i>
    <i>
      <x v="525"/>
    </i>
    <i>
      <x v="702"/>
    </i>
    <i>
      <x v="861"/>
    </i>
    <i>
      <x v="14"/>
    </i>
    <i>
      <x v="423"/>
    </i>
    <i>
      <x v="614"/>
    </i>
    <i>
      <x v="741"/>
    </i>
    <i>
      <x v="679"/>
    </i>
    <i>
      <x v="509"/>
    </i>
    <i>
      <x v="78"/>
    </i>
    <i>
      <x v="608"/>
    </i>
    <i>
      <x v="159"/>
    </i>
    <i>
      <x v="767"/>
    </i>
    <i>
      <x v="607"/>
    </i>
    <i>
      <x v="362"/>
    </i>
    <i>
      <x v="27"/>
    </i>
    <i>
      <x v="252"/>
    </i>
    <i>
      <x v="179"/>
    </i>
    <i>
      <x v="135"/>
    </i>
    <i>
      <x v="18"/>
    </i>
    <i>
      <x v="968"/>
    </i>
    <i>
      <x v="270"/>
    </i>
    <i>
      <x v="341"/>
    </i>
    <i>
      <x v="742"/>
    </i>
    <i>
      <x v="739"/>
    </i>
    <i>
      <x v="638"/>
    </i>
    <i>
      <x v="450"/>
    </i>
    <i>
      <x v="151"/>
    </i>
    <i>
      <x v="48"/>
    </i>
    <i>
      <x v="987"/>
    </i>
    <i>
      <x v="713"/>
    </i>
    <i>
      <x v="803"/>
    </i>
    <i>
      <x v="7"/>
    </i>
    <i>
      <x v="201"/>
    </i>
    <i>
      <x v="550"/>
    </i>
    <i>
      <x v="717"/>
    </i>
    <i>
      <x v="564"/>
    </i>
    <i>
      <x v="242"/>
    </i>
    <i>
      <x v="86"/>
    </i>
    <i>
      <x v="523"/>
    </i>
    <i>
      <x v="611"/>
    </i>
    <i>
      <x v="163"/>
    </i>
    <i>
      <x v="625"/>
    </i>
    <i>
      <x v="410"/>
    </i>
    <i>
      <x v="365"/>
    </i>
    <i>
      <x v="205"/>
    </i>
    <i>
      <x v="32"/>
    </i>
    <i>
      <x v="633"/>
    </i>
    <i>
      <x v="533"/>
    </i>
    <i>
      <x v="715"/>
    </i>
    <i>
      <x v="185"/>
    </i>
    <i>
      <x v="243"/>
    </i>
    <i>
      <x v="672"/>
    </i>
    <i>
      <x v="711"/>
    </i>
    <i>
      <x v="426"/>
    </i>
    <i>
      <x v="445"/>
    </i>
    <i>
      <x v="359"/>
    </i>
    <i>
      <x v="382"/>
    </i>
    <i>
      <x v="387"/>
    </i>
    <i>
      <x v="125"/>
    </i>
    <i>
      <x v="728"/>
    </i>
    <i>
      <x v="435"/>
    </i>
    <i>
      <x v="622"/>
    </i>
    <i>
      <x v="522"/>
    </i>
    <i>
      <x v="317"/>
    </i>
    <i>
      <x v="253"/>
    </i>
    <i>
      <x v="491"/>
    </i>
    <i>
      <x v="40"/>
    </i>
    <i>
      <x v="860"/>
    </i>
    <i>
      <x v="755"/>
    </i>
    <i>
      <x v="285"/>
    </i>
    <i>
      <x v="659"/>
    </i>
    <i>
      <x v="657"/>
    </i>
    <i>
      <x v="540"/>
    </i>
    <i>
      <x v="50"/>
    </i>
    <i>
      <x v="494"/>
    </i>
    <i>
      <x v="79"/>
    </i>
    <i>
      <x v="641"/>
    </i>
    <i>
      <x v="561"/>
    </i>
    <i>
      <x v="260"/>
    </i>
    <i>
      <x v="765"/>
    </i>
    <i>
      <x v="577"/>
    </i>
    <i>
      <x v="504"/>
    </i>
    <i>
      <x v="786"/>
    </i>
    <i>
      <x v="501"/>
    </i>
    <i>
      <x v="756"/>
    </i>
    <i>
      <x v="384"/>
    </i>
    <i>
      <x v="168"/>
    </i>
    <i>
      <x v="552"/>
    </i>
    <i>
      <x v="266"/>
    </i>
    <i>
      <x v="601"/>
    </i>
    <i>
      <x v="268"/>
    </i>
    <i>
      <x v="565"/>
    </i>
    <i>
      <x v="396"/>
    </i>
    <i>
      <x v="349"/>
    </i>
    <i>
      <x v="873"/>
    </i>
    <i>
      <x v="462"/>
    </i>
    <i>
      <x v="71"/>
    </i>
    <i>
      <x v="374"/>
    </i>
    <i>
      <x v="620"/>
    </i>
    <i>
      <x v="546"/>
    </i>
    <i>
      <x v="329"/>
    </i>
    <i>
      <x v="142"/>
    </i>
    <i>
      <x v="723"/>
    </i>
    <i>
      <x v="461"/>
    </i>
    <i>
      <x v="733"/>
    </i>
    <i>
      <x v="650"/>
    </i>
    <i>
      <x v="469"/>
    </i>
    <i>
      <x v="307"/>
    </i>
    <i>
      <x v="377"/>
    </i>
    <i>
      <x v="459"/>
    </i>
    <i>
      <x v="157"/>
    </i>
    <i>
      <x v="569"/>
    </i>
    <i>
      <x v="340"/>
    </i>
    <i>
      <x v="61"/>
    </i>
    <i>
      <x v="175"/>
    </i>
    <i>
      <x v="688"/>
    </i>
    <i>
      <x v="363"/>
    </i>
    <i>
      <x v="640"/>
    </i>
    <i>
      <x v="219"/>
    </i>
    <i>
      <x v="162"/>
    </i>
    <i>
      <x v="370"/>
    </i>
    <i>
      <x v="617"/>
    </i>
    <i>
      <x v="393"/>
    </i>
    <i>
      <x v="686"/>
    </i>
    <i>
      <x v="182"/>
    </i>
    <i>
      <x v="332"/>
    </i>
    <i>
      <x v="353"/>
    </i>
    <i>
      <x v="628"/>
    </i>
    <i>
      <x v="508"/>
    </i>
    <i>
      <x v="519"/>
    </i>
    <i>
      <x v="769"/>
    </i>
    <i>
      <x v="749"/>
    </i>
    <i>
      <x v="296"/>
    </i>
    <i>
      <x v="648"/>
    </i>
    <i>
      <x v="542"/>
    </i>
    <i>
      <x v="598"/>
    </i>
    <i>
      <x v="385"/>
    </i>
    <i>
      <x v="732"/>
    </i>
    <i>
      <x v="712"/>
    </i>
    <i>
      <x v="392"/>
    </i>
    <i>
      <x v="361"/>
    </i>
    <i>
      <x v="215"/>
    </i>
    <i>
      <x v="538"/>
    </i>
    <i>
      <x v="470"/>
    </i>
    <i>
      <x v="257"/>
    </i>
    <i>
      <x v="231"/>
    </i>
    <i>
      <x v="8"/>
    </i>
    <i>
      <x v="138"/>
    </i>
    <i>
      <x v="777"/>
    </i>
    <i>
      <x v="664"/>
    </i>
    <i>
      <x v="281"/>
    </i>
    <i>
      <x v="238"/>
    </i>
    <i>
      <x v="406"/>
    </i>
    <i>
      <x v="54"/>
    </i>
    <i>
      <x v="660"/>
    </i>
    <i>
      <x v="131"/>
    </i>
    <i>
      <x v="97"/>
    </i>
    <i>
      <x v="150"/>
    </i>
    <i>
      <x v="25"/>
    </i>
    <i>
      <x v="375"/>
    </i>
    <i>
      <x v="312"/>
    </i>
    <i>
      <x v="269"/>
    </i>
    <i>
      <x v="594"/>
    </i>
    <i>
      <x v="39"/>
    </i>
    <i>
      <x v="482"/>
    </i>
    <i>
      <x v="76"/>
    </i>
    <i>
      <x v="419"/>
    </i>
    <i>
      <x v="113"/>
    </i>
    <i>
      <x v="524"/>
    </i>
    <i>
      <x v="726"/>
    </i>
    <i>
      <x v="155"/>
    </i>
    <i>
      <x v="56"/>
    </i>
    <i>
      <x v="236"/>
    </i>
    <i>
      <x v="333"/>
    </i>
    <i>
      <x v="1"/>
    </i>
    <i>
      <x v="183"/>
    </i>
    <i>
      <x v="313"/>
    </i>
    <i>
      <x v="108"/>
    </i>
    <i>
      <x v="348"/>
    </i>
    <i>
      <x v="389"/>
    </i>
    <i>
      <x v="346"/>
    </i>
    <i>
      <x v="402"/>
    </i>
    <i>
      <x v="606"/>
    </i>
    <i>
      <x v="237"/>
    </i>
    <i>
      <x v="106"/>
    </i>
    <i>
      <x v="718"/>
    </i>
    <i>
      <x v="325"/>
    </i>
    <i>
      <x v="308"/>
    </i>
    <i>
      <x v="555"/>
    </i>
    <i>
      <x v="171"/>
    </i>
    <i>
      <x v="105"/>
    </i>
    <i>
      <x v="409"/>
    </i>
    <i>
      <x v="254"/>
    </i>
    <i>
      <x v="602"/>
    </i>
    <i>
      <x v="221"/>
    </i>
    <i>
      <x v="779"/>
    </i>
    <i>
      <x v="28"/>
    </i>
    <i>
      <x v="646"/>
    </i>
    <i>
      <x v="493"/>
    </i>
    <i>
      <x v="521"/>
    </i>
    <i>
      <x v="292"/>
    </i>
    <i>
      <x v="701"/>
    </i>
    <i>
      <x v="322"/>
    </i>
    <i>
      <x v="695"/>
    </i>
    <i>
      <x v="184"/>
    </i>
    <i>
      <x v="637"/>
    </i>
    <i>
      <x v="404"/>
    </i>
    <i>
      <x v="264"/>
    </i>
    <i>
      <x v="481"/>
    </i>
    <i>
      <x v="589"/>
    </i>
    <i>
      <x v="9"/>
    </i>
    <i>
      <x v="764"/>
    </i>
    <i>
      <x v="455"/>
    </i>
    <i>
      <x v="439"/>
    </i>
    <i>
      <x v="371"/>
    </i>
    <i>
      <x v="350"/>
    </i>
    <i>
      <x v="200"/>
    </i>
    <i>
      <x v="263"/>
    </i>
    <i>
      <x v="635"/>
    </i>
    <i>
      <x v="730"/>
    </i>
    <i>
      <x v="324"/>
    </i>
    <i>
      <x v="305"/>
    </i>
    <i>
      <x v="139"/>
    </i>
    <i>
      <x v="356"/>
    </i>
    <i t="grand">
      <x/>
    </i>
  </rowItems>
  <colItems count="1">
    <i/>
  </colItems>
  <dataFields count="1">
    <dataField name="Sum of Reven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B0AD3-36FE-44B4-9695-FFC46C1095C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showAll="0"/>
    <pivotField axis="axisRow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4"/>
    </i>
    <i>
      <x v="3"/>
    </i>
    <i t="grand">
      <x/>
    </i>
  </rowItems>
  <colItems count="1">
    <i/>
  </colItems>
  <dataFields count="1">
    <dataField name="Sum of Spen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072FF-F02A-46D3-9F90-4E7A2A9D5333}" name="Orders" displayName="Orders" ref="A1:L2080" totalsRowShown="0">
  <autoFilter ref="A1:L2080" xr:uid="{00000000-0001-0000-0200-000000000000}"/>
  <tableColumns count="12">
    <tableColumn id="1" xr3:uid="{E1FA7ACF-F01D-435B-906D-30C27C462A61}" name="OrderID"/>
    <tableColumn id="2" xr3:uid="{3376277F-1237-41B3-A8E1-46103310B7AF}" name="CustomerID"/>
    <tableColumn id="3" xr3:uid="{9C5AA5C2-D32E-4A59-AAB8-EC737B38D413}" name="ProductID"/>
    <tableColumn id="4" xr3:uid="{53ED1D02-171F-487F-BAC9-73A077C38AA8}" name="OrderDate"/>
    <tableColumn id="5" xr3:uid="{4E6971EE-0E67-4219-B0F4-BEFD59F4DEE4}" name="OrderYear">
      <calculatedColumnFormula>YEAR(D2)</calculatedColumnFormula>
    </tableColumn>
    <tableColumn id="6" xr3:uid="{CD0B2F8E-4E62-4B34-A250-2374C626DD00}" name="OrderMonth">
      <calculatedColumnFormula>TEXT(D2,"mmm")</calculatedColumnFormula>
    </tableColumn>
    <tableColumn id="7" xr3:uid="{44CB9569-B3A5-4AE5-864F-C76D366D26A3}" name="Quantity"/>
    <tableColumn id="8" xr3:uid="{65563CC8-B31E-46C2-BF7F-3E66C5BB639F}" name="ProductPrice">
      <calculatedColumnFormula>_xlfn.XLOOKUP(C2,Products!A:A,Products!D:D)</calculatedColumnFormula>
    </tableColumn>
    <tableColumn id="9" xr3:uid="{FD751F5E-A8AE-4ED0-9EF7-9BC7DB3D4FF4}" name="Discount"/>
    <tableColumn id="10" xr3:uid="{17EF1FD5-6676-44D4-A938-F67A2CBD800C}" name="Revenue">
      <calculatedColumnFormula>G2*H2*(1-I2/100)</calculatedColumnFormula>
    </tableColumn>
    <tableColumn id="11" xr3:uid="{58AE33F0-D031-4D43-B596-0967CBE6991D}" name="PaymentMethod"/>
    <tableColumn id="12" xr3:uid="{D31A6402-216D-44BB-B964-3610D64C7E38}" name="Category" dataDxfId="2">
      <calculatedColumnFormula>_xlfn.XLOOKUP(Orders[[#This Row],[ProductID]],Products!A:A,Products!C:C)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C136B7-A954-4369-A426-58642B956ADA}" name="Marketing" displayName="Marketing" ref="A1:D101" totalsRowShown="0">
  <autoFilter ref="A1:D101" xr:uid="{00000000-0001-0000-0300-000000000000}"/>
  <tableColumns count="4">
    <tableColumn id="1" xr3:uid="{931ABB88-0B19-4B28-B411-AF260CB3EE91}" name="CampaignID"/>
    <tableColumn id="2" xr3:uid="{6BE1B871-A09C-4560-822B-22F5BECF1FE8}" name="Channel"/>
    <tableColumn id="3" xr3:uid="{60C6E754-B1CA-4443-8E83-21C2B929B5E7}" name="Spend"/>
    <tableColumn id="4" xr3:uid="{741DF850-30F7-43B4-8885-3D8BCAD5FE4E}" name="Campaign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1"/>
  <sheetViews>
    <sheetView zoomScale="124" workbookViewId="0"/>
  </sheetViews>
  <sheetFormatPr defaultRowHeight="14.4" x14ac:dyDescent="0.3"/>
  <cols>
    <col min="1" max="1" width="10.6640625" bestFit="1" customWidth="1"/>
    <col min="2" max="2" width="13.88671875" bestFit="1" customWidth="1"/>
    <col min="3" max="3" width="6.88671875" bestFit="1" customWidth="1"/>
    <col min="4" max="4" width="9.77734375" bestFit="1" customWidth="1"/>
    <col min="5" max="5" width="10.33203125" bestFit="1" customWidth="1"/>
    <col min="6" max="6" width="28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3">
      <c r="A4">
        <v>3</v>
      </c>
      <c r="B4" t="s">
        <v>15</v>
      </c>
      <c r="C4" t="s">
        <v>7</v>
      </c>
      <c r="D4" t="s">
        <v>12</v>
      </c>
      <c r="E4" t="s">
        <v>16</v>
      </c>
      <c r="F4" t="s">
        <v>17</v>
      </c>
    </row>
    <row r="5" spans="1:6" x14ac:dyDescent="0.3">
      <c r="A5">
        <v>4</v>
      </c>
      <c r="B5" t="s">
        <v>18</v>
      </c>
      <c r="C5" t="s">
        <v>7</v>
      </c>
      <c r="D5" t="s">
        <v>8</v>
      </c>
      <c r="E5" t="s">
        <v>19</v>
      </c>
      <c r="F5" t="s">
        <v>20</v>
      </c>
    </row>
    <row r="6" spans="1:6" x14ac:dyDescent="0.3">
      <c r="A6">
        <v>5</v>
      </c>
      <c r="B6" t="s">
        <v>21</v>
      </c>
      <c r="C6" t="s">
        <v>7</v>
      </c>
      <c r="D6" t="s">
        <v>22</v>
      </c>
      <c r="E6" t="s">
        <v>23</v>
      </c>
      <c r="F6" t="s">
        <v>24</v>
      </c>
    </row>
    <row r="7" spans="1:6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3">
      <c r="A8">
        <v>7</v>
      </c>
      <c r="B8" t="s">
        <v>30</v>
      </c>
      <c r="C8" t="s">
        <v>26</v>
      </c>
      <c r="D8" t="s">
        <v>12</v>
      </c>
      <c r="E8" t="s">
        <v>31</v>
      </c>
      <c r="F8" t="s">
        <v>32</v>
      </c>
    </row>
    <row r="9" spans="1:6" x14ac:dyDescent="0.3">
      <c r="A9">
        <v>8</v>
      </c>
      <c r="B9" t="s">
        <v>33</v>
      </c>
      <c r="C9" t="s">
        <v>26</v>
      </c>
      <c r="D9" t="s">
        <v>12</v>
      </c>
      <c r="E9" t="s">
        <v>34</v>
      </c>
      <c r="F9" t="s">
        <v>35</v>
      </c>
    </row>
    <row r="10" spans="1:6" x14ac:dyDescent="0.3">
      <c r="A10">
        <v>9</v>
      </c>
      <c r="B10" t="s">
        <v>36</v>
      </c>
      <c r="C10" t="s">
        <v>7</v>
      </c>
      <c r="D10" t="s">
        <v>37</v>
      </c>
      <c r="E10" t="s">
        <v>38</v>
      </c>
      <c r="F10" t="s">
        <v>39</v>
      </c>
    </row>
    <row r="11" spans="1:6" x14ac:dyDescent="0.3">
      <c r="A11">
        <v>10</v>
      </c>
      <c r="B11" t="s">
        <v>40</v>
      </c>
      <c r="C11" t="s">
        <v>26</v>
      </c>
      <c r="D11" t="s">
        <v>8</v>
      </c>
      <c r="E11" t="s">
        <v>41</v>
      </c>
      <c r="F11" t="s">
        <v>42</v>
      </c>
    </row>
    <row r="12" spans="1:6" x14ac:dyDescent="0.3">
      <c r="A12">
        <v>11</v>
      </c>
      <c r="B12" t="s">
        <v>43</v>
      </c>
      <c r="C12" t="s">
        <v>26</v>
      </c>
      <c r="D12" t="s">
        <v>44</v>
      </c>
      <c r="E12" t="s">
        <v>45</v>
      </c>
      <c r="F12" t="s">
        <v>46</v>
      </c>
    </row>
    <row r="13" spans="1:6" x14ac:dyDescent="0.3">
      <c r="A13">
        <v>12</v>
      </c>
      <c r="B13" t="s">
        <v>47</v>
      </c>
      <c r="C13" t="s">
        <v>7</v>
      </c>
      <c r="D13" t="s">
        <v>27</v>
      </c>
      <c r="E13" t="s">
        <v>48</v>
      </c>
      <c r="F13" t="s">
        <v>49</v>
      </c>
    </row>
    <row r="14" spans="1:6" x14ac:dyDescent="0.3">
      <c r="A14">
        <v>13</v>
      </c>
      <c r="B14" t="s">
        <v>50</v>
      </c>
      <c r="C14" t="s">
        <v>7</v>
      </c>
      <c r="D14" t="s">
        <v>8</v>
      </c>
      <c r="E14" t="s">
        <v>51</v>
      </c>
      <c r="F14" t="s">
        <v>52</v>
      </c>
    </row>
    <row r="15" spans="1:6" x14ac:dyDescent="0.3">
      <c r="A15">
        <v>14</v>
      </c>
      <c r="B15" t="s">
        <v>53</v>
      </c>
      <c r="C15" t="s">
        <v>26</v>
      </c>
      <c r="D15" t="s">
        <v>12</v>
      </c>
      <c r="E15" t="s">
        <v>54</v>
      </c>
      <c r="F15" t="s">
        <v>55</v>
      </c>
    </row>
    <row r="16" spans="1:6" x14ac:dyDescent="0.3">
      <c r="A16">
        <v>15</v>
      </c>
      <c r="B16" t="s">
        <v>56</v>
      </c>
      <c r="C16" t="s">
        <v>26</v>
      </c>
      <c r="D16" t="s">
        <v>8</v>
      </c>
      <c r="E16" t="s">
        <v>57</v>
      </c>
      <c r="F16" t="s">
        <v>58</v>
      </c>
    </row>
    <row r="17" spans="1:6" x14ac:dyDescent="0.3">
      <c r="A17">
        <v>16</v>
      </c>
      <c r="B17" t="s">
        <v>59</v>
      </c>
      <c r="C17" t="s">
        <v>26</v>
      </c>
      <c r="D17" t="s">
        <v>12</v>
      </c>
      <c r="E17" t="s">
        <v>60</v>
      </c>
      <c r="F17" t="s">
        <v>61</v>
      </c>
    </row>
    <row r="18" spans="1:6" x14ac:dyDescent="0.3">
      <c r="A18">
        <v>17</v>
      </c>
      <c r="B18" t="s">
        <v>62</v>
      </c>
      <c r="C18" t="s">
        <v>7</v>
      </c>
      <c r="D18" t="s">
        <v>37</v>
      </c>
      <c r="E18" t="s">
        <v>63</v>
      </c>
      <c r="F18" t="s">
        <v>64</v>
      </c>
    </row>
    <row r="19" spans="1:6" x14ac:dyDescent="0.3">
      <c r="A19">
        <v>18</v>
      </c>
      <c r="B19" t="s">
        <v>65</v>
      </c>
      <c r="C19" t="s">
        <v>7</v>
      </c>
      <c r="D19" t="s">
        <v>37</v>
      </c>
      <c r="E19" t="s">
        <v>66</v>
      </c>
      <c r="F19" t="s">
        <v>67</v>
      </c>
    </row>
    <row r="20" spans="1:6" x14ac:dyDescent="0.3">
      <c r="A20">
        <v>19</v>
      </c>
      <c r="B20" t="s">
        <v>68</v>
      </c>
      <c r="C20" t="s">
        <v>26</v>
      </c>
      <c r="D20" t="s">
        <v>12</v>
      </c>
      <c r="E20" t="s">
        <v>69</v>
      </c>
      <c r="F20" t="s">
        <v>70</v>
      </c>
    </row>
    <row r="21" spans="1:6" x14ac:dyDescent="0.3">
      <c r="A21">
        <v>20</v>
      </c>
      <c r="B21" t="s">
        <v>71</v>
      </c>
      <c r="C21" t="s">
        <v>7</v>
      </c>
      <c r="D21" t="s">
        <v>72</v>
      </c>
      <c r="E21" t="s">
        <v>73</v>
      </c>
      <c r="F21" t="s">
        <v>74</v>
      </c>
    </row>
    <row r="22" spans="1:6" x14ac:dyDescent="0.3">
      <c r="A22">
        <v>21</v>
      </c>
      <c r="B22" t="s">
        <v>75</v>
      </c>
      <c r="C22" t="s">
        <v>26</v>
      </c>
      <c r="D22" t="s">
        <v>27</v>
      </c>
      <c r="E22" t="s">
        <v>76</v>
      </c>
      <c r="F22" t="s">
        <v>77</v>
      </c>
    </row>
    <row r="23" spans="1:6" x14ac:dyDescent="0.3">
      <c r="A23">
        <v>22</v>
      </c>
      <c r="B23" t="s">
        <v>78</v>
      </c>
      <c r="C23" t="s">
        <v>26</v>
      </c>
      <c r="D23" t="s">
        <v>12</v>
      </c>
      <c r="E23" t="s">
        <v>79</v>
      </c>
      <c r="F23" t="s">
        <v>80</v>
      </c>
    </row>
    <row r="24" spans="1:6" x14ac:dyDescent="0.3">
      <c r="A24">
        <v>23</v>
      </c>
      <c r="B24" t="s">
        <v>81</v>
      </c>
      <c r="C24" t="s">
        <v>7</v>
      </c>
      <c r="D24" t="s">
        <v>72</v>
      </c>
      <c r="E24" t="s">
        <v>82</v>
      </c>
      <c r="F24" t="s">
        <v>83</v>
      </c>
    </row>
    <row r="25" spans="1:6" x14ac:dyDescent="0.3">
      <c r="A25">
        <v>24</v>
      </c>
      <c r="B25" t="s">
        <v>84</v>
      </c>
      <c r="C25" t="s">
        <v>7</v>
      </c>
      <c r="D25" t="s">
        <v>27</v>
      </c>
      <c r="E25" t="s">
        <v>85</v>
      </c>
      <c r="F25" t="s">
        <v>86</v>
      </c>
    </row>
    <row r="26" spans="1:6" x14ac:dyDescent="0.3">
      <c r="A26">
        <v>25</v>
      </c>
      <c r="B26" t="s">
        <v>87</v>
      </c>
      <c r="C26" t="s">
        <v>26</v>
      </c>
      <c r="D26" t="s">
        <v>8</v>
      </c>
      <c r="E26" t="s">
        <v>88</v>
      </c>
      <c r="F26" t="s">
        <v>89</v>
      </c>
    </row>
    <row r="27" spans="1:6" x14ac:dyDescent="0.3">
      <c r="A27">
        <v>26</v>
      </c>
      <c r="B27" t="s">
        <v>90</v>
      </c>
      <c r="C27" t="s">
        <v>26</v>
      </c>
      <c r="D27" t="s">
        <v>72</v>
      </c>
      <c r="E27" t="s">
        <v>91</v>
      </c>
      <c r="F27" t="s">
        <v>92</v>
      </c>
    </row>
    <row r="28" spans="1:6" x14ac:dyDescent="0.3">
      <c r="A28">
        <v>27</v>
      </c>
      <c r="B28" t="s">
        <v>78</v>
      </c>
      <c r="C28" t="s">
        <v>26</v>
      </c>
      <c r="D28" t="s">
        <v>22</v>
      </c>
      <c r="E28" t="s">
        <v>93</v>
      </c>
      <c r="F28" t="s">
        <v>94</v>
      </c>
    </row>
    <row r="29" spans="1:6" x14ac:dyDescent="0.3">
      <c r="A29">
        <v>28</v>
      </c>
      <c r="B29" t="s">
        <v>95</v>
      </c>
      <c r="C29" t="s">
        <v>7</v>
      </c>
      <c r="D29" t="s">
        <v>44</v>
      </c>
      <c r="E29" t="s">
        <v>96</v>
      </c>
      <c r="F29" t="s">
        <v>97</v>
      </c>
    </row>
    <row r="30" spans="1:6" x14ac:dyDescent="0.3">
      <c r="A30">
        <v>29</v>
      </c>
      <c r="B30" t="s">
        <v>98</v>
      </c>
      <c r="C30" t="s">
        <v>26</v>
      </c>
      <c r="D30" t="s">
        <v>27</v>
      </c>
      <c r="E30" t="s">
        <v>99</v>
      </c>
      <c r="F30" t="s">
        <v>100</v>
      </c>
    </row>
    <row r="31" spans="1:6" x14ac:dyDescent="0.3">
      <c r="A31">
        <v>30</v>
      </c>
      <c r="B31" t="s">
        <v>50</v>
      </c>
      <c r="C31" t="s">
        <v>7</v>
      </c>
      <c r="D31" t="s">
        <v>12</v>
      </c>
      <c r="E31" t="s">
        <v>101</v>
      </c>
      <c r="F31" t="s">
        <v>102</v>
      </c>
    </row>
    <row r="32" spans="1:6" x14ac:dyDescent="0.3">
      <c r="A32">
        <v>31</v>
      </c>
      <c r="B32" t="s">
        <v>103</v>
      </c>
      <c r="C32" t="s">
        <v>7</v>
      </c>
      <c r="D32" t="s">
        <v>44</v>
      </c>
      <c r="E32" t="s">
        <v>104</v>
      </c>
      <c r="F32" t="s">
        <v>105</v>
      </c>
    </row>
    <row r="33" spans="1:6" x14ac:dyDescent="0.3">
      <c r="A33">
        <v>32</v>
      </c>
      <c r="B33" t="s">
        <v>106</v>
      </c>
      <c r="C33" t="s">
        <v>7</v>
      </c>
      <c r="D33" t="s">
        <v>37</v>
      </c>
      <c r="E33" t="s">
        <v>107</v>
      </c>
      <c r="F33" t="s">
        <v>108</v>
      </c>
    </row>
    <row r="34" spans="1:6" x14ac:dyDescent="0.3">
      <c r="A34">
        <v>33</v>
      </c>
      <c r="B34" t="s">
        <v>109</v>
      </c>
      <c r="C34" t="s">
        <v>26</v>
      </c>
      <c r="D34" t="s">
        <v>8</v>
      </c>
      <c r="E34" t="s">
        <v>110</v>
      </c>
      <c r="F34" t="s">
        <v>111</v>
      </c>
    </row>
    <row r="35" spans="1:6" x14ac:dyDescent="0.3">
      <c r="A35">
        <v>34</v>
      </c>
      <c r="B35" t="s">
        <v>112</v>
      </c>
      <c r="C35" t="s">
        <v>7</v>
      </c>
      <c r="D35" t="s">
        <v>8</v>
      </c>
      <c r="E35" t="s">
        <v>113</v>
      </c>
      <c r="F35" t="s">
        <v>114</v>
      </c>
    </row>
    <row r="36" spans="1:6" x14ac:dyDescent="0.3">
      <c r="A36">
        <v>35</v>
      </c>
      <c r="B36" t="s">
        <v>115</v>
      </c>
      <c r="C36" t="s">
        <v>26</v>
      </c>
      <c r="D36" t="s">
        <v>27</v>
      </c>
      <c r="E36" t="s">
        <v>116</v>
      </c>
      <c r="F36" t="s">
        <v>117</v>
      </c>
    </row>
    <row r="37" spans="1:6" x14ac:dyDescent="0.3">
      <c r="A37">
        <v>36</v>
      </c>
      <c r="B37" t="s">
        <v>118</v>
      </c>
      <c r="C37" t="s">
        <v>7</v>
      </c>
      <c r="D37" t="s">
        <v>44</v>
      </c>
      <c r="E37" t="s">
        <v>119</v>
      </c>
      <c r="F37" t="s">
        <v>120</v>
      </c>
    </row>
    <row r="38" spans="1:6" x14ac:dyDescent="0.3">
      <c r="A38">
        <v>37</v>
      </c>
      <c r="B38" t="s">
        <v>121</v>
      </c>
      <c r="C38" t="s">
        <v>7</v>
      </c>
      <c r="D38" t="s">
        <v>27</v>
      </c>
      <c r="E38" t="s">
        <v>122</v>
      </c>
      <c r="F38" t="s">
        <v>123</v>
      </c>
    </row>
    <row r="39" spans="1:6" x14ac:dyDescent="0.3">
      <c r="A39">
        <v>38</v>
      </c>
      <c r="B39" t="s">
        <v>124</v>
      </c>
      <c r="C39" t="s">
        <v>26</v>
      </c>
      <c r="D39" t="s">
        <v>72</v>
      </c>
      <c r="E39" t="s">
        <v>125</v>
      </c>
      <c r="F39" t="s">
        <v>126</v>
      </c>
    </row>
    <row r="40" spans="1:6" x14ac:dyDescent="0.3">
      <c r="A40">
        <v>39</v>
      </c>
      <c r="B40" t="s">
        <v>127</v>
      </c>
      <c r="C40" t="s">
        <v>7</v>
      </c>
      <c r="D40" t="s">
        <v>72</v>
      </c>
      <c r="E40" t="s">
        <v>128</v>
      </c>
      <c r="F40" t="s">
        <v>129</v>
      </c>
    </row>
    <row r="41" spans="1:6" x14ac:dyDescent="0.3">
      <c r="A41">
        <v>40</v>
      </c>
      <c r="B41" t="s">
        <v>130</v>
      </c>
      <c r="C41" t="s">
        <v>7</v>
      </c>
      <c r="D41" t="s">
        <v>27</v>
      </c>
      <c r="E41" t="s">
        <v>131</v>
      </c>
      <c r="F41" t="s">
        <v>132</v>
      </c>
    </row>
    <row r="42" spans="1:6" x14ac:dyDescent="0.3">
      <c r="A42">
        <v>41</v>
      </c>
      <c r="B42" t="s">
        <v>133</v>
      </c>
      <c r="C42" t="s">
        <v>7</v>
      </c>
      <c r="D42" t="s">
        <v>27</v>
      </c>
      <c r="E42" t="s">
        <v>57</v>
      </c>
      <c r="F42" t="s">
        <v>134</v>
      </c>
    </row>
    <row r="43" spans="1:6" x14ac:dyDescent="0.3">
      <c r="A43">
        <v>42</v>
      </c>
      <c r="B43" t="s">
        <v>135</v>
      </c>
      <c r="C43" t="s">
        <v>26</v>
      </c>
      <c r="D43" t="s">
        <v>8</v>
      </c>
      <c r="E43" t="s">
        <v>136</v>
      </c>
      <c r="F43" t="s">
        <v>137</v>
      </c>
    </row>
    <row r="44" spans="1:6" x14ac:dyDescent="0.3">
      <c r="A44">
        <v>43</v>
      </c>
      <c r="B44" t="s">
        <v>138</v>
      </c>
      <c r="C44" t="s">
        <v>7</v>
      </c>
      <c r="D44" t="s">
        <v>37</v>
      </c>
      <c r="E44" t="s">
        <v>139</v>
      </c>
      <c r="F44" t="s">
        <v>140</v>
      </c>
    </row>
    <row r="45" spans="1:6" x14ac:dyDescent="0.3">
      <c r="A45">
        <v>44</v>
      </c>
      <c r="B45" t="s">
        <v>141</v>
      </c>
      <c r="C45" t="s">
        <v>26</v>
      </c>
      <c r="D45" t="s">
        <v>8</v>
      </c>
      <c r="E45" t="s">
        <v>142</v>
      </c>
      <c r="F45" t="s">
        <v>143</v>
      </c>
    </row>
    <row r="46" spans="1:6" x14ac:dyDescent="0.3">
      <c r="A46">
        <v>45</v>
      </c>
      <c r="B46" t="s">
        <v>144</v>
      </c>
      <c r="C46" t="s">
        <v>7</v>
      </c>
      <c r="D46" t="s">
        <v>37</v>
      </c>
      <c r="E46" t="s">
        <v>145</v>
      </c>
      <c r="F46" t="s">
        <v>146</v>
      </c>
    </row>
    <row r="47" spans="1:6" x14ac:dyDescent="0.3">
      <c r="A47">
        <v>46</v>
      </c>
      <c r="B47" t="s">
        <v>147</v>
      </c>
      <c r="C47" t="s">
        <v>7</v>
      </c>
      <c r="D47" t="s">
        <v>12</v>
      </c>
      <c r="E47" t="s">
        <v>148</v>
      </c>
      <c r="F47" t="s">
        <v>149</v>
      </c>
    </row>
    <row r="48" spans="1:6" x14ac:dyDescent="0.3">
      <c r="A48">
        <v>47</v>
      </c>
      <c r="B48" t="s">
        <v>65</v>
      </c>
      <c r="C48" t="s">
        <v>7</v>
      </c>
      <c r="D48" t="s">
        <v>12</v>
      </c>
      <c r="E48" t="s">
        <v>150</v>
      </c>
      <c r="F48" t="s">
        <v>151</v>
      </c>
    </row>
    <row r="49" spans="1:6" x14ac:dyDescent="0.3">
      <c r="A49">
        <v>48</v>
      </c>
      <c r="B49" t="s">
        <v>152</v>
      </c>
      <c r="C49" t="s">
        <v>7</v>
      </c>
      <c r="D49" t="s">
        <v>22</v>
      </c>
      <c r="E49" t="s">
        <v>153</v>
      </c>
      <c r="F49" t="s">
        <v>154</v>
      </c>
    </row>
    <row r="50" spans="1:6" x14ac:dyDescent="0.3">
      <c r="A50">
        <v>49</v>
      </c>
      <c r="B50" t="s">
        <v>40</v>
      </c>
      <c r="C50" t="s">
        <v>26</v>
      </c>
      <c r="D50" t="s">
        <v>72</v>
      </c>
      <c r="E50" t="s">
        <v>155</v>
      </c>
      <c r="F50" t="s">
        <v>156</v>
      </c>
    </row>
    <row r="51" spans="1:6" x14ac:dyDescent="0.3">
      <c r="A51">
        <v>50</v>
      </c>
      <c r="B51" t="s">
        <v>157</v>
      </c>
      <c r="C51" t="s">
        <v>7</v>
      </c>
      <c r="D51" t="s">
        <v>8</v>
      </c>
      <c r="E51" t="s">
        <v>158</v>
      </c>
      <c r="F51" t="s">
        <v>159</v>
      </c>
    </row>
    <row r="52" spans="1:6" x14ac:dyDescent="0.3">
      <c r="A52">
        <v>51</v>
      </c>
      <c r="B52" t="s">
        <v>53</v>
      </c>
      <c r="C52" t="s">
        <v>26</v>
      </c>
      <c r="D52" t="s">
        <v>22</v>
      </c>
      <c r="E52" t="s">
        <v>160</v>
      </c>
      <c r="F52" t="s">
        <v>161</v>
      </c>
    </row>
    <row r="53" spans="1:6" x14ac:dyDescent="0.3">
      <c r="A53">
        <v>52</v>
      </c>
      <c r="B53" t="s">
        <v>162</v>
      </c>
      <c r="C53" t="s">
        <v>26</v>
      </c>
      <c r="D53" t="s">
        <v>37</v>
      </c>
      <c r="E53" t="s">
        <v>163</v>
      </c>
      <c r="F53" t="s">
        <v>164</v>
      </c>
    </row>
    <row r="54" spans="1:6" x14ac:dyDescent="0.3">
      <c r="A54">
        <v>53</v>
      </c>
      <c r="B54" t="s">
        <v>165</v>
      </c>
      <c r="C54" t="s">
        <v>7</v>
      </c>
      <c r="D54" t="s">
        <v>37</v>
      </c>
      <c r="E54" t="s">
        <v>166</v>
      </c>
      <c r="F54" t="s">
        <v>167</v>
      </c>
    </row>
    <row r="55" spans="1:6" x14ac:dyDescent="0.3">
      <c r="A55">
        <v>54</v>
      </c>
      <c r="B55" t="s">
        <v>168</v>
      </c>
      <c r="C55" t="s">
        <v>7</v>
      </c>
      <c r="D55" t="s">
        <v>12</v>
      </c>
      <c r="E55" t="s">
        <v>169</v>
      </c>
      <c r="F55" t="s">
        <v>170</v>
      </c>
    </row>
    <row r="56" spans="1:6" x14ac:dyDescent="0.3">
      <c r="A56">
        <v>55</v>
      </c>
      <c r="B56" t="s">
        <v>171</v>
      </c>
      <c r="C56" t="s">
        <v>7</v>
      </c>
      <c r="D56" t="s">
        <v>27</v>
      </c>
      <c r="E56" t="s">
        <v>172</v>
      </c>
      <c r="F56" t="s">
        <v>173</v>
      </c>
    </row>
    <row r="57" spans="1:6" x14ac:dyDescent="0.3">
      <c r="A57">
        <v>56</v>
      </c>
      <c r="B57" t="s">
        <v>174</v>
      </c>
      <c r="C57" t="s">
        <v>26</v>
      </c>
      <c r="D57" t="s">
        <v>37</v>
      </c>
      <c r="E57" t="s">
        <v>175</v>
      </c>
      <c r="F57" t="s">
        <v>176</v>
      </c>
    </row>
    <row r="58" spans="1:6" x14ac:dyDescent="0.3">
      <c r="A58">
        <v>57</v>
      </c>
      <c r="B58" t="s">
        <v>177</v>
      </c>
      <c r="C58" t="s">
        <v>26</v>
      </c>
      <c r="D58" t="s">
        <v>12</v>
      </c>
      <c r="E58" t="s">
        <v>178</v>
      </c>
      <c r="F58" t="s">
        <v>179</v>
      </c>
    </row>
    <row r="59" spans="1:6" x14ac:dyDescent="0.3">
      <c r="A59">
        <v>58</v>
      </c>
      <c r="B59" t="s">
        <v>180</v>
      </c>
      <c r="C59" t="s">
        <v>7</v>
      </c>
      <c r="D59" t="s">
        <v>12</v>
      </c>
      <c r="E59" t="s">
        <v>181</v>
      </c>
      <c r="F59" t="s">
        <v>182</v>
      </c>
    </row>
    <row r="60" spans="1:6" x14ac:dyDescent="0.3">
      <c r="A60">
        <v>59</v>
      </c>
      <c r="B60" t="s">
        <v>183</v>
      </c>
      <c r="C60" t="s">
        <v>7</v>
      </c>
      <c r="D60" t="s">
        <v>37</v>
      </c>
      <c r="E60" t="s">
        <v>184</v>
      </c>
      <c r="F60" t="s">
        <v>185</v>
      </c>
    </row>
    <row r="61" spans="1:6" x14ac:dyDescent="0.3">
      <c r="A61">
        <v>60</v>
      </c>
      <c r="B61" t="s">
        <v>186</v>
      </c>
      <c r="C61" t="s">
        <v>26</v>
      </c>
      <c r="D61" t="s">
        <v>44</v>
      </c>
      <c r="E61" t="s">
        <v>187</v>
      </c>
      <c r="F61" t="s">
        <v>188</v>
      </c>
    </row>
    <row r="62" spans="1:6" x14ac:dyDescent="0.3">
      <c r="A62">
        <v>61</v>
      </c>
      <c r="B62" t="s">
        <v>189</v>
      </c>
      <c r="C62" t="s">
        <v>26</v>
      </c>
      <c r="D62" t="s">
        <v>8</v>
      </c>
      <c r="E62" t="s">
        <v>190</v>
      </c>
      <c r="F62" t="s">
        <v>191</v>
      </c>
    </row>
    <row r="63" spans="1:6" x14ac:dyDescent="0.3">
      <c r="A63">
        <v>62</v>
      </c>
      <c r="B63" t="s">
        <v>81</v>
      </c>
      <c r="C63" t="s">
        <v>7</v>
      </c>
      <c r="D63" t="s">
        <v>72</v>
      </c>
      <c r="E63" t="s">
        <v>192</v>
      </c>
      <c r="F63" t="s">
        <v>193</v>
      </c>
    </row>
    <row r="64" spans="1:6" x14ac:dyDescent="0.3">
      <c r="A64">
        <v>63</v>
      </c>
      <c r="B64" t="s">
        <v>194</v>
      </c>
      <c r="C64" t="s">
        <v>7</v>
      </c>
      <c r="D64" t="s">
        <v>72</v>
      </c>
      <c r="E64" t="s">
        <v>195</v>
      </c>
      <c r="F64" t="s">
        <v>196</v>
      </c>
    </row>
    <row r="65" spans="1:6" x14ac:dyDescent="0.3">
      <c r="A65">
        <v>64</v>
      </c>
      <c r="B65" t="s">
        <v>186</v>
      </c>
      <c r="C65" t="s">
        <v>26</v>
      </c>
      <c r="D65" t="s">
        <v>72</v>
      </c>
      <c r="E65" t="s">
        <v>197</v>
      </c>
      <c r="F65" t="s">
        <v>198</v>
      </c>
    </row>
    <row r="66" spans="1:6" x14ac:dyDescent="0.3">
      <c r="A66">
        <v>65</v>
      </c>
      <c r="B66" t="s">
        <v>199</v>
      </c>
      <c r="C66" t="s">
        <v>7</v>
      </c>
      <c r="D66" t="s">
        <v>44</v>
      </c>
      <c r="E66" t="s">
        <v>200</v>
      </c>
      <c r="F66" t="s">
        <v>201</v>
      </c>
    </row>
    <row r="67" spans="1:6" x14ac:dyDescent="0.3">
      <c r="A67">
        <v>66</v>
      </c>
      <c r="B67" t="s">
        <v>202</v>
      </c>
      <c r="C67" t="s">
        <v>26</v>
      </c>
      <c r="D67" t="s">
        <v>22</v>
      </c>
      <c r="E67" t="s">
        <v>73</v>
      </c>
      <c r="F67" t="s">
        <v>203</v>
      </c>
    </row>
    <row r="68" spans="1:6" x14ac:dyDescent="0.3">
      <c r="A68">
        <v>67</v>
      </c>
      <c r="B68" t="s">
        <v>204</v>
      </c>
      <c r="C68" t="s">
        <v>26</v>
      </c>
      <c r="D68" t="s">
        <v>22</v>
      </c>
      <c r="E68" t="s">
        <v>205</v>
      </c>
      <c r="F68" t="s">
        <v>206</v>
      </c>
    </row>
    <row r="69" spans="1:6" x14ac:dyDescent="0.3">
      <c r="A69">
        <v>68</v>
      </c>
      <c r="B69" t="s">
        <v>144</v>
      </c>
      <c r="C69" t="s">
        <v>7</v>
      </c>
      <c r="D69" t="s">
        <v>27</v>
      </c>
      <c r="E69" t="s">
        <v>207</v>
      </c>
      <c r="F69" t="s">
        <v>208</v>
      </c>
    </row>
    <row r="70" spans="1:6" x14ac:dyDescent="0.3">
      <c r="A70">
        <v>69</v>
      </c>
      <c r="B70" t="s">
        <v>162</v>
      </c>
      <c r="C70" t="s">
        <v>26</v>
      </c>
      <c r="D70" t="s">
        <v>37</v>
      </c>
      <c r="E70" t="s">
        <v>66</v>
      </c>
      <c r="F70" t="s">
        <v>209</v>
      </c>
    </row>
    <row r="71" spans="1:6" x14ac:dyDescent="0.3">
      <c r="A71">
        <v>70</v>
      </c>
      <c r="B71" t="s">
        <v>210</v>
      </c>
      <c r="C71" t="s">
        <v>26</v>
      </c>
      <c r="D71" t="s">
        <v>37</v>
      </c>
      <c r="E71" t="s">
        <v>211</v>
      </c>
      <c r="F71" t="s">
        <v>212</v>
      </c>
    </row>
    <row r="72" spans="1:6" x14ac:dyDescent="0.3">
      <c r="A72">
        <v>71</v>
      </c>
      <c r="B72" t="s">
        <v>213</v>
      </c>
      <c r="C72" t="s">
        <v>7</v>
      </c>
      <c r="D72" t="s">
        <v>37</v>
      </c>
      <c r="E72" t="s">
        <v>214</v>
      </c>
      <c r="F72" t="s">
        <v>215</v>
      </c>
    </row>
    <row r="73" spans="1:6" x14ac:dyDescent="0.3">
      <c r="A73">
        <v>72</v>
      </c>
      <c r="B73" t="s">
        <v>202</v>
      </c>
      <c r="C73" t="s">
        <v>26</v>
      </c>
      <c r="D73" t="s">
        <v>12</v>
      </c>
      <c r="E73" t="s">
        <v>216</v>
      </c>
      <c r="F73" t="s">
        <v>217</v>
      </c>
    </row>
    <row r="74" spans="1:6" x14ac:dyDescent="0.3">
      <c r="A74">
        <v>73</v>
      </c>
      <c r="B74" t="s">
        <v>218</v>
      </c>
      <c r="C74" t="s">
        <v>26</v>
      </c>
      <c r="D74" t="s">
        <v>12</v>
      </c>
      <c r="E74" t="s">
        <v>219</v>
      </c>
      <c r="F74" t="s">
        <v>220</v>
      </c>
    </row>
    <row r="75" spans="1:6" x14ac:dyDescent="0.3">
      <c r="A75">
        <v>74</v>
      </c>
      <c r="B75" t="s">
        <v>221</v>
      </c>
      <c r="C75" t="s">
        <v>26</v>
      </c>
      <c r="D75" t="s">
        <v>12</v>
      </c>
      <c r="E75" t="s">
        <v>222</v>
      </c>
      <c r="F75" t="s">
        <v>223</v>
      </c>
    </row>
    <row r="76" spans="1:6" x14ac:dyDescent="0.3">
      <c r="A76">
        <v>75</v>
      </c>
      <c r="B76" t="s">
        <v>168</v>
      </c>
      <c r="C76" t="s">
        <v>7</v>
      </c>
      <c r="D76" t="s">
        <v>8</v>
      </c>
      <c r="E76" t="s">
        <v>224</v>
      </c>
      <c r="F76" t="s">
        <v>225</v>
      </c>
    </row>
    <row r="77" spans="1:6" x14ac:dyDescent="0.3">
      <c r="A77">
        <v>76</v>
      </c>
      <c r="B77" t="s">
        <v>226</v>
      </c>
      <c r="C77" t="s">
        <v>26</v>
      </c>
      <c r="D77" t="s">
        <v>27</v>
      </c>
      <c r="E77" t="s">
        <v>145</v>
      </c>
      <c r="F77" t="s">
        <v>227</v>
      </c>
    </row>
    <row r="78" spans="1:6" x14ac:dyDescent="0.3">
      <c r="A78">
        <v>77</v>
      </c>
      <c r="B78" t="s">
        <v>228</v>
      </c>
      <c r="C78" t="s">
        <v>26</v>
      </c>
      <c r="D78" t="s">
        <v>22</v>
      </c>
      <c r="E78" t="s">
        <v>229</v>
      </c>
      <c r="F78" t="s">
        <v>230</v>
      </c>
    </row>
    <row r="79" spans="1:6" x14ac:dyDescent="0.3">
      <c r="A79">
        <v>78</v>
      </c>
      <c r="B79" t="s">
        <v>53</v>
      </c>
      <c r="C79" t="s">
        <v>26</v>
      </c>
      <c r="D79" t="s">
        <v>44</v>
      </c>
      <c r="E79" t="s">
        <v>231</v>
      </c>
      <c r="F79" t="s">
        <v>232</v>
      </c>
    </row>
    <row r="80" spans="1:6" x14ac:dyDescent="0.3">
      <c r="A80">
        <v>79</v>
      </c>
      <c r="B80" t="s">
        <v>233</v>
      </c>
      <c r="C80" t="s">
        <v>7</v>
      </c>
      <c r="D80" t="s">
        <v>8</v>
      </c>
      <c r="E80" t="s">
        <v>234</v>
      </c>
      <c r="F80" t="s">
        <v>235</v>
      </c>
    </row>
    <row r="81" spans="1:6" x14ac:dyDescent="0.3">
      <c r="A81">
        <v>80</v>
      </c>
      <c r="B81" t="s">
        <v>236</v>
      </c>
      <c r="C81" t="s">
        <v>26</v>
      </c>
      <c r="D81" t="s">
        <v>8</v>
      </c>
      <c r="E81" t="s">
        <v>237</v>
      </c>
      <c r="F81" t="s">
        <v>238</v>
      </c>
    </row>
    <row r="82" spans="1:6" x14ac:dyDescent="0.3">
      <c r="A82">
        <v>81</v>
      </c>
      <c r="B82" t="s">
        <v>239</v>
      </c>
      <c r="C82" t="s">
        <v>7</v>
      </c>
      <c r="D82" t="s">
        <v>72</v>
      </c>
      <c r="E82" t="s">
        <v>166</v>
      </c>
      <c r="F82" t="s">
        <v>240</v>
      </c>
    </row>
    <row r="83" spans="1:6" x14ac:dyDescent="0.3">
      <c r="A83">
        <v>82</v>
      </c>
      <c r="B83" t="s">
        <v>62</v>
      </c>
      <c r="C83" t="s">
        <v>7</v>
      </c>
      <c r="D83" t="s">
        <v>37</v>
      </c>
      <c r="E83" t="s">
        <v>241</v>
      </c>
      <c r="F83" t="s">
        <v>242</v>
      </c>
    </row>
    <row r="84" spans="1:6" x14ac:dyDescent="0.3">
      <c r="A84">
        <v>83</v>
      </c>
      <c r="B84" t="s">
        <v>177</v>
      </c>
      <c r="C84" t="s">
        <v>26</v>
      </c>
      <c r="D84" t="s">
        <v>44</v>
      </c>
      <c r="E84" t="s">
        <v>243</v>
      </c>
      <c r="F84" t="s">
        <v>244</v>
      </c>
    </row>
    <row r="85" spans="1:6" x14ac:dyDescent="0.3">
      <c r="A85">
        <v>84</v>
      </c>
      <c r="B85" t="s">
        <v>245</v>
      </c>
      <c r="C85" t="s">
        <v>26</v>
      </c>
      <c r="D85" t="s">
        <v>72</v>
      </c>
      <c r="E85" t="s">
        <v>246</v>
      </c>
      <c r="F85" t="s">
        <v>247</v>
      </c>
    </row>
    <row r="86" spans="1:6" x14ac:dyDescent="0.3">
      <c r="A86">
        <v>85</v>
      </c>
      <c r="B86" t="s">
        <v>177</v>
      </c>
      <c r="C86" t="s">
        <v>26</v>
      </c>
      <c r="D86" t="s">
        <v>27</v>
      </c>
      <c r="E86" t="s">
        <v>248</v>
      </c>
      <c r="F86" t="s">
        <v>249</v>
      </c>
    </row>
    <row r="87" spans="1:6" x14ac:dyDescent="0.3">
      <c r="A87">
        <v>86</v>
      </c>
      <c r="B87" t="s">
        <v>135</v>
      </c>
      <c r="C87" t="s">
        <v>26</v>
      </c>
      <c r="D87" t="s">
        <v>44</v>
      </c>
      <c r="E87" t="s">
        <v>250</v>
      </c>
      <c r="F87" t="s">
        <v>251</v>
      </c>
    </row>
    <row r="88" spans="1:6" x14ac:dyDescent="0.3">
      <c r="A88">
        <v>87</v>
      </c>
      <c r="B88" t="s">
        <v>252</v>
      </c>
      <c r="C88" t="s">
        <v>7</v>
      </c>
      <c r="D88" t="s">
        <v>22</v>
      </c>
      <c r="E88" t="s">
        <v>253</v>
      </c>
      <c r="F88" t="s">
        <v>254</v>
      </c>
    </row>
    <row r="89" spans="1:6" x14ac:dyDescent="0.3">
      <c r="A89">
        <v>88</v>
      </c>
      <c r="B89" t="s">
        <v>255</v>
      </c>
      <c r="C89" t="s">
        <v>7</v>
      </c>
      <c r="D89" t="s">
        <v>8</v>
      </c>
      <c r="E89" t="s">
        <v>256</v>
      </c>
      <c r="F89" t="s">
        <v>257</v>
      </c>
    </row>
    <row r="90" spans="1:6" x14ac:dyDescent="0.3">
      <c r="A90">
        <v>89</v>
      </c>
      <c r="B90" t="s">
        <v>258</v>
      </c>
      <c r="C90" t="s">
        <v>7</v>
      </c>
      <c r="D90" t="s">
        <v>27</v>
      </c>
      <c r="E90" t="s">
        <v>259</v>
      </c>
      <c r="F90" t="s">
        <v>260</v>
      </c>
    </row>
    <row r="91" spans="1:6" x14ac:dyDescent="0.3">
      <c r="A91">
        <v>90</v>
      </c>
      <c r="B91" t="s">
        <v>261</v>
      </c>
      <c r="C91" t="s">
        <v>26</v>
      </c>
      <c r="D91" t="s">
        <v>72</v>
      </c>
      <c r="E91" t="s">
        <v>262</v>
      </c>
      <c r="F91" t="s">
        <v>263</v>
      </c>
    </row>
    <row r="92" spans="1:6" x14ac:dyDescent="0.3">
      <c r="A92">
        <v>91</v>
      </c>
      <c r="B92" t="s">
        <v>264</v>
      </c>
      <c r="C92" t="s">
        <v>7</v>
      </c>
      <c r="D92" t="s">
        <v>27</v>
      </c>
      <c r="E92" t="s">
        <v>265</v>
      </c>
      <c r="F92" t="s">
        <v>266</v>
      </c>
    </row>
    <row r="93" spans="1:6" x14ac:dyDescent="0.3">
      <c r="A93">
        <v>92</v>
      </c>
      <c r="B93" t="s">
        <v>267</v>
      </c>
      <c r="C93" t="s">
        <v>26</v>
      </c>
      <c r="D93" t="s">
        <v>44</v>
      </c>
      <c r="E93" t="s">
        <v>268</v>
      </c>
      <c r="F93" t="s">
        <v>269</v>
      </c>
    </row>
    <row r="94" spans="1:6" x14ac:dyDescent="0.3">
      <c r="A94">
        <v>93</v>
      </c>
      <c r="B94" t="s">
        <v>270</v>
      </c>
      <c r="C94" t="s">
        <v>26</v>
      </c>
      <c r="D94" t="s">
        <v>27</v>
      </c>
      <c r="E94" t="s">
        <v>271</v>
      </c>
      <c r="F94" t="s">
        <v>272</v>
      </c>
    </row>
    <row r="95" spans="1:6" x14ac:dyDescent="0.3">
      <c r="A95">
        <v>94</v>
      </c>
      <c r="B95" t="s">
        <v>75</v>
      </c>
      <c r="C95" t="s">
        <v>26</v>
      </c>
      <c r="D95" t="s">
        <v>72</v>
      </c>
      <c r="E95" t="s">
        <v>116</v>
      </c>
      <c r="F95" t="s">
        <v>273</v>
      </c>
    </row>
    <row r="96" spans="1:6" x14ac:dyDescent="0.3">
      <c r="A96">
        <v>95</v>
      </c>
      <c r="B96" t="s">
        <v>65</v>
      </c>
      <c r="C96" t="s">
        <v>7</v>
      </c>
      <c r="D96" t="s">
        <v>12</v>
      </c>
      <c r="E96" t="s">
        <v>274</v>
      </c>
      <c r="F96" t="s">
        <v>275</v>
      </c>
    </row>
    <row r="97" spans="1:6" x14ac:dyDescent="0.3">
      <c r="A97">
        <v>96</v>
      </c>
      <c r="B97" t="s">
        <v>177</v>
      </c>
      <c r="C97" t="s">
        <v>26</v>
      </c>
      <c r="D97" t="s">
        <v>8</v>
      </c>
      <c r="E97" t="s">
        <v>276</v>
      </c>
      <c r="F97" t="s">
        <v>277</v>
      </c>
    </row>
    <row r="98" spans="1:6" x14ac:dyDescent="0.3">
      <c r="A98">
        <v>97</v>
      </c>
      <c r="B98" t="s">
        <v>278</v>
      </c>
      <c r="C98" t="s">
        <v>26</v>
      </c>
      <c r="D98" t="s">
        <v>22</v>
      </c>
      <c r="E98" t="s">
        <v>279</v>
      </c>
      <c r="F98" t="s">
        <v>280</v>
      </c>
    </row>
    <row r="99" spans="1:6" x14ac:dyDescent="0.3">
      <c r="A99">
        <v>98</v>
      </c>
      <c r="B99" t="s">
        <v>218</v>
      </c>
      <c r="C99" t="s">
        <v>26</v>
      </c>
      <c r="D99" t="s">
        <v>72</v>
      </c>
      <c r="E99" t="s">
        <v>281</v>
      </c>
      <c r="F99" t="s">
        <v>282</v>
      </c>
    </row>
    <row r="100" spans="1:6" x14ac:dyDescent="0.3">
      <c r="A100">
        <v>99</v>
      </c>
      <c r="B100" t="s">
        <v>152</v>
      </c>
      <c r="C100" t="s">
        <v>7</v>
      </c>
      <c r="D100" t="s">
        <v>44</v>
      </c>
      <c r="E100" t="s">
        <v>283</v>
      </c>
      <c r="F100" t="s">
        <v>284</v>
      </c>
    </row>
    <row r="101" spans="1:6" x14ac:dyDescent="0.3">
      <c r="A101">
        <v>100</v>
      </c>
      <c r="B101" t="s">
        <v>15</v>
      </c>
      <c r="C101" t="s">
        <v>7</v>
      </c>
      <c r="D101" t="s">
        <v>72</v>
      </c>
      <c r="E101" t="s">
        <v>285</v>
      </c>
      <c r="F101" t="s">
        <v>286</v>
      </c>
    </row>
    <row r="102" spans="1:6" x14ac:dyDescent="0.3">
      <c r="A102">
        <v>101</v>
      </c>
      <c r="B102" t="s">
        <v>47</v>
      </c>
      <c r="C102" t="s">
        <v>7</v>
      </c>
      <c r="D102" t="s">
        <v>44</v>
      </c>
      <c r="E102" t="s">
        <v>287</v>
      </c>
      <c r="F102" t="s">
        <v>288</v>
      </c>
    </row>
    <row r="103" spans="1:6" x14ac:dyDescent="0.3">
      <c r="A103">
        <v>102</v>
      </c>
      <c r="B103" t="s">
        <v>289</v>
      </c>
      <c r="C103" t="s">
        <v>26</v>
      </c>
      <c r="D103" t="s">
        <v>8</v>
      </c>
      <c r="E103" t="s">
        <v>290</v>
      </c>
      <c r="F103" t="s">
        <v>291</v>
      </c>
    </row>
    <row r="104" spans="1:6" x14ac:dyDescent="0.3">
      <c r="A104">
        <v>103</v>
      </c>
      <c r="B104" t="s">
        <v>165</v>
      </c>
      <c r="C104" t="s">
        <v>7</v>
      </c>
      <c r="D104" t="s">
        <v>37</v>
      </c>
      <c r="E104" t="s">
        <v>292</v>
      </c>
      <c r="F104" t="s">
        <v>293</v>
      </c>
    </row>
    <row r="105" spans="1:6" x14ac:dyDescent="0.3">
      <c r="A105">
        <v>104</v>
      </c>
      <c r="B105" t="s">
        <v>294</v>
      </c>
      <c r="C105" t="s">
        <v>26</v>
      </c>
      <c r="D105" t="s">
        <v>37</v>
      </c>
      <c r="E105" t="s">
        <v>295</v>
      </c>
      <c r="F105" t="s">
        <v>296</v>
      </c>
    </row>
    <row r="106" spans="1:6" x14ac:dyDescent="0.3">
      <c r="A106">
        <v>105</v>
      </c>
      <c r="B106" t="s">
        <v>297</v>
      </c>
      <c r="C106" t="s">
        <v>7</v>
      </c>
      <c r="D106" t="s">
        <v>72</v>
      </c>
      <c r="E106" t="s">
        <v>298</v>
      </c>
      <c r="F106" t="s">
        <v>299</v>
      </c>
    </row>
    <row r="107" spans="1:6" x14ac:dyDescent="0.3">
      <c r="A107">
        <v>106</v>
      </c>
      <c r="B107" t="s">
        <v>300</v>
      </c>
      <c r="C107" t="s">
        <v>7</v>
      </c>
      <c r="D107" t="s">
        <v>27</v>
      </c>
      <c r="E107" t="s">
        <v>301</v>
      </c>
      <c r="F107" t="s">
        <v>302</v>
      </c>
    </row>
    <row r="108" spans="1:6" x14ac:dyDescent="0.3">
      <c r="A108">
        <v>107</v>
      </c>
      <c r="B108" t="s">
        <v>210</v>
      </c>
      <c r="C108" t="s">
        <v>26</v>
      </c>
      <c r="D108" t="s">
        <v>72</v>
      </c>
      <c r="E108" t="s">
        <v>303</v>
      </c>
      <c r="F108" t="s">
        <v>304</v>
      </c>
    </row>
    <row r="109" spans="1:6" x14ac:dyDescent="0.3">
      <c r="A109">
        <v>108</v>
      </c>
      <c r="B109" t="s">
        <v>305</v>
      </c>
      <c r="C109" t="s">
        <v>26</v>
      </c>
      <c r="D109" t="s">
        <v>27</v>
      </c>
      <c r="E109" t="s">
        <v>306</v>
      </c>
      <c r="F109" t="s">
        <v>307</v>
      </c>
    </row>
    <row r="110" spans="1:6" x14ac:dyDescent="0.3">
      <c r="A110">
        <v>109</v>
      </c>
      <c r="B110" t="s">
        <v>162</v>
      </c>
      <c r="C110" t="s">
        <v>26</v>
      </c>
      <c r="D110" t="s">
        <v>72</v>
      </c>
      <c r="E110" t="s">
        <v>308</v>
      </c>
      <c r="F110" t="s">
        <v>309</v>
      </c>
    </row>
    <row r="111" spans="1:6" x14ac:dyDescent="0.3">
      <c r="A111">
        <v>110</v>
      </c>
      <c r="B111" t="s">
        <v>310</v>
      </c>
      <c r="C111" t="s">
        <v>26</v>
      </c>
      <c r="D111" t="s">
        <v>72</v>
      </c>
      <c r="E111" t="s">
        <v>311</v>
      </c>
      <c r="F111" t="s">
        <v>312</v>
      </c>
    </row>
    <row r="112" spans="1:6" x14ac:dyDescent="0.3">
      <c r="A112">
        <v>111</v>
      </c>
      <c r="B112" t="s">
        <v>313</v>
      </c>
      <c r="C112" t="s">
        <v>7</v>
      </c>
      <c r="D112" t="s">
        <v>12</v>
      </c>
      <c r="E112" t="s">
        <v>314</v>
      </c>
      <c r="F112" t="s">
        <v>315</v>
      </c>
    </row>
    <row r="113" spans="1:6" x14ac:dyDescent="0.3">
      <c r="A113">
        <v>112</v>
      </c>
      <c r="B113" t="s">
        <v>316</v>
      </c>
      <c r="C113" t="s">
        <v>7</v>
      </c>
      <c r="D113" t="s">
        <v>8</v>
      </c>
      <c r="E113" t="s">
        <v>317</v>
      </c>
      <c r="F113" t="s">
        <v>318</v>
      </c>
    </row>
    <row r="114" spans="1:6" x14ac:dyDescent="0.3">
      <c r="A114">
        <v>113</v>
      </c>
      <c r="B114" t="s">
        <v>319</v>
      </c>
      <c r="C114" t="s">
        <v>26</v>
      </c>
      <c r="D114" t="s">
        <v>12</v>
      </c>
      <c r="E114" t="s">
        <v>320</v>
      </c>
      <c r="F114" t="s">
        <v>321</v>
      </c>
    </row>
    <row r="115" spans="1:6" x14ac:dyDescent="0.3">
      <c r="A115">
        <v>114</v>
      </c>
      <c r="B115" t="s">
        <v>322</v>
      </c>
      <c r="C115" t="s">
        <v>7</v>
      </c>
      <c r="D115" t="s">
        <v>44</v>
      </c>
      <c r="E115" t="s">
        <v>323</v>
      </c>
      <c r="F115" t="s">
        <v>324</v>
      </c>
    </row>
    <row r="116" spans="1:6" x14ac:dyDescent="0.3">
      <c r="A116">
        <v>115</v>
      </c>
      <c r="B116" t="s">
        <v>325</v>
      </c>
      <c r="C116" t="s">
        <v>7</v>
      </c>
      <c r="D116" t="s">
        <v>27</v>
      </c>
      <c r="E116" t="s">
        <v>326</v>
      </c>
      <c r="F116" t="s">
        <v>327</v>
      </c>
    </row>
    <row r="117" spans="1:6" x14ac:dyDescent="0.3">
      <c r="A117">
        <v>116</v>
      </c>
      <c r="B117" t="s">
        <v>328</v>
      </c>
      <c r="C117" t="s">
        <v>7</v>
      </c>
      <c r="D117" t="s">
        <v>22</v>
      </c>
      <c r="E117" t="s">
        <v>329</v>
      </c>
      <c r="F117" t="s">
        <v>330</v>
      </c>
    </row>
    <row r="118" spans="1:6" x14ac:dyDescent="0.3">
      <c r="A118">
        <v>117</v>
      </c>
      <c r="B118" t="s">
        <v>141</v>
      </c>
      <c r="C118" t="s">
        <v>26</v>
      </c>
      <c r="D118" t="s">
        <v>22</v>
      </c>
      <c r="E118" t="s">
        <v>331</v>
      </c>
      <c r="F118" t="s">
        <v>332</v>
      </c>
    </row>
    <row r="119" spans="1:6" x14ac:dyDescent="0.3">
      <c r="A119">
        <v>118</v>
      </c>
      <c r="B119" t="s">
        <v>333</v>
      </c>
      <c r="C119" t="s">
        <v>26</v>
      </c>
      <c r="D119" t="s">
        <v>22</v>
      </c>
      <c r="E119" t="s">
        <v>334</v>
      </c>
      <c r="F119" t="s">
        <v>335</v>
      </c>
    </row>
    <row r="120" spans="1:6" x14ac:dyDescent="0.3">
      <c r="A120">
        <v>119</v>
      </c>
      <c r="B120" t="s">
        <v>336</v>
      </c>
      <c r="C120" t="s">
        <v>7</v>
      </c>
      <c r="D120" t="s">
        <v>37</v>
      </c>
      <c r="E120" t="s">
        <v>337</v>
      </c>
      <c r="F120" t="s">
        <v>338</v>
      </c>
    </row>
    <row r="121" spans="1:6" x14ac:dyDescent="0.3">
      <c r="A121">
        <v>120</v>
      </c>
      <c r="B121" t="s">
        <v>15</v>
      </c>
      <c r="C121" t="s">
        <v>7</v>
      </c>
      <c r="D121" t="s">
        <v>44</v>
      </c>
      <c r="E121" t="s">
        <v>308</v>
      </c>
      <c r="F121" t="s">
        <v>339</v>
      </c>
    </row>
    <row r="122" spans="1:6" x14ac:dyDescent="0.3">
      <c r="A122">
        <v>121</v>
      </c>
      <c r="B122" t="s">
        <v>53</v>
      </c>
      <c r="C122" t="s">
        <v>26</v>
      </c>
      <c r="D122" t="s">
        <v>22</v>
      </c>
      <c r="E122" t="s">
        <v>340</v>
      </c>
      <c r="F122" t="s">
        <v>341</v>
      </c>
    </row>
    <row r="123" spans="1:6" x14ac:dyDescent="0.3">
      <c r="A123">
        <v>122</v>
      </c>
      <c r="B123" t="s">
        <v>342</v>
      </c>
      <c r="C123" t="s">
        <v>26</v>
      </c>
      <c r="D123" t="s">
        <v>8</v>
      </c>
      <c r="E123" t="s">
        <v>343</v>
      </c>
      <c r="F123" t="s">
        <v>344</v>
      </c>
    </row>
    <row r="124" spans="1:6" x14ac:dyDescent="0.3">
      <c r="A124">
        <v>123</v>
      </c>
      <c r="B124" t="s">
        <v>177</v>
      </c>
      <c r="C124" t="s">
        <v>26</v>
      </c>
      <c r="D124" t="s">
        <v>37</v>
      </c>
      <c r="E124" t="s">
        <v>345</v>
      </c>
      <c r="F124" t="s">
        <v>346</v>
      </c>
    </row>
    <row r="125" spans="1:6" x14ac:dyDescent="0.3">
      <c r="A125">
        <v>124</v>
      </c>
      <c r="B125" t="s">
        <v>226</v>
      </c>
      <c r="C125" t="s">
        <v>26</v>
      </c>
      <c r="D125" t="s">
        <v>22</v>
      </c>
      <c r="E125" t="s">
        <v>347</v>
      </c>
      <c r="F125" t="s">
        <v>348</v>
      </c>
    </row>
    <row r="126" spans="1:6" x14ac:dyDescent="0.3">
      <c r="A126">
        <v>125</v>
      </c>
      <c r="B126" t="s">
        <v>25</v>
      </c>
      <c r="C126" t="s">
        <v>26</v>
      </c>
      <c r="D126" t="s">
        <v>27</v>
      </c>
      <c r="E126" t="s">
        <v>349</v>
      </c>
      <c r="F126" t="s">
        <v>350</v>
      </c>
    </row>
    <row r="127" spans="1:6" x14ac:dyDescent="0.3">
      <c r="A127">
        <v>126</v>
      </c>
      <c r="B127" t="s">
        <v>255</v>
      </c>
      <c r="C127" t="s">
        <v>7</v>
      </c>
      <c r="D127" t="s">
        <v>72</v>
      </c>
      <c r="E127" t="s">
        <v>351</v>
      </c>
      <c r="F127" t="s">
        <v>352</v>
      </c>
    </row>
    <row r="128" spans="1:6" x14ac:dyDescent="0.3">
      <c r="A128">
        <v>127</v>
      </c>
      <c r="B128" t="s">
        <v>157</v>
      </c>
      <c r="C128" t="s">
        <v>7</v>
      </c>
      <c r="D128" t="s">
        <v>72</v>
      </c>
      <c r="E128" t="s">
        <v>353</v>
      </c>
      <c r="F128" t="s">
        <v>354</v>
      </c>
    </row>
    <row r="129" spans="1:6" x14ac:dyDescent="0.3">
      <c r="A129">
        <v>128</v>
      </c>
      <c r="B129" t="s">
        <v>18</v>
      </c>
      <c r="C129" t="s">
        <v>7</v>
      </c>
      <c r="D129" t="s">
        <v>27</v>
      </c>
      <c r="E129" t="s">
        <v>355</v>
      </c>
      <c r="F129" t="s">
        <v>356</v>
      </c>
    </row>
    <row r="130" spans="1:6" x14ac:dyDescent="0.3">
      <c r="A130">
        <v>129</v>
      </c>
      <c r="B130" t="s">
        <v>357</v>
      </c>
      <c r="C130" t="s">
        <v>26</v>
      </c>
      <c r="D130" t="s">
        <v>12</v>
      </c>
      <c r="E130" t="s">
        <v>358</v>
      </c>
      <c r="F130" t="s">
        <v>359</v>
      </c>
    </row>
    <row r="131" spans="1:6" x14ac:dyDescent="0.3">
      <c r="A131">
        <v>130</v>
      </c>
      <c r="B131" t="s">
        <v>15</v>
      </c>
      <c r="C131" t="s">
        <v>7</v>
      </c>
      <c r="D131" t="s">
        <v>22</v>
      </c>
      <c r="E131" t="s">
        <v>360</v>
      </c>
      <c r="F131" t="s">
        <v>361</v>
      </c>
    </row>
    <row r="132" spans="1:6" x14ac:dyDescent="0.3">
      <c r="A132">
        <v>131</v>
      </c>
      <c r="B132" t="s">
        <v>362</v>
      </c>
      <c r="C132" t="s">
        <v>7</v>
      </c>
      <c r="D132" t="s">
        <v>37</v>
      </c>
      <c r="E132" t="s">
        <v>363</v>
      </c>
      <c r="F132" t="s">
        <v>364</v>
      </c>
    </row>
    <row r="133" spans="1:6" x14ac:dyDescent="0.3">
      <c r="A133">
        <v>132</v>
      </c>
      <c r="B133" t="s">
        <v>365</v>
      </c>
      <c r="C133" t="s">
        <v>26</v>
      </c>
      <c r="D133" t="s">
        <v>22</v>
      </c>
      <c r="E133" t="s">
        <v>366</v>
      </c>
      <c r="F133" t="s">
        <v>367</v>
      </c>
    </row>
    <row r="134" spans="1:6" x14ac:dyDescent="0.3">
      <c r="A134">
        <v>133</v>
      </c>
      <c r="B134" t="s">
        <v>368</v>
      </c>
      <c r="C134" t="s">
        <v>26</v>
      </c>
      <c r="D134" t="s">
        <v>44</v>
      </c>
      <c r="E134" t="s">
        <v>369</v>
      </c>
      <c r="F134" t="s">
        <v>370</v>
      </c>
    </row>
    <row r="135" spans="1:6" x14ac:dyDescent="0.3">
      <c r="A135">
        <v>134</v>
      </c>
      <c r="B135" t="s">
        <v>371</v>
      </c>
      <c r="C135" t="s">
        <v>7</v>
      </c>
      <c r="D135" t="s">
        <v>12</v>
      </c>
      <c r="E135" t="s">
        <v>372</v>
      </c>
      <c r="F135" t="s">
        <v>373</v>
      </c>
    </row>
    <row r="136" spans="1:6" x14ac:dyDescent="0.3">
      <c r="A136">
        <v>135</v>
      </c>
      <c r="B136" t="s">
        <v>228</v>
      </c>
      <c r="C136" t="s">
        <v>26</v>
      </c>
      <c r="D136" t="s">
        <v>37</v>
      </c>
      <c r="E136" t="s">
        <v>374</v>
      </c>
      <c r="F136" t="s">
        <v>375</v>
      </c>
    </row>
    <row r="137" spans="1:6" x14ac:dyDescent="0.3">
      <c r="A137">
        <v>136</v>
      </c>
      <c r="B137" t="s">
        <v>368</v>
      </c>
      <c r="C137" t="s">
        <v>26</v>
      </c>
      <c r="D137" t="s">
        <v>27</v>
      </c>
      <c r="E137" t="s">
        <v>376</v>
      </c>
      <c r="F137" t="s">
        <v>377</v>
      </c>
    </row>
    <row r="138" spans="1:6" x14ac:dyDescent="0.3">
      <c r="A138">
        <v>137</v>
      </c>
      <c r="B138" t="s">
        <v>141</v>
      </c>
      <c r="C138" t="s">
        <v>26</v>
      </c>
      <c r="D138" t="s">
        <v>27</v>
      </c>
      <c r="E138" t="s">
        <v>378</v>
      </c>
      <c r="F138" t="s">
        <v>379</v>
      </c>
    </row>
    <row r="139" spans="1:6" x14ac:dyDescent="0.3">
      <c r="A139">
        <v>138</v>
      </c>
      <c r="B139" t="s">
        <v>380</v>
      </c>
      <c r="C139" t="s">
        <v>7</v>
      </c>
      <c r="D139" t="s">
        <v>12</v>
      </c>
      <c r="E139" t="s">
        <v>381</v>
      </c>
      <c r="F139" t="s">
        <v>382</v>
      </c>
    </row>
    <row r="140" spans="1:6" x14ac:dyDescent="0.3">
      <c r="A140">
        <v>139</v>
      </c>
      <c r="B140" t="s">
        <v>383</v>
      </c>
      <c r="C140" t="s">
        <v>7</v>
      </c>
      <c r="D140" t="s">
        <v>37</v>
      </c>
      <c r="E140" t="s">
        <v>384</v>
      </c>
      <c r="F140" t="s">
        <v>385</v>
      </c>
    </row>
    <row r="141" spans="1:6" x14ac:dyDescent="0.3">
      <c r="A141">
        <v>140</v>
      </c>
      <c r="B141" t="s">
        <v>47</v>
      </c>
      <c r="C141" t="s">
        <v>7</v>
      </c>
      <c r="D141" t="s">
        <v>12</v>
      </c>
      <c r="E141" t="s">
        <v>386</v>
      </c>
      <c r="F141" t="s">
        <v>387</v>
      </c>
    </row>
    <row r="142" spans="1:6" x14ac:dyDescent="0.3">
      <c r="A142">
        <v>141</v>
      </c>
      <c r="B142" t="s">
        <v>264</v>
      </c>
      <c r="C142" t="s">
        <v>7</v>
      </c>
      <c r="D142" t="s">
        <v>44</v>
      </c>
      <c r="E142" t="s">
        <v>349</v>
      </c>
      <c r="F142" t="s">
        <v>388</v>
      </c>
    </row>
    <row r="143" spans="1:6" x14ac:dyDescent="0.3">
      <c r="A143">
        <v>142</v>
      </c>
      <c r="B143" t="s">
        <v>389</v>
      </c>
      <c r="C143" t="s">
        <v>26</v>
      </c>
      <c r="D143" t="s">
        <v>22</v>
      </c>
      <c r="E143" t="s">
        <v>390</v>
      </c>
      <c r="F143" t="s">
        <v>391</v>
      </c>
    </row>
    <row r="144" spans="1:6" x14ac:dyDescent="0.3">
      <c r="A144">
        <v>143</v>
      </c>
      <c r="B144" t="s">
        <v>56</v>
      </c>
      <c r="C144" t="s">
        <v>26</v>
      </c>
      <c r="D144" t="s">
        <v>22</v>
      </c>
      <c r="E144" t="s">
        <v>274</v>
      </c>
      <c r="F144" t="s">
        <v>392</v>
      </c>
    </row>
    <row r="145" spans="1:6" x14ac:dyDescent="0.3">
      <c r="A145">
        <v>144</v>
      </c>
      <c r="B145" t="s">
        <v>393</v>
      </c>
      <c r="C145" t="s">
        <v>7</v>
      </c>
      <c r="D145" t="s">
        <v>22</v>
      </c>
      <c r="E145" t="s">
        <v>394</v>
      </c>
      <c r="F145" t="s">
        <v>395</v>
      </c>
    </row>
    <row r="146" spans="1:6" x14ac:dyDescent="0.3">
      <c r="A146">
        <v>145</v>
      </c>
      <c r="B146" t="s">
        <v>396</v>
      </c>
      <c r="C146" t="s">
        <v>26</v>
      </c>
      <c r="D146" t="s">
        <v>44</v>
      </c>
      <c r="E146" t="s">
        <v>397</v>
      </c>
      <c r="F146" t="s">
        <v>398</v>
      </c>
    </row>
    <row r="147" spans="1:6" x14ac:dyDescent="0.3">
      <c r="A147">
        <v>146</v>
      </c>
      <c r="B147" t="s">
        <v>121</v>
      </c>
      <c r="C147" t="s">
        <v>7</v>
      </c>
      <c r="D147" t="s">
        <v>22</v>
      </c>
      <c r="E147" t="s">
        <v>399</v>
      </c>
      <c r="F147" t="s">
        <v>400</v>
      </c>
    </row>
    <row r="148" spans="1:6" x14ac:dyDescent="0.3">
      <c r="A148">
        <v>147</v>
      </c>
      <c r="B148" t="s">
        <v>261</v>
      </c>
      <c r="C148" t="s">
        <v>26</v>
      </c>
      <c r="D148" t="s">
        <v>22</v>
      </c>
      <c r="E148" t="s">
        <v>401</v>
      </c>
      <c r="F148" t="s">
        <v>402</v>
      </c>
    </row>
    <row r="149" spans="1:6" x14ac:dyDescent="0.3">
      <c r="A149">
        <v>148</v>
      </c>
      <c r="B149" t="s">
        <v>368</v>
      </c>
      <c r="C149" t="s">
        <v>26</v>
      </c>
      <c r="D149" t="s">
        <v>37</v>
      </c>
      <c r="E149" t="s">
        <v>403</v>
      </c>
      <c r="F149" t="s">
        <v>404</v>
      </c>
    </row>
    <row r="150" spans="1:6" x14ac:dyDescent="0.3">
      <c r="A150">
        <v>149</v>
      </c>
      <c r="B150" t="s">
        <v>171</v>
      </c>
      <c r="C150" t="s">
        <v>7</v>
      </c>
      <c r="D150" t="s">
        <v>37</v>
      </c>
      <c r="E150" t="s">
        <v>405</v>
      </c>
      <c r="F150" t="s">
        <v>406</v>
      </c>
    </row>
    <row r="151" spans="1:6" x14ac:dyDescent="0.3">
      <c r="A151">
        <v>150</v>
      </c>
      <c r="B151" t="s">
        <v>407</v>
      </c>
      <c r="C151" t="s">
        <v>7</v>
      </c>
      <c r="D151" t="s">
        <v>37</v>
      </c>
      <c r="E151" t="s">
        <v>408</v>
      </c>
      <c r="F151" t="s">
        <v>409</v>
      </c>
    </row>
    <row r="152" spans="1:6" x14ac:dyDescent="0.3">
      <c r="A152">
        <v>151</v>
      </c>
      <c r="B152" t="s">
        <v>68</v>
      </c>
      <c r="C152" t="s">
        <v>26</v>
      </c>
      <c r="D152" t="s">
        <v>27</v>
      </c>
      <c r="E152" t="s">
        <v>410</v>
      </c>
      <c r="F152" t="s">
        <v>411</v>
      </c>
    </row>
    <row r="153" spans="1:6" x14ac:dyDescent="0.3">
      <c r="A153">
        <v>152</v>
      </c>
      <c r="B153" t="s">
        <v>78</v>
      </c>
      <c r="C153" t="s">
        <v>26</v>
      </c>
      <c r="D153" t="s">
        <v>27</v>
      </c>
      <c r="E153" t="s">
        <v>412</v>
      </c>
      <c r="F153" t="s">
        <v>413</v>
      </c>
    </row>
    <row r="154" spans="1:6" x14ac:dyDescent="0.3">
      <c r="A154">
        <v>153</v>
      </c>
      <c r="B154" t="s">
        <v>297</v>
      </c>
      <c r="C154" t="s">
        <v>7</v>
      </c>
      <c r="D154" t="s">
        <v>72</v>
      </c>
      <c r="E154" t="s">
        <v>414</v>
      </c>
      <c r="F154" t="s">
        <v>415</v>
      </c>
    </row>
    <row r="155" spans="1:6" x14ac:dyDescent="0.3">
      <c r="A155">
        <v>154</v>
      </c>
      <c r="B155" t="s">
        <v>416</v>
      </c>
      <c r="C155" t="s">
        <v>26</v>
      </c>
      <c r="D155" t="s">
        <v>44</v>
      </c>
      <c r="E155" t="s">
        <v>417</v>
      </c>
      <c r="F155" t="s">
        <v>418</v>
      </c>
    </row>
    <row r="156" spans="1:6" x14ac:dyDescent="0.3">
      <c r="A156">
        <v>155</v>
      </c>
      <c r="B156" t="s">
        <v>177</v>
      </c>
      <c r="C156" t="s">
        <v>26</v>
      </c>
      <c r="D156" t="s">
        <v>12</v>
      </c>
      <c r="E156" t="s">
        <v>308</v>
      </c>
      <c r="F156" t="s">
        <v>419</v>
      </c>
    </row>
    <row r="157" spans="1:6" x14ac:dyDescent="0.3">
      <c r="A157">
        <v>156</v>
      </c>
      <c r="B157" t="s">
        <v>40</v>
      </c>
      <c r="C157" t="s">
        <v>26</v>
      </c>
      <c r="D157" t="s">
        <v>72</v>
      </c>
      <c r="E157" t="s">
        <v>420</v>
      </c>
      <c r="F157" t="s">
        <v>421</v>
      </c>
    </row>
    <row r="158" spans="1:6" x14ac:dyDescent="0.3">
      <c r="A158">
        <v>157</v>
      </c>
      <c r="B158" t="s">
        <v>422</v>
      </c>
      <c r="C158" t="s">
        <v>26</v>
      </c>
      <c r="D158" t="s">
        <v>37</v>
      </c>
      <c r="E158" t="s">
        <v>423</v>
      </c>
      <c r="F158" t="s">
        <v>424</v>
      </c>
    </row>
    <row r="159" spans="1:6" x14ac:dyDescent="0.3">
      <c r="A159">
        <v>158</v>
      </c>
      <c r="B159" t="s">
        <v>75</v>
      </c>
      <c r="C159" t="s">
        <v>26</v>
      </c>
      <c r="D159" t="s">
        <v>27</v>
      </c>
      <c r="E159" t="s">
        <v>425</v>
      </c>
      <c r="F159" t="s">
        <v>273</v>
      </c>
    </row>
    <row r="160" spans="1:6" x14ac:dyDescent="0.3">
      <c r="A160">
        <v>159</v>
      </c>
      <c r="B160" t="s">
        <v>426</v>
      </c>
      <c r="C160" t="s">
        <v>26</v>
      </c>
      <c r="D160" t="s">
        <v>37</v>
      </c>
      <c r="E160" t="s">
        <v>427</v>
      </c>
      <c r="F160" t="s">
        <v>428</v>
      </c>
    </row>
    <row r="161" spans="1:6" x14ac:dyDescent="0.3">
      <c r="A161">
        <v>160</v>
      </c>
      <c r="B161" t="s">
        <v>183</v>
      </c>
      <c r="C161" t="s">
        <v>7</v>
      </c>
      <c r="D161" t="s">
        <v>37</v>
      </c>
      <c r="E161" t="s">
        <v>429</v>
      </c>
      <c r="F161" t="s">
        <v>430</v>
      </c>
    </row>
    <row r="162" spans="1:6" x14ac:dyDescent="0.3">
      <c r="A162">
        <v>161</v>
      </c>
      <c r="B162" t="s">
        <v>431</v>
      </c>
      <c r="C162" t="s">
        <v>26</v>
      </c>
      <c r="D162" t="s">
        <v>72</v>
      </c>
      <c r="E162" t="s">
        <v>432</v>
      </c>
      <c r="F162" t="s">
        <v>433</v>
      </c>
    </row>
    <row r="163" spans="1:6" x14ac:dyDescent="0.3">
      <c r="A163">
        <v>162</v>
      </c>
      <c r="B163" t="s">
        <v>98</v>
      </c>
      <c r="C163" t="s">
        <v>26</v>
      </c>
      <c r="D163" t="s">
        <v>37</v>
      </c>
      <c r="E163" t="s">
        <v>434</v>
      </c>
      <c r="F163" t="s">
        <v>435</v>
      </c>
    </row>
    <row r="164" spans="1:6" x14ac:dyDescent="0.3">
      <c r="A164">
        <v>163</v>
      </c>
      <c r="B164" t="s">
        <v>436</v>
      </c>
      <c r="C164" t="s">
        <v>26</v>
      </c>
      <c r="D164" t="s">
        <v>27</v>
      </c>
      <c r="E164" t="s">
        <v>437</v>
      </c>
      <c r="F164" t="s">
        <v>438</v>
      </c>
    </row>
    <row r="165" spans="1:6" x14ac:dyDescent="0.3">
      <c r="A165">
        <v>164</v>
      </c>
      <c r="B165" t="s">
        <v>439</v>
      </c>
      <c r="C165" t="s">
        <v>7</v>
      </c>
      <c r="D165" t="s">
        <v>44</v>
      </c>
      <c r="E165" t="s">
        <v>440</v>
      </c>
      <c r="F165" t="s">
        <v>441</v>
      </c>
    </row>
    <row r="166" spans="1:6" x14ac:dyDescent="0.3">
      <c r="A166">
        <v>165</v>
      </c>
      <c r="B166" t="s">
        <v>416</v>
      </c>
      <c r="C166" t="s">
        <v>26</v>
      </c>
      <c r="D166" t="s">
        <v>22</v>
      </c>
      <c r="E166" t="s">
        <v>442</v>
      </c>
      <c r="F166" t="s">
        <v>443</v>
      </c>
    </row>
    <row r="167" spans="1:6" x14ac:dyDescent="0.3">
      <c r="A167">
        <v>166</v>
      </c>
      <c r="B167" t="s">
        <v>18</v>
      </c>
      <c r="C167" t="s">
        <v>7</v>
      </c>
      <c r="D167" t="s">
        <v>12</v>
      </c>
      <c r="E167" t="s">
        <v>444</v>
      </c>
      <c r="F167" t="s">
        <v>445</v>
      </c>
    </row>
    <row r="168" spans="1:6" x14ac:dyDescent="0.3">
      <c r="A168">
        <v>167</v>
      </c>
      <c r="B168" t="s">
        <v>144</v>
      </c>
      <c r="C168" t="s">
        <v>7</v>
      </c>
      <c r="D168" t="s">
        <v>72</v>
      </c>
      <c r="E168" t="s">
        <v>446</v>
      </c>
      <c r="F168" t="s">
        <v>447</v>
      </c>
    </row>
    <row r="169" spans="1:6" x14ac:dyDescent="0.3">
      <c r="A169">
        <v>168</v>
      </c>
      <c r="B169" t="s">
        <v>313</v>
      </c>
      <c r="C169" t="s">
        <v>7</v>
      </c>
      <c r="D169" t="s">
        <v>8</v>
      </c>
      <c r="E169" t="s">
        <v>448</v>
      </c>
      <c r="F169" t="s">
        <v>449</v>
      </c>
    </row>
    <row r="170" spans="1:6" x14ac:dyDescent="0.3">
      <c r="A170">
        <v>169</v>
      </c>
      <c r="B170" t="s">
        <v>450</v>
      </c>
      <c r="C170" t="s">
        <v>26</v>
      </c>
      <c r="D170" t="s">
        <v>44</v>
      </c>
      <c r="E170" t="s">
        <v>451</v>
      </c>
      <c r="F170" t="s">
        <v>452</v>
      </c>
    </row>
    <row r="171" spans="1:6" x14ac:dyDescent="0.3">
      <c r="A171">
        <v>170</v>
      </c>
      <c r="B171" t="s">
        <v>407</v>
      </c>
      <c r="C171" t="s">
        <v>7</v>
      </c>
      <c r="D171" t="s">
        <v>22</v>
      </c>
      <c r="E171" t="s">
        <v>453</v>
      </c>
      <c r="F171" t="s">
        <v>454</v>
      </c>
    </row>
    <row r="172" spans="1:6" x14ac:dyDescent="0.3">
      <c r="A172">
        <v>171</v>
      </c>
      <c r="B172" t="s">
        <v>455</v>
      </c>
      <c r="C172" t="s">
        <v>26</v>
      </c>
      <c r="D172" t="s">
        <v>72</v>
      </c>
      <c r="E172" t="s">
        <v>456</v>
      </c>
      <c r="F172" t="s">
        <v>457</v>
      </c>
    </row>
    <row r="173" spans="1:6" x14ac:dyDescent="0.3">
      <c r="A173">
        <v>172</v>
      </c>
      <c r="B173" t="s">
        <v>53</v>
      </c>
      <c r="C173" t="s">
        <v>26</v>
      </c>
      <c r="D173" t="s">
        <v>27</v>
      </c>
      <c r="E173" t="s">
        <v>458</v>
      </c>
      <c r="F173" t="s">
        <v>459</v>
      </c>
    </row>
    <row r="174" spans="1:6" x14ac:dyDescent="0.3">
      <c r="A174">
        <v>173</v>
      </c>
      <c r="B174" t="s">
        <v>174</v>
      </c>
      <c r="C174" t="s">
        <v>26</v>
      </c>
      <c r="D174" t="s">
        <v>72</v>
      </c>
      <c r="E174" t="s">
        <v>460</v>
      </c>
      <c r="F174" t="s">
        <v>461</v>
      </c>
    </row>
    <row r="175" spans="1:6" x14ac:dyDescent="0.3">
      <c r="A175">
        <v>174</v>
      </c>
      <c r="B175" t="s">
        <v>462</v>
      </c>
      <c r="C175" t="s">
        <v>7</v>
      </c>
      <c r="D175" t="s">
        <v>12</v>
      </c>
      <c r="E175" t="s">
        <v>463</v>
      </c>
      <c r="F175" t="s">
        <v>464</v>
      </c>
    </row>
    <row r="176" spans="1:6" x14ac:dyDescent="0.3">
      <c r="A176">
        <v>175</v>
      </c>
      <c r="B176" t="s">
        <v>186</v>
      </c>
      <c r="C176" t="s">
        <v>26</v>
      </c>
      <c r="D176" t="s">
        <v>12</v>
      </c>
      <c r="E176" t="s">
        <v>381</v>
      </c>
      <c r="F176" t="s">
        <v>465</v>
      </c>
    </row>
    <row r="177" spans="1:6" x14ac:dyDescent="0.3">
      <c r="A177">
        <v>176</v>
      </c>
      <c r="B177" t="s">
        <v>466</v>
      </c>
      <c r="C177" t="s">
        <v>7</v>
      </c>
      <c r="D177" t="s">
        <v>22</v>
      </c>
      <c r="E177" t="s">
        <v>467</v>
      </c>
      <c r="F177" t="s">
        <v>468</v>
      </c>
    </row>
    <row r="178" spans="1:6" x14ac:dyDescent="0.3">
      <c r="A178">
        <v>177</v>
      </c>
      <c r="B178" t="s">
        <v>228</v>
      </c>
      <c r="C178" t="s">
        <v>26</v>
      </c>
      <c r="D178" t="s">
        <v>22</v>
      </c>
      <c r="E178" t="s">
        <v>469</v>
      </c>
      <c r="F178" t="s">
        <v>470</v>
      </c>
    </row>
    <row r="179" spans="1:6" x14ac:dyDescent="0.3">
      <c r="A179">
        <v>178</v>
      </c>
      <c r="B179" t="s">
        <v>471</v>
      </c>
      <c r="C179" t="s">
        <v>7</v>
      </c>
      <c r="D179" t="s">
        <v>72</v>
      </c>
      <c r="E179" t="s">
        <v>472</v>
      </c>
      <c r="F179" t="s">
        <v>473</v>
      </c>
    </row>
    <row r="180" spans="1:6" x14ac:dyDescent="0.3">
      <c r="A180">
        <v>179</v>
      </c>
      <c r="B180" t="s">
        <v>474</v>
      </c>
      <c r="C180" t="s">
        <v>26</v>
      </c>
      <c r="D180" t="s">
        <v>72</v>
      </c>
      <c r="E180" t="s">
        <v>475</v>
      </c>
      <c r="F180" t="s">
        <v>476</v>
      </c>
    </row>
    <row r="181" spans="1:6" x14ac:dyDescent="0.3">
      <c r="A181">
        <v>180</v>
      </c>
      <c r="B181" t="s">
        <v>426</v>
      </c>
      <c r="C181" t="s">
        <v>26</v>
      </c>
      <c r="D181" t="s">
        <v>37</v>
      </c>
      <c r="E181" t="s">
        <v>477</v>
      </c>
      <c r="F181" t="s">
        <v>478</v>
      </c>
    </row>
    <row r="182" spans="1:6" x14ac:dyDescent="0.3">
      <c r="A182">
        <v>181</v>
      </c>
      <c r="B182" t="s">
        <v>479</v>
      </c>
      <c r="C182" t="s">
        <v>26</v>
      </c>
      <c r="D182" t="s">
        <v>37</v>
      </c>
      <c r="E182" t="s">
        <v>480</v>
      </c>
      <c r="F182" t="s">
        <v>481</v>
      </c>
    </row>
    <row r="183" spans="1:6" x14ac:dyDescent="0.3">
      <c r="A183">
        <v>182</v>
      </c>
      <c r="B183" t="s">
        <v>316</v>
      </c>
      <c r="C183" t="s">
        <v>7</v>
      </c>
      <c r="D183" t="s">
        <v>44</v>
      </c>
      <c r="E183" t="s">
        <v>384</v>
      </c>
      <c r="F183" t="s">
        <v>482</v>
      </c>
    </row>
    <row r="184" spans="1:6" x14ac:dyDescent="0.3">
      <c r="A184">
        <v>183</v>
      </c>
      <c r="B184" t="s">
        <v>483</v>
      </c>
      <c r="C184" t="s">
        <v>26</v>
      </c>
      <c r="D184" t="s">
        <v>44</v>
      </c>
      <c r="E184" t="s">
        <v>369</v>
      </c>
      <c r="F184" t="s">
        <v>484</v>
      </c>
    </row>
    <row r="185" spans="1:6" x14ac:dyDescent="0.3">
      <c r="A185">
        <v>184</v>
      </c>
      <c r="B185" t="s">
        <v>485</v>
      </c>
      <c r="C185" t="s">
        <v>26</v>
      </c>
      <c r="D185" t="s">
        <v>44</v>
      </c>
      <c r="E185" t="s">
        <v>486</v>
      </c>
      <c r="F185" t="s">
        <v>487</v>
      </c>
    </row>
    <row r="186" spans="1:6" x14ac:dyDescent="0.3">
      <c r="A186">
        <v>185</v>
      </c>
      <c r="B186" t="s">
        <v>488</v>
      </c>
      <c r="C186" t="s">
        <v>26</v>
      </c>
      <c r="D186" t="s">
        <v>8</v>
      </c>
      <c r="E186" t="s">
        <v>489</v>
      </c>
      <c r="F186" t="s">
        <v>490</v>
      </c>
    </row>
    <row r="187" spans="1:6" x14ac:dyDescent="0.3">
      <c r="A187">
        <v>186</v>
      </c>
      <c r="B187" t="s">
        <v>25</v>
      </c>
      <c r="C187" t="s">
        <v>26</v>
      </c>
      <c r="D187" t="s">
        <v>8</v>
      </c>
      <c r="E187" t="s">
        <v>491</v>
      </c>
      <c r="F187" t="s">
        <v>492</v>
      </c>
    </row>
    <row r="188" spans="1:6" x14ac:dyDescent="0.3">
      <c r="A188">
        <v>187</v>
      </c>
      <c r="B188" t="s">
        <v>493</v>
      </c>
      <c r="C188" t="s">
        <v>26</v>
      </c>
      <c r="D188" t="s">
        <v>27</v>
      </c>
      <c r="E188" t="s">
        <v>453</v>
      </c>
      <c r="F188" t="s">
        <v>494</v>
      </c>
    </row>
    <row r="189" spans="1:6" x14ac:dyDescent="0.3">
      <c r="A189">
        <v>188</v>
      </c>
      <c r="B189" t="s">
        <v>371</v>
      </c>
      <c r="C189" t="s">
        <v>7</v>
      </c>
      <c r="D189" t="s">
        <v>72</v>
      </c>
      <c r="E189" t="s">
        <v>303</v>
      </c>
      <c r="F189" t="s">
        <v>495</v>
      </c>
    </row>
    <row r="190" spans="1:6" x14ac:dyDescent="0.3">
      <c r="A190">
        <v>189</v>
      </c>
      <c r="B190" t="s">
        <v>496</v>
      </c>
      <c r="C190" t="s">
        <v>26</v>
      </c>
      <c r="D190" t="s">
        <v>8</v>
      </c>
      <c r="E190" t="s">
        <v>497</v>
      </c>
      <c r="F190" t="s">
        <v>498</v>
      </c>
    </row>
    <row r="191" spans="1:6" x14ac:dyDescent="0.3">
      <c r="A191">
        <v>190</v>
      </c>
      <c r="B191" t="s">
        <v>431</v>
      </c>
      <c r="C191" t="s">
        <v>26</v>
      </c>
      <c r="D191" t="s">
        <v>12</v>
      </c>
      <c r="E191" t="s">
        <v>499</v>
      </c>
      <c r="F191" t="s">
        <v>500</v>
      </c>
    </row>
    <row r="192" spans="1:6" x14ac:dyDescent="0.3">
      <c r="A192">
        <v>191</v>
      </c>
      <c r="B192" t="s">
        <v>501</v>
      </c>
      <c r="C192" t="s">
        <v>26</v>
      </c>
      <c r="D192" t="s">
        <v>37</v>
      </c>
      <c r="E192" t="s">
        <v>502</v>
      </c>
      <c r="F192" t="s">
        <v>503</v>
      </c>
    </row>
    <row r="193" spans="1:6" x14ac:dyDescent="0.3">
      <c r="A193">
        <v>192</v>
      </c>
      <c r="B193" t="s">
        <v>462</v>
      </c>
      <c r="C193" t="s">
        <v>7</v>
      </c>
      <c r="D193" t="s">
        <v>37</v>
      </c>
      <c r="E193" t="s">
        <v>175</v>
      </c>
      <c r="F193" t="s">
        <v>504</v>
      </c>
    </row>
    <row r="194" spans="1:6" x14ac:dyDescent="0.3">
      <c r="A194">
        <v>193</v>
      </c>
      <c r="B194" t="s">
        <v>157</v>
      </c>
      <c r="C194" t="s">
        <v>7</v>
      </c>
      <c r="D194" t="s">
        <v>8</v>
      </c>
      <c r="E194" t="s">
        <v>505</v>
      </c>
      <c r="F194" t="s">
        <v>506</v>
      </c>
    </row>
    <row r="195" spans="1:6" x14ac:dyDescent="0.3">
      <c r="A195">
        <v>194</v>
      </c>
      <c r="B195" t="s">
        <v>221</v>
      </c>
      <c r="C195" t="s">
        <v>26</v>
      </c>
      <c r="D195" t="s">
        <v>37</v>
      </c>
      <c r="E195" t="s">
        <v>507</v>
      </c>
      <c r="F195" t="s">
        <v>508</v>
      </c>
    </row>
    <row r="196" spans="1:6" x14ac:dyDescent="0.3">
      <c r="A196">
        <v>195</v>
      </c>
      <c r="B196" t="s">
        <v>228</v>
      </c>
      <c r="C196" t="s">
        <v>26</v>
      </c>
      <c r="D196" t="s">
        <v>44</v>
      </c>
      <c r="E196" t="s">
        <v>509</v>
      </c>
      <c r="F196" t="s">
        <v>510</v>
      </c>
    </row>
    <row r="197" spans="1:6" x14ac:dyDescent="0.3">
      <c r="A197">
        <v>196</v>
      </c>
      <c r="B197" t="s">
        <v>511</v>
      </c>
      <c r="C197" t="s">
        <v>26</v>
      </c>
      <c r="D197" t="s">
        <v>22</v>
      </c>
      <c r="E197" t="s">
        <v>512</v>
      </c>
      <c r="F197" t="s">
        <v>513</v>
      </c>
    </row>
    <row r="198" spans="1:6" x14ac:dyDescent="0.3">
      <c r="A198">
        <v>197</v>
      </c>
      <c r="B198" t="s">
        <v>21</v>
      </c>
      <c r="C198" t="s">
        <v>7</v>
      </c>
      <c r="D198" t="s">
        <v>12</v>
      </c>
      <c r="E198" t="s">
        <v>514</v>
      </c>
      <c r="F198" t="s">
        <v>515</v>
      </c>
    </row>
    <row r="199" spans="1:6" x14ac:dyDescent="0.3">
      <c r="A199">
        <v>198</v>
      </c>
      <c r="B199" t="s">
        <v>40</v>
      </c>
      <c r="C199" t="s">
        <v>26</v>
      </c>
      <c r="D199" t="s">
        <v>12</v>
      </c>
      <c r="E199" t="s">
        <v>516</v>
      </c>
      <c r="F199" t="s">
        <v>517</v>
      </c>
    </row>
    <row r="200" spans="1:6" x14ac:dyDescent="0.3">
      <c r="A200">
        <v>199</v>
      </c>
      <c r="B200" t="s">
        <v>462</v>
      </c>
      <c r="C200" t="s">
        <v>7</v>
      </c>
      <c r="D200" t="s">
        <v>44</v>
      </c>
      <c r="E200" t="s">
        <v>460</v>
      </c>
      <c r="F200" t="s">
        <v>518</v>
      </c>
    </row>
    <row r="201" spans="1:6" x14ac:dyDescent="0.3">
      <c r="A201">
        <v>200</v>
      </c>
      <c r="B201" t="s">
        <v>519</v>
      </c>
      <c r="C201" t="s">
        <v>26</v>
      </c>
      <c r="D201" t="s">
        <v>27</v>
      </c>
      <c r="E201" t="s">
        <v>520</v>
      </c>
      <c r="F201" t="s">
        <v>521</v>
      </c>
    </row>
    <row r="202" spans="1:6" x14ac:dyDescent="0.3">
      <c r="A202">
        <v>201</v>
      </c>
      <c r="B202" t="s">
        <v>325</v>
      </c>
      <c r="C202" t="s">
        <v>7</v>
      </c>
      <c r="D202" t="s">
        <v>37</v>
      </c>
      <c r="E202" t="s">
        <v>522</v>
      </c>
      <c r="F202" t="s">
        <v>523</v>
      </c>
    </row>
    <row r="203" spans="1:6" x14ac:dyDescent="0.3">
      <c r="A203">
        <v>202</v>
      </c>
      <c r="B203" t="s">
        <v>180</v>
      </c>
      <c r="C203" t="s">
        <v>7</v>
      </c>
      <c r="D203" t="s">
        <v>22</v>
      </c>
      <c r="E203" t="s">
        <v>524</v>
      </c>
      <c r="F203" t="s">
        <v>525</v>
      </c>
    </row>
    <row r="204" spans="1:6" x14ac:dyDescent="0.3">
      <c r="A204">
        <v>203</v>
      </c>
      <c r="B204" t="s">
        <v>236</v>
      </c>
      <c r="C204" t="s">
        <v>26</v>
      </c>
      <c r="D204" t="s">
        <v>12</v>
      </c>
      <c r="E204" t="s">
        <v>526</v>
      </c>
      <c r="F204" t="s">
        <v>527</v>
      </c>
    </row>
    <row r="205" spans="1:6" x14ac:dyDescent="0.3">
      <c r="A205">
        <v>204</v>
      </c>
      <c r="B205" t="s">
        <v>25</v>
      </c>
      <c r="C205" t="s">
        <v>26</v>
      </c>
      <c r="D205" t="s">
        <v>72</v>
      </c>
      <c r="E205" t="s">
        <v>528</v>
      </c>
      <c r="F205" t="s">
        <v>529</v>
      </c>
    </row>
    <row r="206" spans="1:6" x14ac:dyDescent="0.3">
      <c r="A206">
        <v>205</v>
      </c>
      <c r="B206" t="s">
        <v>130</v>
      </c>
      <c r="C206" t="s">
        <v>7</v>
      </c>
      <c r="D206" t="s">
        <v>8</v>
      </c>
      <c r="E206" t="s">
        <v>530</v>
      </c>
      <c r="F206" t="s">
        <v>531</v>
      </c>
    </row>
    <row r="207" spans="1:6" x14ac:dyDescent="0.3">
      <c r="A207">
        <v>206</v>
      </c>
      <c r="B207" t="s">
        <v>488</v>
      </c>
      <c r="C207" t="s">
        <v>26</v>
      </c>
      <c r="D207" t="s">
        <v>22</v>
      </c>
      <c r="E207" t="s">
        <v>178</v>
      </c>
      <c r="F207" t="s">
        <v>532</v>
      </c>
    </row>
    <row r="208" spans="1:6" x14ac:dyDescent="0.3">
      <c r="A208">
        <v>207</v>
      </c>
      <c r="B208" t="s">
        <v>533</v>
      </c>
      <c r="C208" t="s">
        <v>26</v>
      </c>
      <c r="D208" t="s">
        <v>44</v>
      </c>
      <c r="E208" t="s">
        <v>534</v>
      </c>
      <c r="F208" t="s">
        <v>535</v>
      </c>
    </row>
    <row r="209" spans="1:6" x14ac:dyDescent="0.3">
      <c r="A209">
        <v>208</v>
      </c>
      <c r="B209" t="s">
        <v>258</v>
      </c>
      <c r="C209" t="s">
        <v>7</v>
      </c>
      <c r="D209" t="s">
        <v>37</v>
      </c>
      <c r="E209" t="s">
        <v>536</v>
      </c>
      <c r="F209" t="s">
        <v>537</v>
      </c>
    </row>
    <row r="210" spans="1:6" x14ac:dyDescent="0.3">
      <c r="A210">
        <v>209</v>
      </c>
      <c r="B210" t="s">
        <v>138</v>
      </c>
      <c r="C210" t="s">
        <v>7</v>
      </c>
      <c r="D210" t="s">
        <v>12</v>
      </c>
      <c r="E210" t="s">
        <v>538</v>
      </c>
      <c r="F210" t="s">
        <v>539</v>
      </c>
    </row>
    <row r="211" spans="1:6" x14ac:dyDescent="0.3">
      <c r="A211">
        <v>210</v>
      </c>
      <c r="B211" t="s">
        <v>115</v>
      </c>
      <c r="C211" t="s">
        <v>26</v>
      </c>
      <c r="D211" t="s">
        <v>72</v>
      </c>
      <c r="E211" t="s">
        <v>540</v>
      </c>
      <c r="F211" t="s">
        <v>541</v>
      </c>
    </row>
    <row r="212" spans="1:6" x14ac:dyDescent="0.3">
      <c r="A212">
        <v>211</v>
      </c>
      <c r="B212" t="s">
        <v>483</v>
      </c>
      <c r="C212" t="s">
        <v>26</v>
      </c>
      <c r="D212" t="s">
        <v>12</v>
      </c>
      <c r="E212" t="s">
        <v>542</v>
      </c>
      <c r="F212" t="s">
        <v>543</v>
      </c>
    </row>
    <row r="213" spans="1:6" x14ac:dyDescent="0.3">
      <c r="A213">
        <v>212</v>
      </c>
      <c r="B213" t="s">
        <v>436</v>
      </c>
      <c r="C213" t="s">
        <v>26</v>
      </c>
      <c r="D213" t="s">
        <v>22</v>
      </c>
      <c r="E213" t="s">
        <v>544</v>
      </c>
      <c r="F213" t="s">
        <v>545</v>
      </c>
    </row>
    <row r="214" spans="1:6" x14ac:dyDescent="0.3">
      <c r="A214">
        <v>213</v>
      </c>
      <c r="B214" t="s">
        <v>485</v>
      </c>
      <c r="C214" t="s">
        <v>26</v>
      </c>
      <c r="D214" t="s">
        <v>72</v>
      </c>
      <c r="E214" t="s">
        <v>546</v>
      </c>
      <c r="F214" t="s">
        <v>547</v>
      </c>
    </row>
    <row r="215" spans="1:6" x14ac:dyDescent="0.3">
      <c r="A215">
        <v>214</v>
      </c>
      <c r="B215" t="s">
        <v>548</v>
      </c>
      <c r="C215" t="s">
        <v>7</v>
      </c>
      <c r="D215" t="s">
        <v>37</v>
      </c>
      <c r="E215" t="s">
        <v>549</v>
      </c>
      <c r="F215" t="s">
        <v>550</v>
      </c>
    </row>
    <row r="216" spans="1:6" x14ac:dyDescent="0.3">
      <c r="A216">
        <v>215</v>
      </c>
      <c r="B216" t="s">
        <v>551</v>
      </c>
      <c r="C216" t="s">
        <v>26</v>
      </c>
      <c r="D216" t="s">
        <v>37</v>
      </c>
      <c r="E216" t="s">
        <v>552</v>
      </c>
      <c r="F216" t="s">
        <v>553</v>
      </c>
    </row>
    <row r="217" spans="1:6" x14ac:dyDescent="0.3">
      <c r="A217">
        <v>216</v>
      </c>
      <c r="B217" t="s">
        <v>554</v>
      </c>
      <c r="C217" t="s">
        <v>26</v>
      </c>
      <c r="D217" t="s">
        <v>44</v>
      </c>
      <c r="E217" t="s">
        <v>555</v>
      </c>
      <c r="F217" t="s">
        <v>556</v>
      </c>
    </row>
    <row r="218" spans="1:6" x14ac:dyDescent="0.3">
      <c r="A218">
        <v>217</v>
      </c>
      <c r="B218" t="s">
        <v>557</v>
      </c>
      <c r="C218" t="s">
        <v>7</v>
      </c>
      <c r="D218" t="s">
        <v>27</v>
      </c>
      <c r="E218" t="s">
        <v>558</v>
      </c>
      <c r="F218" t="s">
        <v>559</v>
      </c>
    </row>
    <row r="219" spans="1:6" x14ac:dyDescent="0.3">
      <c r="A219">
        <v>218</v>
      </c>
      <c r="B219" t="s">
        <v>560</v>
      </c>
      <c r="C219" t="s">
        <v>26</v>
      </c>
      <c r="D219" t="s">
        <v>12</v>
      </c>
      <c r="E219" t="s">
        <v>561</v>
      </c>
      <c r="F219" t="s">
        <v>562</v>
      </c>
    </row>
    <row r="220" spans="1:6" x14ac:dyDescent="0.3">
      <c r="A220">
        <v>219</v>
      </c>
      <c r="B220" t="s">
        <v>462</v>
      </c>
      <c r="C220" t="s">
        <v>7</v>
      </c>
      <c r="D220" t="s">
        <v>44</v>
      </c>
      <c r="E220" t="s">
        <v>281</v>
      </c>
      <c r="F220" t="s">
        <v>563</v>
      </c>
    </row>
    <row r="221" spans="1:6" x14ac:dyDescent="0.3">
      <c r="A221">
        <v>220</v>
      </c>
      <c r="B221" t="s">
        <v>245</v>
      </c>
      <c r="C221" t="s">
        <v>26</v>
      </c>
      <c r="D221" t="s">
        <v>27</v>
      </c>
      <c r="E221" t="s">
        <v>414</v>
      </c>
      <c r="F221" t="s">
        <v>564</v>
      </c>
    </row>
    <row r="222" spans="1:6" x14ac:dyDescent="0.3">
      <c r="A222">
        <v>221</v>
      </c>
      <c r="B222" t="s">
        <v>213</v>
      </c>
      <c r="C222" t="s">
        <v>7</v>
      </c>
      <c r="D222" t="s">
        <v>37</v>
      </c>
      <c r="E222" t="s">
        <v>565</v>
      </c>
      <c r="F222" t="s">
        <v>566</v>
      </c>
    </row>
    <row r="223" spans="1:6" x14ac:dyDescent="0.3">
      <c r="A223">
        <v>222</v>
      </c>
      <c r="B223" t="s">
        <v>68</v>
      </c>
      <c r="C223" t="s">
        <v>26</v>
      </c>
      <c r="D223" t="s">
        <v>37</v>
      </c>
      <c r="E223" t="s">
        <v>567</v>
      </c>
      <c r="F223" t="s">
        <v>568</v>
      </c>
    </row>
    <row r="224" spans="1:6" x14ac:dyDescent="0.3">
      <c r="A224">
        <v>223</v>
      </c>
      <c r="B224" t="s">
        <v>569</v>
      </c>
      <c r="C224" t="s">
        <v>7</v>
      </c>
      <c r="D224" t="s">
        <v>22</v>
      </c>
      <c r="E224" t="s">
        <v>570</v>
      </c>
      <c r="F224" t="s">
        <v>571</v>
      </c>
    </row>
    <row r="225" spans="1:6" x14ac:dyDescent="0.3">
      <c r="A225">
        <v>224</v>
      </c>
      <c r="B225" t="s">
        <v>289</v>
      </c>
      <c r="C225" t="s">
        <v>26</v>
      </c>
      <c r="D225" t="s">
        <v>37</v>
      </c>
      <c r="E225" t="s">
        <v>572</v>
      </c>
      <c r="F225" t="s">
        <v>573</v>
      </c>
    </row>
    <row r="226" spans="1:6" x14ac:dyDescent="0.3">
      <c r="A226">
        <v>225</v>
      </c>
      <c r="B226" t="s">
        <v>574</v>
      </c>
      <c r="C226" t="s">
        <v>26</v>
      </c>
      <c r="D226" t="s">
        <v>27</v>
      </c>
      <c r="E226" t="s">
        <v>575</v>
      </c>
      <c r="F226" t="s">
        <v>576</v>
      </c>
    </row>
    <row r="227" spans="1:6" x14ac:dyDescent="0.3">
      <c r="A227">
        <v>226</v>
      </c>
      <c r="B227" t="s">
        <v>577</v>
      </c>
      <c r="C227" t="s">
        <v>26</v>
      </c>
      <c r="D227" t="s">
        <v>72</v>
      </c>
      <c r="E227" t="s">
        <v>578</v>
      </c>
      <c r="F227" t="s">
        <v>579</v>
      </c>
    </row>
    <row r="228" spans="1:6" x14ac:dyDescent="0.3">
      <c r="A228">
        <v>227</v>
      </c>
      <c r="B228" t="s">
        <v>431</v>
      </c>
      <c r="C228" t="s">
        <v>26</v>
      </c>
      <c r="D228" t="s">
        <v>12</v>
      </c>
      <c r="E228" t="s">
        <v>546</v>
      </c>
      <c r="F228" t="s">
        <v>580</v>
      </c>
    </row>
    <row r="229" spans="1:6" x14ac:dyDescent="0.3">
      <c r="A229">
        <v>228</v>
      </c>
      <c r="B229" t="s">
        <v>581</v>
      </c>
      <c r="C229" t="s">
        <v>26</v>
      </c>
      <c r="D229" t="s">
        <v>27</v>
      </c>
      <c r="E229" t="s">
        <v>582</v>
      </c>
      <c r="F229" t="s">
        <v>583</v>
      </c>
    </row>
    <row r="230" spans="1:6" x14ac:dyDescent="0.3">
      <c r="A230">
        <v>229</v>
      </c>
      <c r="B230" t="s">
        <v>483</v>
      </c>
      <c r="C230" t="s">
        <v>26</v>
      </c>
      <c r="D230" t="s">
        <v>27</v>
      </c>
      <c r="E230" t="s">
        <v>79</v>
      </c>
      <c r="F230" t="s">
        <v>584</v>
      </c>
    </row>
    <row r="231" spans="1:6" x14ac:dyDescent="0.3">
      <c r="A231">
        <v>230</v>
      </c>
      <c r="B231" t="s">
        <v>585</v>
      </c>
      <c r="C231" t="s">
        <v>26</v>
      </c>
      <c r="D231" t="s">
        <v>27</v>
      </c>
      <c r="E231" t="s">
        <v>231</v>
      </c>
      <c r="F231" t="s">
        <v>586</v>
      </c>
    </row>
    <row r="232" spans="1:6" x14ac:dyDescent="0.3">
      <c r="A232">
        <v>231</v>
      </c>
      <c r="B232" t="s">
        <v>587</v>
      </c>
      <c r="C232" t="s">
        <v>7</v>
      </c>
      <c r="D232" t="s">
        <v>37</v>
      </c>
      <c r="E232" t="s">
        <v>588</v>
      </c>
      <c r="F232" t="s">
        <v>589</v>
      </c>
    </row>
    <row r="233" spans="1:6" x14ac:dyDescent="0.3">
      <c r="A233">
        <v>232</v>
      </c>
      <c r="B233" t="s">
        <v>590</v>
      </c>
      <c r="C233" t="s">
        <v>7</v>
      </c>
      <c r="D233" t="s">
        <v>44</v>
      </c>
      <c r="E233" t="s">
        <v>499</v>
      </c>
      <c r="F233" t="s">
        <v>591</v>
      </c>
    </row>
    <row r="234" spans="1:6" x14ac:dyDescent="0.3">
      <c r="A234">
        <v>233</v>
      </c>
      <c r="B234" t="s">
        <v>165</v>
      </c>
      <c r="C234" t="s">
        <v>7</v>
      </c>
      <c r="D234" t="s">
        <v>8</v>
      </c>
      <c r="E234" t="s">
        <v>592</v>
      </c>
      <c r="F234" t="s">
        <v>593</v>
      </c>
    </row>
    <row r="235" spans="1:6" x14ac:dyDescent="0.3">
      <c r="A235">
        <v>234</v>
      </c>
      <c r="B235" t="s">
        <v>47</v>
      </c>
      <c r="C235" t="s">
        <v>7</v>
      </c>
      <c r="D235" t="s">
        <v>27</v>
      </c>
      <c r="E235" t="s">
        <v>594</v>
      </c>
      <c r="F235" t="s">
        <v>595</v>
      </c>
    </row>
    <row r="236" spans="1:6" x14ac:dyDescent="0.3">
      <c r="A236">
        <v>235</v>
      </c>
      <c r="B236" t="s">
        <v>596</v>
      </c>
      <c r="C236" t="s">
        <v>26</v>
      </c>
      <c r="D236" t="s">
        <v>22</v>
      </c>
      <c r="E236" t="s">
        <v>597</v>
      </c>
      <c r="F236" t="s">
        <v>598</v>
      </c>
    </row>
    <row r="237" spans="1:6" x14ac:dyDescent="0.3">
      <c r="A237">
        <v>236</v>
      </c>
      <c r="B237" t="s">
        <v>426</v>
      </c>
      <c r="C237" t="s">
        <v>26</v>
      </c>
      <c r="D237" t="s">
        <v>27</v>
      </c>
      <c r="E237" t="s">
        <v>104</v>
      </c>
      <c r="F237" t="s">
        <v>599</v>
      </c>
    </row>
    <row r="238" spans="1:6" x14ac:dyDescent="0.3">
      <c r="A238">
        <v>237</v>
      </c>
      <c r="B238" t="s">
        <v>300</v>
      </c>
      <c r="C238" t="s">
        <v>7</v>
      </c>
      <c r="D238" t="s">
        <v>37</v>
      </c>
      <c r="E238" t="s">
        <v>231</v>
      </c>
      <c r="F238" t="s">
        <v>600</v>
      </c>
    </row>
    <row r="239" spans="1:6" x14ac:dyDescent="0.3">
      <c r="A239">
        <v>238</v>
      </c>
      <c r="B239" t="s">
        <v>106</v>
      </c>
      <c r="C239" t="s">
        <v>7</v>
      </c>
      <c r="D239" t="s">
        <v>72</v>
      </c>
      <c r="E239" t="s">
        <v>601</v>
      </c>
      <c r="F239" t="s">
        <v>602</v>
      </c>
    </row>
    <row r="240" spans="1:6" x14ac:dyDescent="0.3">
      <c r="A240">
        <v>239</v>
      </c>
      <c r="B240" t="s">
        <v>383</v>
      </c>
      <c r="C240" t="s">
        <v>7</v>
      </c>
      <c r="D240" t="s">
        <v>12</v>
      </c>
      <c r="E240" t="s">
        <v>237</v>
      </c>
      <c r="F240" t="s">
        <v>603</v>
      </c>
    </row>
    <row r="241" spans="1:6" x14ac:dyDescent="0.3">
      <c r="A241">
        <v>240</v>
      </c>
      <c r="B241" t="s">
        <v>313</v>
      </c>
      <c r="C241" t="s">
        <v>7</v>
      </c>
      <c r="D241" t="s">
        <v>44</v>
      </c>
      <c r="E241" t="s">
        <v>604</v>
      </c>
      <c r="F241" t="s">
        <v>605</v>
      </c>
    </row>
    <row r="242" spans="1:6" x14ac:dyDescent="0.3">
      <c r="A242">
        <v>241</v>
      </c>
      <c r="B242" t="s">
        <v>78</v>
      </c>
      <c r="C242" t="s">
        <v>26</v>
      </c>
      <c r="D242" t="s">
        <v>37</v>
      </c>
      <c r="E242" t="s">
        <v>606</v>
      </c>
      <c r="F242" t="s">
        <v>607</v>
      </c>
    </row>
    <row r="243" spans="1:6" x14ac:dyDescent="0.3">
      <c r="A243">
        <v>242</v>
      </c>
      <c r="B243" t="s">
        <v>608</v>
      </c>
      <c r="C243" t="s">
        <v>7</v>
      </c>
      <c r="D243" t="s">
        <v>37</v>
      </c>
      <c r="E243" t="s">
        <v>609</v>
      </c>
      <c r="F243" t="s">
        <v>610</v>
      </c>
    </row>
    <row r="244" spans="1:6" x14ac:dyDescent="0.3">
      <c r="A244">
        <v>243</v>
      </c>
      <c r="B244" t="s">
        <v>141</v>
      </c>
      <c r="C244" t="s">
        <v>26</v>
      </c>
      <c r="D244" t="s">
        <v>12</v>
      </c>
      <c r="E244" t="s">
        <v>611</v>
      </c>
      <c r="F244" t="s">
        <v>612</v>
      </c>
    </row>
    <row r="245" spans="1:6" x14ac:dyDescent="0.3">
      <c r="A245">
        <v>244</v>
      </c>
      <c r="B245" t="s">
        <v>613</v>
      </c>
      <c r="C245" t="s">
        <v>26</v>
      </c>
      <c r="D245" t="s">
        <v>72</v>
      </c>
      <c r="E245" t="s">
        <v>614</v>
      </c>
      <c r="F245" t="s">
        <v>615</v>
      </c>
    </row>
    <row r="246" spans="1:6" x14ac:dyDescent="0.3">
      <c r="A246">
        <v>245</v>
      </c>
      <c r="B246" t="s">
        <v>616</v>
      </c>
      <c r="C246" t="s">
        <v>7</v>
      </c>
      <c r="D246" t="s">
        <v>22</v>
      </c>
      <c r="E246" t="s">
        <v>113</v>
      </c>
      <c r="F246" t="s">
        <v>617</v>
      </c>
    </row>
    <row r="247" spans="1:6" x14ac:dyDescent="0.3">
      <c r="A247">
        <v>246</v>
      </c>
      <c r="B247" t="s">
        <v>618</v>
      </c>
      <c r="C247" t="s">
        <v>26</v>
      </c>
      <c r="D247" t="s">
        <v>44</v>
      </c>
      <c r="E247" t="s">
        <v>619</v>
      </c>
      <c r="F247" t="s">
        <v>620</v>
      </c>
    </row>
    <row r="248" spans="1:6" x14ac:dyDescent="0.3">
      <c r="A248">
        <v>247</v>
      </c>
      <c r="B248" t="s">
        <v>43</v>
      </c>
      <c r="C248" t="s">
        <v>26</v>
      </c>
      <c r="D248" t="s">
        <v>44</v>
      </c>
      <c r="E248" t="s">
        <v>477</v>
      </c>
      <c r="F248" t="s">
        <v>621</v>
      </c>
    </row>
    <row r="249" spans="1:6" x14ac:dyDescent="0.3">
      <c r="A249">
        <v>248</v>
      </c>
      <c r="B249" t="s">
        <v>221</v>
      </c>
      <c r="C249" t="s">
        <v>26</v>
      </c>
      <c r="D249" t="s">
        <v>44</v>
      </c>
      <c r="E249" t="s">
        <v>561</v>
      </c>
      <c r="F249" t="s">
        <v>622</v>
      </c>
    </row>
    <row r="250" spans="1:6" x14ac:dyDescent="0.3">
      <c r="A250">
        <v>249</v>
      </c>
      <c r="B250" t="s">
        <v>533</v>
      </c>
      <c r="C250" t="s">
        <v>26</v>
      </c>
      <c r="D250" t="s">
        <v>44</v>
      </c>
      <c r="E250" t="s">
        <v>623</v>
      </c>
      <c r="F250" t="s">
        <v>624</v>
      </c>
    </row>
    <row r="251" spans="1:6" x14ac:dyDescent="0.3">
      <c r="A251">
        <v>250</v>
      </c>
      <c r="B251" t="s">
        <v>479</v>
      </c>
      <c r="C251" t="s">
        <v>26</v>
      </c>
      <c r="D251" t="s">
        <v>37</v>
      </c>
      <c r="E251" t="s">
        <v>625</v>
      </c>
      <c r="F251" t="s">
        <v>626</v>
      </c>
    </row>
    <row r="252" spans="1:6" x14ac:dyDescent="0.3">
      <c r="A252">
        <v>251</v>
      </c>
      <c r="B252" t="s">
        <v>627</v>
      </c>
      <c r="C252" t="s">
        <v>7</v>
      </c>
      <c r="D252" t="s">
        <v>8</v>
      </c>
      <c r="E252" t="s">
        <v>628</v>
      </c>
      <c r="F252" t="s">
        <v>629</v>
      </c>
    </row>
    <row r="253" spans="1:6" x14ac:dyDescent="0.3">
      <c r="A253">
        <v>252</v>
      </c>
      <c r="B253" t="s">
        <v>630</v>
      </c>
      <c r="C253" t="s">
        <v>7</v>
      </c>
      <c r="D253" t="s">
        <v>12</v>
      </c>
      <c r="E253" t="s">
        <v>472</v>
      </c>
      <c r="F253" t="s">
        <v>631</v>
      </c>
    </row>
    <row r="254" spans="1:6" x14ac:dyDescent="0.3">
      <c r="A254">
        <v>253</v>
      </c>
      <c r="B254" t="s">
        <v>632</v>
      </c>
      <c r="C254" t="s">
        <v>7</v>
      </c>
      <c r="D254" t="s">
        <v>8</v>
      </c>
      <c r="E254" t="s">
        <v>633</v>
      </c>
      <c r="F254" t="s">
        <v>634</v>
      </c>
    </row>
    <row r="255" spans="1:6" x14ac:dyDescent="0.3">
      <c r="A255">
        <v>254</v>
      </c>
      <c r="B255" t="s">
        <v>635</v>
      </c>
      <c r="C255" t="s">
        <v>7</v>
      </c>
      <c r="D255" t="s">
        <v>72</v>
      </c>
      <c r="E255" t="s">
        <v>374</v>
      </c>
      <c r="F255" t="s">
        <v>636</v>
      </c>
    </row>
    <row r="256" spans="1:6" x14ac:dyDescent="0.3">
      <c r="A256">
        <v>255</v>
      </c>
      <c r="B256" t="s">
        <v>380</v>
      </c>
      <c r="C256" t="s">
        <v>7</v>
      </c>
      <c r="D256" t="s">
        <v>44</v>
      </c>
      <c r="E256" t="s">
        <v>637</v>
      </c>
      <c r="F256" t="s">
        <v>638</v>
      </c>
    </row>
    <row r="257" spans="1:6" x14ac:dyDescent="0.3">
      <c r="A257">
        <v>256</v>
      </c>
      <c r="B257" t="s">
        <v>124</v>
      </c>
      <c r="C257" t="s">
        <v>26</v>
      </c>
      <c r="D257" t="s">
        <v>12</v>
      </c>
      <c r="E257" t="s">
        <v>250</v>
      </c>
      <c r="F257" t="s">
        <v>639</v>
      </c>
    </row>
    <row r="258" spans="1:6" x14ac:dyDescent="0.3">
      <c r="A258">
        <v>257</v>
      </c>
      <c r="B258" t="s">
        <v>632</v>
      </c>
      <c r="C258" t="s">
        <v>7</v>
      </c>
      <c r="D258" t="s">
        <v>27</v>
      </c>
      <c r="E258" t="s">
        <v>640</v>
      </c>
      <c r="F258" t="s">
        <v>641</v>
      </c>
    </row>
    <row r="259" spans="1:6" x14ac:dyDescent="0.3">
      <c r="A259">
        <v>258</v>
      </c>
      <c r="B259" t="s">
        <v>141</v>
      </c>
      <c r="C259" t="s">
        <v>26</v>
      </c>
      <c r="D259" t="s">
        <v>27</v>
      </c>
      <c r="E259" t="s">
        <v>82</v>
      </c>
      <c r="F259" t="s">
        <v>642</v>
      </c>
    </row>
    <row r="260" spans="1:6" x14ac:dyDescent="0.3">
      <c r="A260">
        <v>259</v>
      </c>
      <c r="B260" t="s">
        <v>643</v>
      </c>
      <c r="C260" t="s">
        <v>7</v>
      </c>
      <c r="D260" t="s">
        <v>44</v>
      </c>
      <c r="E260" t="s">
        <v>644</v>
      </c>
      <c r="F260" t="s">
        <v>645</v>
      </c>
    </row>
    <row r="261" spans="1:6" x14ac:dyDescent="0.3">
      <c r="A261">
        <v>260</v>
      </c>
      <c r="B261" t="s">
        <v>11</v>
      </c>
      <c r="C261" t="s">
        <v>7</v>
      </c>
      <c r="D261" t="s">
        <v>22</v>
      </c>
      <c r="E261" t="s">
        <v>646</v>
      </c>
      <c r="F261" t="s">
        <v>647</v>
      </c>
    </row>
    <row r="262" spans="1:6" x14ac:dyDescent="0.3">
      <c r="A262">
        <v>261</v>
      </c>
      <c r="B262" t="s">
        <v>98</v>
      </c>
      <c r="C262" t="s">
        <v>26</v>
      </c>
      <c r="D262" t="s">
        <v>8</v>
      </c>
      <c r="E262" t="s">
        <v>648</v>
      </c>
      <c r="F262" t="s">
        <v>649</v>
      </c>
    </row>
    <row r="263" spans="1:6" x14ac:dyDescent="0.3">
      <c r="A263">
        <v>262</v>
      </c>
      <c r="B263" t="s">
        <v>650</v>
      </c>
      <c r="C263" t="s">
        <v>26</v>
      </c>
      <c r="D263" t="s">
        <v>27</v>
      </c>
      <c r="E263" t="s">
        <v>651</v>
      </c>
      <c r="F263" t="s">
        <v>652</v>
      </c>
    </row>
    <row r="264" spans="1:6" x14ac:dyDescent="0.3">
      <c r="A264">
        <v>263</v>
      </c>
      <c r="B264" t="s">
        <v>422</v>
      </c>
      <c r="C264" t="s">
        <v>26</v>
      </c>
      <c r="D264" t="s">
        <v>37</v>
      </c>
      <c r="E264" t="s">
        <v>442</v>
      </c>
      <c r="F264" t="s">
        <v>653</v>
      </c>
    </row>
    <row r="265" spans="1:6" x14ac:dyDescent="0.3">
      <c r="A265">
        <v>264</v>
      </c>
      <c r="B265" t="s">
        <v>431</v>
      </c>
      <c r="C265" t="s">
        <v>26</v>
      </c>
      <c r="D265" t="s">
        <v>72</v>
      </c>
      <c r="E265" t="s">
        <v>654</v>
      </c>
      <c r="F265" t="s">
        <v>655</v>
      </c>
    </row>
    <row r="266" spans="1:6" x14ac:dyDescent="0.3">
      <c r="A266">
        <v>265</v>
      </c>
      <c r="B266" t="s">
        <v>305</v>
      </c>
      <c r="C266" t="s">
        <v>26</v>
      </c>
      <c r="D266" t="s">
        <v>72</v>
      </c>
      <c r="E266" t="s">
        <v>429</v>
      </c>
      <c r="F266" t="s">
        <v>656</v>
      </c>
    </row>
    <row r="267" spans="1:6" x14ac:dyDescent="0.3">
      <c r="A267">
        <v>266</v>
      </c>
      <c r="B267" t="s">
        <v>466</v>
      </c>
      <c r="C267" t="s">
        <v>7</v>
      </c>
      <c r="D267" t="s">
        <v>22</v>
      </c>
      <c r="E267" t="s">
        <v>657</v>
      </c>
      <c r="F267" t="s">
        <v>658</v>
      </c>
    </row>
    <row r="268" spans="1:6" x14ac:dyDescent="0.3">
      <c r="A268">
        <v>267</v>
      </c>
      <c r="B268" t="s">
        <v>202</v>
      </c>
      <c r="C268" t="s">
        <v>26</v>
      </c>
      <c r="D268" t="s">
        <v>8</v>
      </c>
      <c r="E268" t="s">
        <v>222</v>
      </c>
      <c r="F268" t="s">
        <v>659</v>
      </c>
    </row>
    <row r="269" spans="1:6" x14ac:dyDescent="0.3">
      <c r="A269">
        <v>268</v>
      </c>
      <c r="B269" t="s">
        <v>65</v>
      </c>
      <c r="C269" t="s">
        <v>7</v>
      </c>
      <c r="D269" t="s">
        <v>27</v>
      </c>
      <c r="E269" t="s">
        <v>486</v>
      </c>
      <c r="F269" t="s">
        <v>660</v>
      </c>
    </row>
    <row r="270" spans="1:6" x14ac:dyDescent="0.3">
      <c r="A270">
        <v>269</v>
      </c>
      <c r="B270" t="s">
        <v>661</v>
      </c>
      <c r="C270" t="s">
        <v>7</v>
      </c>
      <c r="D270" t="s">
        <v>8</v>
      </c>
      <c r="E270" t="s">
        <v>662</v>
      </c>
      <c r="F270" t="s">
        <v>663</v>
      </c>
    </row>
    <row r="271" spans="1:6" x14ac:dyDescent="0.3">
      <c r="A271">
        <v>270</v>
      </c>
      <c r="B271" t="s">
        <v>84</v>
      </c>
      <c r="C271" t="s">
        <v>7</v>
      </c>
      <c r="D271" t="s">
        <v>8</v>
      </c>
      <c r="E271" t="s">
        <v>110</v>
      </c>
      <c r="F271" t="s">
        <v>664</v>
      </c>
    </row>
    <row r="272" spans="1:6" x14ac:dyDescent="0.3">
      <c r="A272">
        <v>271</v>
      </c>
      <c r="B272" t="s">
        <v>665</v>
      </c>
      <c r="C272" t="s">
        <v>7</v>
      </c>
      <c r="D272" t="s">
        <v>37</v>
      </c>
      <c r="E272" t="s">
        <v>427</v>
      </c>
      <c r="F272" t="s">
        <v>666</v>
      </c>
    </row>
    <row r="273" spans="1:6" x14ac:dyDescent="0.3">
      <c r="A273">
        <v>272</v>
      </c>
      <c r="B273" t="s">
        <v>130</v>
      </c>
      <c r="C273" t="s">
        <v>7</v>
      </c>
      <c r="D273" t="s">
        <v>37</v>
      </c>
      <c r="E273" t="s">
        <v>667</v>
      </c>
      <c r="F273" t="s">
        <v>668</v>
      </c>
    </row>
    <row r="274" spans="1:6" x14ac:dyDescent="0.3">
      <c r="A274">
        <v>273</v>
      </c>
      <c r="B274" t="s">
        <v>496</v>
      </c>
      <c r="C274" t="s">
        <v>26</v>
      </c>
      <c r="D274" t="s">
        <v>72</v>
      </c>
      <c r="E274" t="s">
        <v>669</v>
      </c>
      <c r="F274" t="s">
        <v>670</v>
      </c>
    </row>
    <row r="275" spans="1:6" x14ac:dyDescent="0.3">
      <c r="A275">
        <v>274</v>
      </c>
      <c r="B275" t="s">
        <v>84</v>
      </c>
      <c r="C275" t="s">
        <v>7</v>
      </c>
      <c r="D275" t="s">
        <v>8</v>
      </c>
      <c r="E275" t="s">
        <v>671</v>
      </c>
      <c r="F275" t="s">
        <v>672</v>
      </c>
    </row>
    <row r="276" spans="1:6" x14ac:dyDescent="0.3">
      <c r="A276">
        <v>275</v>
      </c>
      <c r="B276" t="s">
        <v>177</v>
      </c>
      <c r="C276" t="s">
        <v>26</v>
      </c>
      <c r="D276" t="s">
        <v>44</v>
      </c>
      <c r="E276" t="s">
        <v>673</v>
      </c>
      <c r="F276" t="s">
        <v>674</v>
      </c>
    </row>
    <row r="277" spans="1:6" x14ac:dyDescent="0.3">
      <c r="A277">
        <v>276</v>
      </c>
      <c r="B277" t="s">
        <v>407</v>
      </c>
      <c r="C277" t="s">
        <v>7</v>
      </c>
      <c r="D277" t="s">
        <v>37</v>
      </c>
      <c r="E277" t="s">
        <v>675</v>
      </c>
      <c r="F277" t="s">
        <v>676</v>
      </c>
    </row>
    <row r="278" spans="1:6" x14ac:dyDescent="0.3">
      <c r="A278">
        <v>277</v>
      </c>
      <c r="B278" t="s">
        <v>106</v>
      </c>
      <c r="C278" t="s">
        <v>7</v>
      </c>
      <c r="D278" t="s">
        <v>22</v>
      </c>
      <c r="E278" t="s">
        <v>229</v>
      </c>
      <c r="F278" t="s">
        <v>677</v>
      </c>
    </row>
    <row r="279" spans="1:6" x14ac:dyDescent="0.3">
      <c r="A279">
        <v>278</v>
      </c>
      <c r="B279" t="s">
        <v>174</v>
      </c>
      <c r="C279" t="s">
        <v>26</v>
      </c>
      <c r="D279" t="s">
        <v>72</v>
      </c>
      <c r="E279" t="s">
        <v>678</v>
      </c>
      <c r="F279" t="s">
        <v>679</v>
      </c>
    </row>
    <row r="280" spans="1:6" x14ac:dyDescent="0.3">
      <c r="A280">
        <v>279</v>
      </c>
      <c r="B280" t="s">
        <v>496</v>
      </c>
      <c r="C280" t="s">
        <v>26</v>
      </c>
      <c r="D280" t="s">
        <v>22</v>
      </c>
      <c r="E280" t="s">
        <v>31</v>
      </c>
      <c r="F280" t="s">
        <v>680</v>
      </c>
    </row>
    <row r="281" spans="1:6" x14ac:dyDescent="0.3">
      <c r="A281">
        <v>280</v>
      </c>
      <c r="B281" t="s">
        <v>681</v>
      </c>
      <c r="C281" t="s">
        <v>26</v>
      </c>
      <c r="D281" t="s">
        <v>22</v>
      </c>
      <c r="E281" t="s">
        <v>682</v>
      </c>
      <c r="F281" t="s">
        <v>683</v>
      </c>
    </row>
    <row r="282" spans="1:6" x14ac:dyDescent="0.3">
      <c r="A282">
        <v>281</v>
      </c>
      <c r="B282" t="s">
        <v>493</v>
      </c>
      <c r="C282" t="s">
        <v>26</v>
      </c>
      <c r="D282" t="s">
        <v>22</v>
      </c>
      <c r="E282" t="s">
        <v>684</v>
      </c>
      <c r="F282" t="s">
        <v>685</v>
      </c>
    </row>
    <row r="283" spans="1:6" x14ac:dyDescent="0.3">
      <c r="A283">
        <v>282</v>
      </c>
      <c r="B283" t="s">
        <v>65</v>
      </c>
      <c r="C283" t="s">
        <v>7</v>
      </c>
      <c r="D283" t="s">
        <v>72</v>
      </c>
      <c r="E283" t="s">
        <v>549</v>
      </c>
      <c r="F283" t="s">
        <v>686</v>
      </c>
    </row>
    <row r="284" spans="1:6" x14ac:dyDescent="0.3">
      <c r="A284">
        <v>283</v>
      </c>
      <c r="B284" t="s">
        <v>25</v>
      </c>
      <c r="C284" t="s">
        <v>26</v>
      </c>
      <c r="D284" t="s">
        <v>22</v>
      </c>
      <c r="E284" t="s">
        <v>360</v>
      </c>
      <c r="F284" t="s">
        <v>687</v>
      </c>
    </row>
    <row r="285" spans="1:6" x14ac:dyDescent="0.3">
      <c r="A285">
        <v>284</v>
      </c>
      <c r="B285" t="s">
        <v>59</v>
      </c>
      <c r="C285" t="s">
        <v>26</v>
      </c>
      <c r="D285" t="s">
        <v>8</v>
      </c>
      <c r="E285" t="s">
        <v>497</v>
      </c>
      <c r="F285" t="s">
        <v>688</v>
      </c>
    </row>
    <row r="286" spans="1:6" x14ac:dyDescent="0.3">
      <c r="A286">
        <v>285</v>
      </c>
      <c r="B286" t="s">
        <v>632</v>
      </c>
      <c r="C286" t="s">
        <v>7</v>
      </c>
      <c r="D286" t="s">
        <v>27</v>
      </c>
      <c r="E286" t="s">
        <v>689</v>
      </c>
      <c r="F286" t="s">
        <v>690</v>
      </c>
    </row>
    <row r="287" spans="1:6" x14ac:dyDescent="0.3">
      <c r="A287">
        <v>286</v>
      </c>
      <c r="B287" t="s">
        <v>380</v>
      </c>
      <c r="C287" t="s">
        <v>7</v>
      </c>
      <c r="D287" t="s">
        <v>12</v>
      </c>
      <c r="E287" t="s">
        <v>691</v>
      </c>
      <c r="F287" t="s">
        <v>692</v>
      </c>
    </row>
    <row r="288" spans="1:6" x14ac:dyDescent="0.3">
      <c r="A288">
        <v>287</v>
      </c>
      <c r="B288" t="s">
        <v>693</v>
      </c>
      <c r="C288" t="s">
        <v>7</v>
      </c>
      <c r="D288" t="s">
        <v>37</v>
      </c>
      <c r="E288" t="s">
        <v>694</v>
      </c>
      <c r="F288" t="s">
        <v>695</v>
      </c>
    </row>
    <row r="289" spans="1:6" x14ac:dyDescent="0.3">
      <c r="A289">
        <v>288</v>
      </c>
      <c r="B289" t="s">
        <v>115</v>
      </c>
      <c r="C289" t="s">
        <v>26</v>
      </c>
      <c r="D289" t="s">
        <v>12</v>
      </c>
      <c r="E289" t="s">
        <v>366</v>
      </c>
      <c r="F289" t="s">
        <v>696</v>
      </c>
    </row>
    <row r="290" spans="1:6" x14ac:dyDescent="0.3">
      <c r="A290">
        <v>289</v>
      </c>
      <c r="B290" t="s">
        <v>551</v>
      </c>
      <c r="C290" t="s">
        <v>26</v>
      </c>
      <c r="D290" t="s">
        <v>27</v>
      </c>
      <c r="E290" t="s">
        <v>697</v>
      </c>
      <c r="F290" t="s">
        <v>698</v>
      </c>
    </row>
    <row r="291" spans="1:6" x14ac:dyDescent="0.3">
      <c r="A291">
        <v>290</v>
      </c>
      <c r="B291" t="s">
        <v>389</v>
      </c>
      <c r="C291" t="s">
        <v>26</v>
      </c>
      <c r="D291" t="s">
        <v>44</v>
      </c>
      <c r="E291" t="s">
        <v>699</v>
      </c>
      <c r="F291" t="s">
        <v>700</v>
      </c>
    </row>
    <row r="292" spans="1:6" x14ac:dyDescent="0.3">
      <c r="A292">
        <v>291</v>
      </c>
      <c r="B292" t="s">
        <v>47</v>
      </c>
      <c r="C292" t="s">
        <v>7</v>
      </c>
      <c r="D292" t="s">
        <v>12</v>
      </c>
      <c r="E292" t="s">
        <v>701</v>
      </c>
      <c r="F292" t="s">
        <v>702</v>
      </c>
    </row>
    <row r="293" spans="1:6" x14ac:dyDescent="0.3">
      <c r="A293">
        <v>292</v>
      </c>
      <c r="B293" t="s">
        <v>455</v>
      </c>
      <c r="C293" t="s">
        <v>26</v>
      </c>
      <c r="D293" t="s">
        <v>8</v>
      </c>
      <c r="E293" t="s">
        <v>703</v>
      </c>
      <c r="F293" t="s">
        <v>704</v>
      </c>
    </row>
    <row r="294" spans="1:6" x14ac:dyDescent="0.3">
      <c r="A294">
        <v>293</v>
      </c>
      <c r="B294" t="s">
        <v>436</v>
      </c>
      <c r="C294" t="s">
        <v>26</v>
      </c>
      <c r="D294" t="s">
        <v>8</v>
      </c>
      <c r="E294" t="s">
        <v>705</v>
      </c>
      <c r="F294" t="s">
        <v>706</v>
      </c>
    </row>
    <row r="295" spans="1:6" x14ac:dyDescent="0.3">
      <c r="A295">
        <v>294</v>
      </c>
      <c r="B295" t="s">
        <v>431</v>
      </c>
      <c r="C295" t="s">
        <v>26</v>
      </c>
      <c r="D295" t="s">
        <v>44</v>
      </c>
      <c r="E295" t="s">
        <v>707</v>
      </c>
      <c r="F295" t="s">
        <v>708</v>
      </c>
    </row>
    <row r="296" spans="1:6" x14ac:dyDescent="0.3">
      <c r="A296">
        <v>295</v>
      </c>
      <c r="B296" t="s">
        <v>709</v>
      </c>
      <c r="C296" t="s">
        <v>26</v>
      </c>
      <c r="D296" t="s">
        <v>44</v>
      </c>
      <c r="E296" t="s">
        <v>710</v>
      </c>
      <c r="F296" t="s">
        <v>711</v>
      </c>
    </row>
    <row r="297" spans="1:6" x14ac:dyDescent="0.3">
      <c r="A297">
        <v>296</v>
      </c>
      <c r="B297" t="s">
        <v>322</v>
      </c>
      <c r="C297" t="s">
        <v>7</v>
      </c>
      <c r="D297" t="s">
        <v>72</v>
      </c>
      <c r="E297" t="s">
        <v>712</v>
      </c>
      <c r="F297" t="s">
        <v>713</v>
      </c>
    </row>
    <row r="298" spans="1:6" x14ac:dyDescent="0.3">
      <c r="A298">
        <v>297</v>
      </c>
      <c r="B298" t="s">
        <v>300</v>
      </c>
      <c r="C298" t="s">
        <v>7</v>
      </c>
      <c r="D298" t="s">
        <v>12</v>
      </c>
      <c r="E298" t="s">
        <v>714</v>
      </c>
      <c r="F298" t="s">
        <v>715</v>
      </c>
    </row>
    <row r="299" spans="1:6" x14ac:dyDescent="0.3">
      <c r="A299">
        <v>298</v>
      </c>
      <c r="B299" t="s">
        <v>716</v>
      </c>
      <c r="C299" t="s">
        <v>7</v>
      </c>
      <c r="D299" t="s">
        <v>37</v>
      </c>
      <c r="E299" t="s">
        <v>216</v>
      </c>
      <c r="F299" t="s">
        <v>717</v>
      </c>
    </row>
    <row r="300" spans="1:6" x14ac:dyDescent="0.3">
      <c r="A300">
        <v>299</v>
      </c>
      <c r="B300" t="s">
        <v>718</v>
      </c>
      <c r="C300" t="s">
        <v>26</v>
      </c>
      <c r="D300" t="s">
        <v>72</v>
      </c>
      <c r="E300" t="s">
        <v>719</v>
      </c>
      <c r="F300" t="s">
        <v>720</v>
      </c>
    </row>
    <row r="301" spans="1:6" x14ac:dyDescent="0.3">
      <c r="A301">
        <v>300</v>
      </c>
      <c r="B301" t="s">
        <v>616</v>
      </c>
      <c r="C301" t="s">
        <v>7</v>
      </c>
      <c r="D301" t="s">
        <v>27</v>
      </c>
      <c r="E301" t="s">
        <v>721</v>
      </c>
      <c r="F301" t="s">
        <v>722</v>
      </c>
    </row>
    <row r="302" spans="1:6" x14ac:dyDescent="0.3">
      <c r="A302">
        <v>301</v>
      </c>
      <c r="B302" t="s">
        <v>723</v>
      </c>
      <c r="C302" t="s">
        <v>26</v>
      </c>
      <c r="D302" t="s">
        <v>44</v>
      </c>
      <c r="E302" t="s">
        <v>453</v>
      </c>
      <c r="F302" t="s">
        <v>724</v>
      </c>
    </row>
    <row r="303" spans="1:6" x14ac:dyDescent="0.3">
      <c r="A303">
        <v>302</v>
      </c>
      <c r="B303" t="s">
        <v>396</v>
      </c>
      <c r="C303" t="s">
        <v>26</v>
      </c>
      <c r="D303" t="s">
        <v>72</v>
      </c>
      <c r="E303" t="s">
        <v>31</v>
      </c>
      <c r="F303" t="s">
        <v>725</v>
      </c>
    </row>
    <row r="304" spans="1:6" x14ac:dyDescent="0.3">
      <c r="A304">
        <v>303</v>
      </c>
      <c r="B304" t="s">
        <v>574</v>
      </c>
      <c r="C304" t="s">
        <v>26</v>
      </c>
      <c r="D304" t="s">
        <v>22</v>
      </c>
      <c r="E304" t="s">
        <v>372</v>
      </c>
      <c r="F304" t="s">
        <v>726</v>
      </c>
    </row>
    <row r="305" spans="1:6" x14ac:dyDescent="0.3">
      <c r="A305">
        <v>304</v>
      </c>
      <c r="B305" t="s">
        <v>202</v>
      </c>
      <c r="C305" t="s">
        <v>26</v>
      </c>
      <c r="D305" t="s">
        <v>8</v>
      </c>
      <c r="E305" t="s">
        <v>667</v>
      </c>
      <c r="F305" t="s">
        <v>727</v>
      </c>
    </row>
    <row r="306" spans="1:6" x14ac:dyDescent="0.3">
      <c r="A306">
        <v>305</v>
      </c>
      <c r="B306" t="s">
        <v>728</v>
      </c>
      <c r="C306" t="s">
        <v>7</v>
      </c>
      <c r="D306" t="s">
        <v>12</v>
      </c>
      <c r="E306" t="s">
        <v>729</v>
      </c>
      <c r="F306" t="s">
        <v>730</v>
      </c>
    </row>
    <row r="307" spans="1:6" x14ac:dyDescent="0.3">
      <c r="A307">
        <v>306</v>
      </c>
      <c r="B307" t="s">
        <v>383</v>
      </c>
      <c r="C307" t="s">
        <v>7</v>
      </c>
      <c r="D307" t="s">
        <v>8</v>
      </c>
      <c r="E307" t="s">
        <v>45</v>
      </c>
      <c r="F307" t="s">
        <v>731</v>
      </c>
    </row>
    <row r="308" spans="1:6" x14ac:dyDescent="0.3">
      <c r="A308">
        <v>307</v>
      </c>
      <c r="B308" t="s">
        <v>732</v>
      </c>
      <c r="C308" t="s">
        <v>26</v>
      </c>
      <c r="D308" t="s">
        <v>72</v>
      </c>
      <c r="E308" t="s">
        <v>733</v>
      </c>
      <c r="F308" t="s">
        <v>734</v>
      </c>
    </row>
    <row r="309" spans="1:6" x14ac:dyDescent="0.3">
      <c r="A309">
        <v>308</v>
      </c>
      <c r="B309" t="s">
        <v>511</v>
      </c>
      <c r="C309" t="s">
        <v>26</v>
      </c>
      <c r="D309" t="s">
        <v>27</v>
      </c>
      <c r="E309" t="s">
        <v>434</v>
      </c>
      <c r="F309" t="s">
        <v>735</v>
      </c>
    </row>
    <row r="310" spans="1:6" x14ac:dyDescent="0.3">
      <c r="A310">
        <v>309</v>
      </c>
      <c r="B310" t="s">
        <v>68</v>
      </c>
      <c r="C310" t="s">
        <v>26</v>
      </c>
      <c r="D310" t="s">
        <v>44</v>
      </c>
      <c r="E310" t="s">
        <v>456</v>
      </c>
      <c r="F310" t="s">
        <v>736</v>
      </c>
    </row>
    <row r="311" spans="1:6" x14ac:dyDescent="0.3">
      <c r="A311">
        <v>310</v>
      </c>
      <c r="B311" t="s">
        <v>455</v>
      </c>
      <c r="C311" t="s">
        <v>26</v>
      </c>
      <c r="D311" t="s">
        <v>37</v>
      </c>
      <c r="E311" t="s">
        <v>358</v>
      </c>
      <c r="F311" t="s">
        <v>737</v>
      </c>
    </row>
    <row r="312" spans="1:6" x14ac:dyDescent="0.3">
      <c r="A312">
        <v>311</v>
      </c>
      <c r="B312" t="s">
        <v>226</v>
      </c>
      <c r="C312" t="s">
        <v>26</v>
      </c>
      <c r="D312" t="s">
        <v>8</v>
      </c>
      <c r="E312" t="s">
        <v>738</v>
      </c>
      <c r="F312" t="s">
        <v>739</v>
      </c>
    </row>
    <row r="313" spans="1:6" x14ac:dyDescent="0.3">
      <c r="A313">
        <v>312</v>
      </c>
      <c r="B313" t="s">
        <v>551</v>
      </c>
      <c r="C313" t="s">
        <v>26</v>
      </c>
      <c r="D313" t="s">
        <v>27</v>
      </c>
      <c r="E313" t="s">
        <v>740</v>
      </c>
      <c r="F313" t="s">
        <v>741</v>
      </c>
    </row>
    <row r="314" spans="1:6" x14ac:dyDescent="0.3">
      <c r="A314">
        <v>313</v>
      </c>
      <c r="B314" t="s">
        <v>152</v>
      </c>
      <c r="C314" t="s">
        <v>7</v>
      </c>
      <c r="D314" t="s">
        <v>27</v>
      </c>
      <c r="E314" t="s">
        <v>742</v>
      </c>
      <c r="F314" t="s">
        <v>743</v>
      </c>
    </row>
    <row r="315" spans="1:6" x14ac:dyDescent="0.3">
      <c r="A315">
        <v>314</v>
      </c>
      <c r="B315" t="s">
        <v>744</v>
      </c>
      <c r="C315" t="s">
        <v>7</v>
      </c>
      <c r="D315" t="s">
        <v>37</v>
      </c>
      <c r="E315" t="s">
        <v>745</v>
      </c>
      <c r="F315" t="s">
        <v>746</v>
      </c>
    </row>
    <row r="316" spans="1:6" x14ac:dyDescent="0.3">
      <c r="A316">
        <v>315</v>
      </c>
      <c r="B316" t="s">
        <v>747</v>
      </c>
      <c r="C316" t="s">
        <v>26</v>
      </c>
      <c r="D316" t="s">
        <v>72</v>
      </c>
      <c r="E316" t="s">
        <v>748</v>
      </c>
      <c r="F316" t="s">
        <v>749</v>
      </c>
    </row>
    <row r="317" spans="1:6" x14ac:dyDescent="0.3">
      <c r="A317">
        <v>316</v>
      </c>
      <c r="B317" t="s">
        <v>747</v>
      </c>
      <c r="C317" t="s">
        <v>26</v>
      </c>
      <c r="D317" t="s">
        <v>27</v>
      </c>
      <c r="E317" t="s">
        <v>229</v>
      </c>
      <c r="F317" t="s">
        <v>750</v>
      </c>
    </row>
    <row r="318" spans="1:6" x14ac:dyDescent="0.3">
      <c r="A318">
        <v>317</v>
      </c>
      <c r="B318" t="s">
        <v>751</v>
      </c>
      <c r="C318" t="s">
        <v>26</v>
      </c>
      <c r="D318" t="s">
        <v>37</v>
      </c>
      <c r="E318" t="s">
        <v>752</v>
      </c>
      <c r="F318" t="s">
        <v>753</v>
      </c>
    </row>
    <row r="319" spans="1:6" x14ac:dyDescent="0.3">
      <c r="A319">
        <v>318</v>
      </c>
      <c r="B319" t="s">
        <v>754</v>
      </c>
      <c r="C319" t="s">
        <v>7</v>
      </c>
      <c r="D319" t="s">
        <v>22</v>
      </c>
      <c r="E319" t="s">
        <v>755</v>
      </c>
      <c r="F319" t="s">
        <v>756</v>
      </c>
    </row>
    <row r="320" spans="1:6" x14ac:dyDescent="0.3">
      <c r="A320">
        <v>319</v>
      </c>
      <c r="B320" t="s">
        <v>365</v>
      </c>
      <c r="C320" t="s">
        <v>26</v>
      </c>
      <c r="D320" t="s">
        <v>22</v>
      </c>
      <c r="E320" t="s">
        <v>757</v>
      </c>
      <c r="F320" t="s">
        <v>758</v>
      </c>
    </row>
    <row r="321" spans="1:6" x14ac:dyDescent="0.3">
      <c r="A321">
        <v>320</v>
      </c>
      <c r="B321" t="s">
        <v>474</v>
      </c>
      <c r="C321" t="s">
        <v>26</v>
      </c>
      <c r="D321" t="s">
        <v>44</v>
      </c>
      <c r="E321" t="s">
        <v>759</v>
      </c>
      <c r="F321" t="s">
        <v>760</v>
      </c>
    </row>
    <row r="322" spans="1:6" x14ac:dyDescent="0.3">
      <c r="A322">
        <v>321</v>
      </c>
      <c r="B322" t="s">
        <v>210</v>
      </c>
      <c r="C322" t="s">
        <v>26</v>
      </c>
      <c r="D322" t="s">
        <v>37</v>
      </c>
      <c r="E322" t="s">
        <v>761</v>
      </c>
      <c r="F322" t="s">
        <v>762</v>
      </c>
    </row>
    <row r="323" spans="1:6" x14ac:dyDescent="0.3">
      <c r="A323">
        <v>322</v>
      </c>
      <c r="B323" t="s">
        <v>68</v>
      </c>
      <c r="C323" t="s">
        <v>26</v>
      </c>
      <c r="D323" t="s">
        <v>37</v>
      </c>
      <c r="E323" t="s">
        <v>763</v>
      </c>
      <c r="F323" t="s">
        <v>764</v>
      </c>
    </row>
    <row r="324" spans="1:6" x14ac:dyDescent="0.3">
      <c r="A324">
        <v>323</v>
      </c>
      <c r="B324" t="s">
        <v>596</v>
      </c>
      <c r="C324" t="s">
        <v>26</v>
      </c>
      <c r="D324" t="s">
        <v>37</v>
      </c>
      <c r="E324" t="s">
        <v>765</v>
      </c>
      <c r="F324" t="s">
        <v>766</v>
      </c>
    </row>
    <row r="325" spans="1:6" x14ac:dyDescent="0.3">
      <c r="A325">
        <v>324</v>
      </c>
      <c r="B325" t="s">
        <v>493</v>
      </c>
      <c r="C325" t="s">
        <v>26</v>
      </c>
      <c r="D325" t="s">
        <v>22</v>
      </c>
      <c r="E325" t="s">
        <v>662</v>
      </c>
      <c r="F325" t="s">
        <v>767</v>
      </c>
    </row>
    <row r="326" spans="1:6" x14ac:dyDescent="0.3">
      <c r="A326">
        <v>325</v>
      </c>
      <c r="B326" t="s">
        <v>396</v>
      </c>
      <c r="C326" t="s">
        <v>26</v>
      </c>
      <c r="D326" t="s">
        <v>37</v>
      </c>
      <c r="E326" t="s">
        <v>768</v>
      </c>
      <c r="F326" t="s">
        <v>769</v>
      </c>
    </row>
    <row r="327" spans="1:6" x14ac:dyDescent="0.3">
      <c r="A327">
        <v>326</v>
      </c>
      <c r="B327" t="s">
        <v>98</v>
      </c>
      <c r="C327" t="s">
        <v>26</v>
      </c>
      <c r="D327" t="s">
        <v>27</v>
      </c>
      <c r="E327" t="s">
        <v>770</v>
      </c>
      <c r="F327" t="s">
        <v>771</v>
      </c>
    </row>
    <row r="328" spans="1:6" x14ac:dyDescent="0.3">
      <c r="A328">
        <v>327</v>
      </c>
      <c r="B328" t="s">
        <v>632</v>
      </c>
      <c r="C328" t="s">
        <v>7</v>
      </c>
      <c r="D328" t="s">
        <v>22</v>
      </c>
      <c r="E328" t="s">
        <v>190</v>
      </c>
      <c r="F328" t="s">
        <v>772</v>
      </c>
    </row>
    <row r="329" spans="1:6" x14ac:dyDescent="0.3">
      <c r="A329">
        <v>328</v>
      </c>
      <c r="B329" t="s">
        <v>33</v>
      </c>
      <c r="C329" t="s">
        <v>26</v>
      </c>
      <c r="D329" t="s">
        <v>12</v>
      </c>
      <c r="E329" t="s">
        <v>773</v>
      </c>
      <c r="F329" t="s">
        <v>774</v>
      </c>
    </row>
    <row r="330" spans="1:6" x14ac:dyDescent="0.3">
      <c r="A330">
        <v>329</v>
      </c>
      <c r="B330" t="s">
        <v>751</v>
      </c>
      <c r="C330" t="s">
        <v>26</v>
      </c>
      <c r="D330" t="s">
        <v>22</v>
      </c>
      <c r="E330" t="s">
        <v>775</v>
      </c>
      <c r="F330" t="s">
        <v>776</v>
      </c>
    </row>
    <row r="331" spans="1:6" x14ac:dyDescent="0.3">
      <c r="A331">
        <v>330</v>
      </c>
      <c r="B331" t="s">
        <v>777</v>
      </c>
      <c r="C331" t="s">
        <v>26</v>
      </c>
      <c r="D331" t="s">
        <v>72</v>
      </c>
      <c r="E331" t="s">
        <v>778</v>
      </c>
      <c r="F331" t="s">
        <v>779</v>
      </c>
    </row>
    <row r="332" spans="1:6" x14ac:dyDescent="0.3">
      <c r="A332">
        <v>331</v>
      </c>
      <c r="B332" t="s">
        <v>357</v>
      </c>
      <c r="C332" t="s">
        <v>26</v>
      </c>
      <c r="D332" t="s">
        <v>12</v>
      </c>
      <c r="E332" t="s">
        <v>780</v>
      </c>
      <c r="F332" t="s">
        <v>781</v>
      </c>
    </row>
    <row r="333" spans="1:6" x14ac:dyDescent="0.3">
      <c r="A333">
        <v>332</v>
      </c>
      <c r="B333" t="s">
        <v>723</v>
      </c>
      <c r="C333" t="s">
        <v>26</v>
      </c>
      <c r="D333" t="s">
        <v>44</v>
      </c>
      <c r="E333" t="s">
        <v>782</v>
      </c>
      <c r="F333" t="s">
        <v>783</v>
      </c>
    </row>
    <row r="334" spans="1:6" x14ac:dyDescent="0.3">
      <c r="A334">
        <v>333</v>
      </c>
      <c r="B334" t="s">
        <v>784</v>
      </c>
      <c r="C334" t="s">
        <v>7</v>
      </c>
      <c r="D334" t="s">
        <v>44</v>
      </c>
      <c r="E334" t="s">
        <v>785</v>
      </c>
      <c r="F334" t="s">
        <v>786</v>
      </c>
    </row>
    <row r="335" spans="1:6" x14ac:dyDescent="0.3">
      <c r="A335">
        <v>334</v>
      </c>
      <c r="B335" t="s">
        <v>115</v>
      </c>
      <c r="C335" t="s">
        <v>26</v>
      </c>
      <c r="D335" t="s">
        <v>8</v>
      </c>
      <c r="E335" t="s">
        <v>787</v>
      </c>
      <c r="F335" t="s">
        <v>788</v>
      </c>
    </row>
    <row r="336" spans="1:6" x14ac:dyDescent="0.3">
      <c r="A336">
        <v>335</v>
      </c>
      <c r="B336" t="s">
        <v>789</v>
      </c>
      <c r="C336" t="s">
        <v>26</v>
      </c>
      <c r="D336" t="s">
        <v>27</v>
      </c>
      <c r="E336" t="s">
        <v>790</v>
      </c>
      <c r="F336" t="s">
        <v>791</v>
      </c>
    </row>
    <row r="337" spans="1:6" x14ac:dyDescent="0.3">
      <c r="A337">
        <v>336</v>
      </c>
      <c r="B337" t="s">
        <v>665</v>
      </c>
      <c r="C337" t="s">
        <v>7</v>
      </c>
      <c r="D337" t="s">
        <v>44</v>
      </c>
      <c r="E337" t="s">
        <v>792</v>
      </c>
      <c r="F337" t="s">
        <v>793</v>
      </c>
    </row>
    <row r="338" spans="1:6" x14ac:dyDescent="0.3">
      <c r="A338">
        <v>337</v>
      </c>
      <c r="B338" t="s">
        <v>177</v>
      </c>
      <c r="C338" t="s">
        <v>26</v>
      </c>
      <c r="D338" t="s">
        <v>12</v>
      </c>
      <c r="E338" t="s">
        <v>794</v>
      </c>
      <c r="F338" t="s">
        <v>795</v>
      </c>
    </row>
    <row r="339" spans="1:6" x14ac:dyDescent="0.3">
      <c r="A339">
        <v>338</v>
      </c>
      <c r="B339" t="s">
        <v>365</v>
      </c>
      <c r="C339" t="s">
        <v>26</v>
      </c>
      <c r="D339" t="s">
        <v>8</v>
      </c>
      <c r="E339" t="s">
        <v>796</v>
      </c>
      <c r="F339" t="s">
        <v>797</v>
      </c>
    </row>
    <row r="340" spans="1:6" x14ac:dyDescent="0.3">
      <c r="A340">
        <v>339</v>
      </c>
      <c r="B340" t="s">
        <v>270</v>
      </c>
      <c r="C340" t="s">
        <v>26</v>
      </c>
      <c r="D340" t="s">
        <v>72</v>
      </c>
      <c r="E340" t="s">
        <v>798</v>
      </c>
      <c r="F340" t="s">
        <v>799</v>
      </c>
    </row>
    <row r="341" spans="1:6" x14ac:dyDescent="0.3">
      <c r="A341">
        <v>340</v>
      </c>
      <c r="B341" t="s">
        <v>333</v>
      </c>
      <c r="C341" t="s">
        <v>26</v>
      </c>
      <c r="D341" t="s">
        <v>22</v>
      </c>
      <c r="E341" t="s">
        <v>800</v>
      </c>
      <c r="F341" t="s">
        <v>801</v>
      </c>
    </row>
    <row r="342" spans="1:6" x14ac:dyDescent="0.3">
      <c r="A342">
        <v>341</v>
      </c>
      <c r="B342" t="s">
        <v>43</v>
      </c>
      <c r="C342" t="s">
        <v>26</v>
      </c>
      <c r="D342" t="s">
        <v>44</v>
      </c>
      <c r="E342" t="s">
        <v>802</v>
      </c>
      <c r="F342" t="s">
        <v>803</v>
      </c>
    </row>
    <row r="343" spans="1:6" x14ac:dyDescent="0.3">
      <c r="A343">
        <v>342</v>
      </c>
      <c r="B343" t="s">
        <v>474</v>
      </c>
      <c r="C343" t="s">
        <v>26</v>
      </c>
      <c r="D343" t="s">
        <v>37</v>
      </c>
      <c r="E343" t="s">
        <v>804</v>
      </c>
      <c r="F343" t="s">
        <v>805</v>
      </c>
    </row>
    <row r="344" spans="1:6" x14ac:dyDescent="0.3">
      <c r="A344">
        <v>343</v>
      </c>
      <c r="B344" t="s">
        <v>450</v>
      </c>
      <c r="C344" t="s">
        <v>26</v>
      </c>
      <c r="D344" t="s">
        <v>44</v>
      </c>
      <c r="E344" t="s">
        <v>673</v>
      </c>
      <c r="F344" t="s">
        <v>806</v>
      </c>
    </row>
    <row r="345" spans="1:6" x14ac:dyDescent="0.3">
      <c r="A345">
        <v>344</v>
      </c>
      <c r="B345" t="s">
        <v>68</v>
      </c>
      <c r="C345" t="s">
        <v>26</v>
      </c>
      <c r="D345" t="s">
        <v>8</v>
      </c>
      <c r="E345" t="s">
        <v>807</v>
      </c>
      <c r="F345" t="s">
        <v>808</v>
      </c>
    </row>
    <row r="346" spans="1:6" x14ac:dyDescent="0.3">
      <c r="A346">
        <v>345</v>
      </c>
      <c r="B346" t="s">
        <v>199</v>
      </c>
      <c r="C346" t="s">
        <v>7</v>
      </c>
      <c r="D346" t="s">
        <v>44</v>
      </c>
      <c r="E346" t="s">
        <v>243</v>
      </c>
      <c r="F346" t="s">
        <v>809</v>
      </c>
    </row>
    <row r="347" spans="1:6" x14ac:dyDescent="0.3">
      <c r="A347">
        <v>346</v>
      </c>
      <c r="B347" t="s">
        <v>103</v>
      </c>
      <c r="C347" t="s">
        <v>7</v>
      </c>
      <c r="D347" t="s">
        <v>27</v>
      </c>
      <c r="E347" t="s">
        <v>259</v>
      </c>
      <c r="F347" t="s">
        <v>810</v>
      </c>
    </row>
    <row r="348" spans="1:6" x14ac:dyDescent="0.3">
      <c r="A348">
        <v>347</v>
      </c>
      <c r="B348" t="s">
        <v>239</v>
      </c>
      <c r="C348" t="s">
        <v>7</v>
      </c>
      <c r="D348" t="s">
        <v>12</v>
      </c>
      <c r="E348" t="s">
        <v>811</v>
      </c>
      <c r="F348" t="s">
        <v>812</v>
      </c>
    </row>
    <row r="349" spans="1:6" x14ac:dyDescent="0.3">
      <c r="A349">
        <v>348</v>
      </c>
      <c r="B349" t="s">
        <v>124</v>
      </c>
      <c r="C349" t="s">
        <v>26</v>
      </c>
      <c r="D349" t="s">
        <v>72</v>
      </c>
      <c r="E349" t="s">
        <v>804</v>
      </c>
      <c r="F349" t="s">
        <v>813</v>
      </c>
    </row>
    <row r="350" spans="1:6" x14ac:dyDescent="0.3">
      <c r="A350">
        <v>349</v>
      </c>
      <c r="B350" t="s">
        <v>144</v>
      </c>
      <c r="C350" t="s">
        <v>7</v>
      </c>
      <c r="D350" t="s">
        <v>8</v>
      </c>
      <c r="E350" t="s">
        <v>814</v>
      </c>
      <c r="F350" t="s">
        <v>815</v>
      </c>
    </row>
    <row r="351" spans="1:6" x14ac:dyDescent="0.3">
      <c r="A351">
        <v>350</v>
      </c>
      <c r="B351" t="s">
        <v>21</v>
      </c>
      <c r="C351" t="s">
        <v>7</v>
      </c>
      <c r="D351" t="s">
        <v>72</v>
      </c>
      <c r="E351" t="s">
        <v>306</v>
      </c>
      <c r="F351" t="s">
        <v>816</v>
      </c>
    </row>
    <row r="352" spans="1:6" x14ac:dyDescent="0.3">
      <c r="A352">
        <v>351</v>
      </c>
      <c r="B352" t="s">
        <v>474</v>
      </c>
      <c r="C352" t="s">
        <v>26</v>
      </c>
      <c r="D352" t="s">
        <v>37</v>
      </c>
      <c r="E352" t="s">
        <v>451</v>
      </c>
      <c r="F352" t="s">
        <v>817</v>
      </c>
    </row>
    <row r="353" spans="1:6" x14ac:dyDescent="0.3">
      <c r="A353">
        <v>352</v>
      </c>
      <c r="B353" t="s">
        <v>818</v>
      </c>
      <c r="C353" t="s">
        <v>7</v>
      </c>
      <c r="D353" t="s">
        <v>27</v>
      </c>
      <c r="E353" t="s">
        <v>73</v>
      </c>
      <c r="F353" t="s">
        <v>819</v>
      </c>
    </row>
    <row r="354" spans="1:6" x14ac:dyDescent="0.3">
      <c r="A354">
        <v>353</v>
      </c>
      <c r="B354" t="s">
        <v>723</v>
      </c>
      <c r="C354" t="s">
        <v>26</v>
      </c>
      <c r="D354" t="s">
        <v>27</v>
      </c>
      <c r="E354" t="s">
        <v>820</v>
      </c>
      <c r="F354" t="s">
        <v>821</v>
      </c>
    </row>
    <row r="355" spans="1:6" x14ac:dyDescent="0.3">
      <c r="A355">
        <v>354</v>
      </c>
      <c r="B355" t="s">
        <v>177</v>
      </c>
      <c r="C355" t="s">
        <v>26</v>
      </c>
      <c r="D355" t="s">
        <v>44</v>
      </c>
      <c r="E355" t="s">
        <v>822</v>
      </c>
      <c r="F355" t="s">
        <v>823</v>
      </c>
    </row>
    <row r="356" spans="1:6" x14ac:dyDescent="0.3">
      <c r="A356">
        <v>355</v>
      </c>
      <c r="B356" t="s">
        <v>818</v>
      </c>
      <c r="C356" t="s">
        <v>7</v>
      </c>
      <c r="D356" t="s">
        <v>12</v>
      </c>
      <c r="E356" t="s">
        <v>432</v>
      </c>
      <c r="F356" t="s">
        <v>824</v>
      </c>
    </row>
    <row r="357" spans="1:6" x14ac:dyDescent="0.3">
      <c r="A357">
        <v>356</v>
      </c>
      <c r="B357" t="s">
        <v>264</v>
      </c>
      <c r="C357" t="s">
        <v>7</v>
      </c>
      <c r="D357" t="s">
        <v>72</v>
      </c>
      <c r="E357" t="s">
        <v>178</v>
      </c>
      <c r="F357" t="s">
        <v>825</v>
      </c>
    </row>
    <row r="358" spans="1:6" x14ac:dyDescent="0.3">
      <c r="A358">
        <v>357</v>
      </c>
      <c r="B358" t="s">
        <v>371</v>
      </c>
      <c r="C358" t="s">
        <v>7</v>
      </c>
      <c r="D358" t="s">
        <v>8</v>
      </c>
      <c r="E358" t="s">
        <v>122</v>
      </c>
      <c r="F358" t="s">
        <v>826</v>
      </c>
    </row>
    <row r="359" spans="1:6" x14ac:dyDescent="0.3">
      <c r="A359">
        <v>358</v>
      </c>
      <c r="B359" t="s">
        <v>6</v>
      </c>
      <c r="C359" t="s">
        <v>7</v>
      </c>
      <c r="D359" t="s">
        <v>27</v>
      </c>
      <c r="E359" t="s">
        <v>827</v>
      </c>
      <c r="F359" t="s">
        <v>828</v>
      </c>
    </row>
    <row r="360" spans="1:6" x14ac:dyDescent="0.3">
      <c r="A360">
        <v>359</v>
      </c>
      <c r="B360" t="s">
        <v>357</v>
      </c>
      <c r="C360" t="s">
        <v>26</v>
      </c>
      <c r="D360" t="s">
        <v>44</v>
      </c>
      <c r="E360" t="s">
        <v>829</v>
      </c>
      <c r="F360" t="s">
        <v>830</v>
      </c>
    </row>
    <row r="361" spans="1:6" x14ac:dyDescent="0.3">
      <c r="A361">
        <v>360</v>
      </c>
      <c r="B361" t="s">
        <v>87</v>
      </c>
      <c r="C361" t="s">
        <v>26</v>
      </c>
      <c r="D361" t="s">
        <v>44</v>
      </c>
      <c r="E361" t="s">
        <v>831</v>
      </c>
      <c r="F361" t="s">
        <v>832</v>
      </c>
    </row>
    <row r="362" spans="1:6" x14ac:dyDescent="0.3">
      <c r="A362">
        <v>361</v>
      </c>
      <c r="B362" t="s">
        <v>833</v>
      </c>
      <c r="C362" t="s">
        <v>7</v>
      </c>
      <c r="D362" t="s">
        <v>44</v>
      </c>
      <c r="E362" t="s">
        <v>834</v>
      </c>
      <c r="F362" t="s">
        <v>835</v>
      </c>
    </row>
    <row r="363" spans="1:6" x14ac:dyDescent="0.3">
      <c r="A363">
        <v>362</v>
      </c>
      <c r="B363" t="s">
        <v>560</v>
      </c>
      <c r="C363" t="s">
        <v>26</v>
      </c>
      <c r="D363" t="s">
        <v>8</v>
      </c>
      <c r="E363" t="s">
        <v>836</v>
      </c>
      <c r="F363" t="s">
        <v>837</v>
      </c>
    </row>
    <row r="364" spans="1:6" x14ac:dyDescent="0.3">
      <c r="A364">
        <v>363</v>
      </c>
      <c r="B364" t="s">
        <v>313</v>
      </c>
      <c r="C364" t="s">
        <v>7</v>
      </c>
      <c r="D364" t="s">
        <v>22</v>
      </c>
      <c r="E364" t="s">
        <v>838</v>
      </c>
      <c r="F364" t="s">
        <v>839</v>
      </c>
    </row>
    <row r="365" spans="1:6" x14ac:dyDescent="0.3">
      <c r="A365">
        <v>364</v>
      </c>
      <c r="B365" t="s">
        <v>840</v>
      </c>
      <c r="C365" t="s">
        <v>26</v>
      </c>
      <c r="D365" t="s">
        <v>72</v>
      </c>
      <c r="E365" t="s">
        <v>609</v>
      </c>
      <c r="F365" t="s">
        <v>841</v>
      </c>
    </row>
    <row r="366" spans="1:6" x14ac:dyDescent="0.3">
      <c r="A366">
        <v>365</v>
      </c>
      <c r="B366" t="s">
        <v>62</v>
      </c>
      <c r="C366" t="s">
        <v>7</v>
      </c>
      <c r="D366" t="s">
        <v>12</v>
      </c>
      <c r="E366" t="s">
        <v>842</v>
      </c>
      <c r="F366" t="s">
        <v>843</v>
      </c>
    </row>
    <row r="367" spans="1:6" x14ac:dyDescent="0.3">
      <c r="A367">
        <v>366</v>
      </c>
      <c r="B367" t="s">
        <v>127</v>
      </c>
      <c r="C367" t="s">
        <v>7</v>
      </c>
      <c r="D367" t="s">
        <v>12</v>
      </c>
      <c r="E367" t="s">
        <v>844</v>
      </c>
      <c r="F367" t="s">
        <v>845</v>
      </c>
    </row>
    <row r="368" spans="1:6" x14ac:dyDescent="0.3">
      <c r="A368">
        <v>367</v>
      </c>
      <c r="B368" t="s">
        <v>81</v>
      </c>
      <c r="C368" t="s">
        <v>7</v>
      </c>
      <c r="D368" t="s">
        <v>72</v>
      </c>
      <c r="E368" t="s">
        <v>211</v>
      </c>
      <c r="F368" t="s">
        <v>846</v>
      </c>
    </row>
    <row r="369" spans="1:6" x14ac:dyDescent="0.3">
      <c r="A369">
        <v>368</v>
      </c>
      <c r="B369" t="s">
        <v>693</v>
      </c>
      <c r="C369" t="s">
        <v>7</v>
      </c>
      <c r="D369" t="s">
        <v>37</v>
      </c>
      <c r="E369" t="s">
        <v>588</v>
      </c>
      <c r="F369" t="s">
        <v>847</v>
      </c>
    </row>
    <row r="370" spans="1:6" x14ac:dyDescent="0.3">
      <c r="A370">
        <v>369</v>
      </c>
      <c r="B370" t="s">
        <v>723</v>
      </c>
      <c r="C370" t="s">
        <v>26</v>
      </c>
      <c r="D370" t="s">
        <v>27</v>
      </c>
      <c r="E370" t="s">
        <v>848</v>
      </c>
      <c r="F370" t="s">
        <v>849</v>
      </c>
    </row>
    <row r="371" spans="1:6" x14ac:dyDescent="0.3">
      <c r="A371">
        <v>370</v>
      </c>
      <c r="B371" t="s">
        <v>174</v>
      </c>
      <c r="C371" t="s">
        <v>26</v>
      </c>
      <c r="D371" t="s">
        <v>27</v>
      </c>
      <c r="E371" t="s">
        <v>850</v>
      </c>
      <c r="F371" t="s">
        <v>851</v>
      </c>
    </row>
    <row r="372" spans="1:6" x14ac:dyDescent="0.3">
      <c r="A372">
        <v>371</v>
      </c>
      <c r="B372" t="s">
        <v>716</v>
      </c>
      <c r="C372" t="s">
        <v>7</v>
      </c>
      <c r="D372" t="s">
        <v>37</v>
      </c>
      <c r="E372" t="s">
        <v>852</v>
      </c>
      <c r="F372" t="s">
        <v>853</v>
      </c>
    </row>
    <row r="373" spans="1:6" x14ac:dyDescent="0.3">
      <c r="A373">
        <v>372</v>
      </c>
      <c r="B373" t="s">
        <v>854</v>
      </c>
      <c r="C373" t="s">
        <v>7</v>
      </c>
      <c r="D373" t="s">
        <v>37</v>
      </c>
      <c r="E373" t="s">
        <v>855</v>
      </c>
      <c r="F373" t="s">
        <v>856</v>
      </c>
    </row>
    <row r="374" spans="1:6" x14ac:dyDescent="0.3">
      <c r="A374">
        <v>373</v>
      </c>
      <c r="B374" t="s">
        <v>574</v>
      </c>
      <c r="C374" t="s">
        <v>26</v>
      </c>
      <c r="D374" t="s">
        <v>72</v>
      </c>
      <c r="E374" t="s">
        <v>73</v>
      </c>
      <c r="F374" t="s">
        <v>857</v>
      </c>
    </row>
    <row r="375" spans="1:6" x14ac:dyDescent="0.3">
      <c r="A375">
        <v>374</v>
      </c>
      <c r="B375" t="s">
        <v>115</v>
      </c>
      <c r="C375" t="s">
        <v>26</v>
      </c>
      <c r="D375" t="s">
        <v>27</v>
      </c>
      <c r="E375" t="s">
        <v>858</v>
      </c>
      <c r="F375" t="s">
        <v>859</v>
      </c>
    </row>
    <row r="376" spans="1:6" x14ac:dyDescent="0.3">
      <c r="A376">
        <v>375</v>
      </c>
      <c r="B376" t="s">
        <v>616</v>
      </c>
      <c r="C376" t="s">
        <v>7</v>
      </c>
      <c r="D376" t="s">
        <v>8</v>
      </c>
      <c r="E376" t="s">
        <v>491</v>
      </c>
      <c r="F376" t="s">
        <v>860</v>
      </c>
    </row>
    <row r="377" spans="1:6" x14ac:dyDescent="0.3">
      <c r="A377">
        <v>376</v>
      </c>
      <c r="B377" t="s">
        <v>199</v>
      </c>
      <c r="C377" t="s">
        <v>7</v>
      </c>
      <c r="D377" t="s">
        <v>72</v>
      </c>
      <c r="E377" t="s">
        <v>861</v>
      </c>
      <c r="F377" t="s">
        <v>862</v>
      </c>
    </row>
    <row r="378" spans="1:6" x14ac:dyDescent="0.3">
      <c r="A378">
        <v>377</v>
      </c>
      <c r="B378" t="s">
        <v>718</v>
      </c>
      <c r="C378" t="s">
        <v>26</v>
      </c>
      <c r="D378" t="s">
        <v>72</v>
      </c>
      <c r="E378" t="s">
        <v>863</v>
      </c>
      <c r="F378" t="s">
        <v>864</v>
      </c>
    </row>
    <row r="379" spans="1:6" x14ac:dyDescent="0.3">
      <c r="A379">
        <v>378</v>
      </c>
      <c r="B379" t="s">
        <v>474</v>
      </c>
      <c r="C379" t="s">
        <v>26</v>
      </c>
      <c r="D379" t="s">
        <v>8</v>
      </c>
      <c r="E379" t="s">
        <v>865</v>
      </c>
      <c r="F379" t="s">
        <v>866</v>
      </c>
    </row>
    <row r="380" spans="1:6" x14ac:dyDescent="0.3">
      <c r="A380">
        <v>379</v>
      </c>
      <c r="B380" t="s">
        <v>732</v>
      </c>
      <c r="C380" t="s">
        <v>26</v>
      </c>
      <c r="D380" t="s">
        <v>8</v>
      </c>
      <c r="E380" t="s">
        <v>867</v>
      </c>
      <c r="F380" t="s">
        <v>868</v>
      </c>
    </row>
    <row r="381" spans="1:6" x14ac:dyDescent="0.3">
      <c r="A381">
        <v>380</v>
      </c>
      <c r="B381" t="s">
        <v>313</v>
      </c>
      <c r="C381" t="s">
        <v>7</v>
      </c>
      <c r="D381" t="s">
        <v>44</v>
      </c>
      <c r="E381" t="s">
        <v>755</v>
      </c>
      <c r="F381" t="s">
        <v>869</v>
      </c>
    </row>
    <row r="382" spans="1:6" x14ac:dyDescent="0.3">
      <c r="A382">
        <v>381</v>
      </c>
      <c r="B382" t="s">
        <v>130</v>
      </c>
      <c r="C382" t="s">
        <v>7</v>
      </c>
      <c r="D382" t="s">
        <v>8</v>
      </c>
      <c r="E382" t="s">
        <v>472</v>
      </c>
      <c r="F382" t="s">
        <v>870</v>
      </c>
    </row>
    <row r="383" spans="1:6" x14ac:dyDescent="0.3">
      <c r="A383">
        <v>382</v>
      </c>
      <c r="B383" t="s">
        <v>71</v>
      </c>
      <c r="C383" t="s">
        <v>7</v>
      </c>
      <c r="D383" t="s">
        <v>8</v>
      </c>
      <c r="E383" t="s">
        <v>871</v>
      </c>
      <c r="F383" t="s">
        <v>872</v>
      </c>
    </row>
    <row r="384" spans="1:6" x14ac:dyDescent="0.3">
      <c r="A384">
        <v>383</v>
      </c>
      <c r="B384" t="s">
        <v>270</v>
      </c>
      <c r="C384" t="s">
        <v>26</v>
      </c>
      <c r="D384" t="s">
        <v>8</v>
      </c>
      <c r="E384" t="s">
        <v>360</v>
      </c>
      <c r="F384" t="s">
        <v>873</v>
      </c>
    </row>
    <row r="385" spans="1:6" x14ac:dyDescent="0.3">
      <c r="A385">
        <v>384</v>
      </c>
      <c r="B385" t="s">
        <v>618</v>
      </c>
      <c r="C385" t="s">
        <v>26</v>
      </c>
      <c r="D385" t="s">
        <v>37</v>
      </c>
      <c r="E385" t="s">
        <v>241</v>
      </c>
      <c r="F385" t="s">
        <v>874</v>
      </c>
    </row>
    <row r="386" spans="1:6" x14ac:dyDescent="0.3">
      <c r="A386">
        <v>385</v>
      </c>
      <c r="B386" t="s">
        <v>833</v>
      </c>
      <c r="C386" t="s">
        <v>7</v>
      </c>
      <c r="D386" t="s">
        <v>27</v>
      </c>
      <c r="E386" t="s">
        <v>63</v>
      </c>
      <c r="F386" t="s">
        <v>875</v>
      </c>
    </row>
    <row r="387" spans="1:6" x14ac:dyDescent="0.3">
      <c r="A387">
        <v>386</v>
      </c>
      <c r="B387" t="s">
        <v>479</v>
      </c>
      <c r="C387" t="s">
        <v>26</v>
      </c>
      <c r="D387" t="s">
        <v>44</v>
      </c>
      <c r="E387" t="s">
        <v>353</v>
      </c>
      <c r="F387" t="s">
        <v>876</v>
      </c>
    </row>
    <row r="388" spans="1:6" x14ac:dyDescent="0.3">
      <c r="A388">
        <v>387</v>
      </c>
      <c r="B388" t="s">
        <v>75</v>
      </c>
      <c r="C388" t="s">
        <v>26</v>
      </c>
      <c r="D388" t="s">
        <v>72</v>
      </c>
      <c r="E388" t="s">
        <v>491</v>
      </c>
      <c r="F388" t="s">
        <v>877</v>
      </c>
    </row>
    <row r="389" spans="1:6" x14ac:dyDescent="0.3">
      <c r="A389">
        <v>388</v>
      </c>
      <c r="B389" t="s">
        <v>194</v>
      </c>
      <c r="C389" t="s">
        <v>7</v>
      </c>
      <c r="D389" t="s">
        <v>72</v>
      </c>
      <c r="E389" t="s">
        <v>878</v>
      </c>
      <c r="F389" t="s">
        <v>879</v>
      </c>
    </row>
    <row r="390" spans="1:6" x14ac:dyDescent="0.3">
      <c r="A390">
        <v>389</v>
      </c>
      <c r="B390" t="s">
        <v>267</v>
      </c>
      <c r="C390" t="s">
        <v>26</v>
      </c>
      <c r="D390" t="s">
        <v>12</v>
      </c>
      <c r="E390" t="s">
        <v>880</v>
      </c>
      <c r="F390" t="s">
        <v>881</v>
      </c>
    </row>
    <row r="391" spans="1:6" x14ac:dyDescent="0.3">
      <c r="A391">
        <v>390</v>
      </c>
      <c r="B391" t="s">
        <v>882</v>
      </c>
      <c r="C391" t="s">
        <v>26</v>
      </c>
      <c r="D391" t="s">
        <v>44</v>
      </c>
      <c r="E391" t="s">
        <v>883</v>
      </c>
      <c r="F391" t="s">
        <v>884</v>
      </c>
    </row>
    <row r="392" spans="1:6" x14ac:dyDescent="0.3">
      <c r="A392">
        <v>391</v>
      </c>
      <c r="B392" t="s">
        <v>95</v>
      </c>
      <c r="C392" t="s">
        <v>7</v>
      </c>
      <c r="D392" t="s">
        <v>37</v>
      </c>
      <c r="E392" t="s">
        <v>885</v>
      </c>
      <c r="F392" t="s">
        <v>886</v>
      </c>
    </row>
    <row r="393" spans="1:6" x14ac:dyDescent="0.3">
      <c r="A393">
        <v>392</v>
      </c>
      <c r="B393" t="s">
        <v>322</v>
      </c>
      <c r="C393" t="s">
        <v>7</v>
      </c>
      <c r="D393" t="s">
        <v>72</v>
      </c>
      <c r="E393" t="s">
        <v>453</v>
      </c>
      <c r="F393" t="s">
        <v>887</v>
      </c>
    </row>
    <row r="394" spans="1:6" x14ac:dyDescent="0.3">
      <c r="A394">
        <v>393</v>
      </c>
      <c r="B394" t="s">
        <v>888</v>
      </c>
      <c r="C394" t="s">
        <v>7</v>
      </c>
      <c r="D394" t="s">
        <v>72</v>
      </c>
      <c r="E394" t="s">
        <v>889</v>
      </c>
      <c r="F394" t="s">
        <v>890</v>
      </c>
    </row>
    <row r="395" spans="1:6" x14ac:dyDescent="0.3">
      <c r="A395">
        <v>394</v>
      </c>
      <c r="B395" t="s">
        <v>891</v>
      </c>
      <c r="C395" t="s">
        <v>7</v>
      </c>
      <c r="D395" t="s">
        <v>44</v>
      </c>
      <c r="E395" t="s">
        <v>673</v>
      </c>
      <c r="F395" t="s">
        <v>892</v>
      </c>
    </row>
    <row r="396" spans="1:6" x14ac:dyDescent="0.3">
      <c r="A396">
        <v>395</v>
      </c>
      <c r="B396" t="s">
        <v>328</v>
      </c>
      <c r="C396" t="s">
        <v>7</v>
      </c>
      <c r="D396" t="s">
        <v>12</v>
      </c>
      <c r="E396" t="s">
        <v>893</v>
      </c>
      <c r="F396" t="s">
        <v>894</v>
      </c>
    </row>
    <row r="397" spans="1:6" x14ac:dyDescent="0.3">
      <c r="A397">
        <v>396</v>
      </c>
      <c r="B397" t="s">
        <v>479</v>
      </c>
      <c r="C397" t="s">
        <v>26</v>
      </c>
      <c r="D397" t="s">
        <v>22</v>
      </c>
      <c r="E397" t="s">
        <v>895</v>
      </c>
      <c r="F397" t="s">
        <v>896</v>
      </c>
    </row>
    <row r="398" spans="1:6" x14ac:dyDescent="0.3">
      <c r="A398">
        <v>397</v>
      </c>
      <c r="B398" t="s">
        <v>368</v>
      </c>
      <c r="C398" t="s">
        <v>26</v>
      </c>
      <c r="D398" t="s">
        <v>72</v>
      </c>
      <c r="E398" t="s">
        <v>429</v>
      </c>
      <c r="F398" t="s">
        <v>897</v>
      </c>
    </row>
    <row r="399" spans="1:6" x14ac:dyDescent="0.3">
      <c r="A399">
        <v>398</v>
      </c>
      <c r="B399" t="s">
        <v>590</v>
      </c>
      <c r="C399" t="s">
        <v>7</v>
      </c>
      <c r="D399" t="s">
        <v>27</v>
      </c>
      <c r="E399" t="s">
        <v>489</v>
      </c>
      <c r="F399" t="s">
        <v>898</v>
      </c>
    </row>
    <row r="400" spans="1:6" x14ac:dyDescent="0.3">
      <c r="A400">
        <v>399</v>
      </c>
      <c r="B400" t="s">
        <v>6</v>
      </c>
      <c r="C400" t="s">
        <v>7</v>
      </c>
      <c r="D400" t="s">
        <v>12</v>
      </c>
      <c r="E400" t="s">
        <v>899</v>
      </c>
      <c r="F400" t="s">
        <v>900</v>
      </c>
    </row>
    <row r="401" spans="1:6" x14ac:dyDescent="0.3">
      <c r="A401">
        <v>400</v>
      </c>
      <c r="B401" t="s">
        <v>709</v>
      </c>
      <c r="C401" t="s">
        <v>26</v>
      </c>
      <c r="D401" t="s">
        <v>8</v>
      </c>
      <c r="E401" t="s">
        <v>538</v>
      </c>
      <c r="F401" t="s">
        <v>901</v>
      </c>
    </row>
    <row r="402" spans="1:6" x14ac:dyDescent="0.3">
      <c r="A402">
        <v>401</v>
      </c>
      <c r="B402" t="s">
        <v>902</v>
      </c>
      <c r="C402" t="s">
        <v>7</v>
      </c>
      <c r="D402" t="s">
        <v>44</v>
      </c>
      <c r="E402" t="s">
        <v>279</v>
      </c>
      <c r="F402" t="s">
        <v>903</v>
      </c>
    </row>
    <row r="403" spans="1:6" x14ac:dyDescent="0.3">
      <c r="A403">
        <v>402</v>
      </c>
      <c r="B403" t="s">
        <v>305</v>
      </c>
      <c r="C403" t="s">
        <v>26</v>
      </c>
      <c r="D403" t="s">
        <v>44</v>
      </c>
      <c r="E403" t="s">
        <v>904</v>
      </c>
      <c r="F403" t="s">
        <v>905</v>
      </c>
    </row>
    <row r="404" spans="1:6" x14ac:dyDescent="0.3">
      <c r="A404">
        <v>403</v>
      </c>
      <c r="B404" t="s">
        <v>723</v>
      </c>
      <c r="C404" t="s">
        <v>26</v>
      </c>
      <c r="D404" t="s">
        <v>44</v>
      </c>
      <c r="E404" t="s">
        <v>906</v>
      </c>
      <c r="F404" t="s">
        <v>907</v>
      </c>
    </row>
    <row r="405" spans="1:6" x14ac:dyDescent="0.3">
      <c r="A405">
        <v>404</v>
      </c>
      <c r="B405" t="s">
        <v>233</v>
      </c>
      <c r="C405" t="s">
        <v>7</v>
      </c>
      <c r="D405" t="s">
        <v>27</v>
      </c>
      <c r="E405" t="s">
        <v>908</v>
      </c>
      <c r="F405" t="s">
        <v>909</v>
      </c>
    </row>
    <row r="406" spans="1:6" x14ac:dyDescent="0.3">
      <c r="A406">
        <v>405</v>
      </c>
      <c r="B406" t="s">
        <v>239</v>
      </c>
      <c r="C406" t="s">
        <v>7</v>
      </c>
      <c r="D406" t="s">
        <v>8</v>
      </c>
      <c r="E406" t="s">
        <v>910</v>
      </c>
      <c r="F406" t="s">
        <v>911</v>
      </c>
    </row>
    <row r="407" spans="1:6" x14ac:dyDescent="0.3">
      <c r="A407">
        <v>406</v>
      </c>
      <c r="B407" t="s">
        <v>383</v>
      </c>
      <c r="C407" t="s">
        <v>7</v>
      </c>
      <c r="D407" t="s">
        <v>27</v>
      </c>
      <c r="E407" t="s">
        <v>912</v>
      </c>
      <c r="F407" t="s">
        <v>913</v>
      </c>
    </row>
    <row r="408" spans="1:6" x14ac:dyDescent="0.3">
      <c r="A408">
        <v>407</v>
      </c>
      <c r="B408" t="s">
        <v>914</v>
      </c>
      <c r="C408" t="s">
        <v>7</v>
      </c>
      <c r="D408" t="s">
        <v>27</v>
      </c>
      <c r="E408" t="s">
        <v>345</v>
      </c>
      <c r="F408" t="s">
        <v>915</v>
      </c>
    </row>
    <row r="409" spans="1:6" x14ac:dyDescent="0.3">
      <c r="A409">
        <v>408</v>
      </c>
      <c r="B409" t="s">
        <v>68</v>
      </c>
      <c r="C409" t="s">
        <v>26</v>
      </c>
      <c r="D409" t="s">
        <v>37</v>
      </c>
      <c r="E409" t="s">
        <v>916</v>
      </c>
      <c r="F409" t="s">
        <v>917</v>
      </c>
    </row>
    <row r="410" spans="1:6" x14ac:dyDescent="0.3">
      <c r="A410">
        <v>409</v>
      </c>
      <c r="B410" t="s">
        <v>228</v>
      </c>
      <c r="C410" t="s">
        <v>26</v>
      </c>
      <c r="D410" t="s">
        <v>37</v>
      </c>
      <c r="E410" t="s">
        <v>918</v>
      </c>
      <c r="F410" t="s">
        <v>919</v>
      </c>
    </row>
    <row r="411" spans="1:6" x14ac:dyDescent="0.3">
      <c r="A411">
        <v>410</v>
      </c>
      <c r="B411" t="s">
        <v>138</v>
      </c>
      <c r="C411" t="s">
        <v>7</v>
      </c>
      <c r="D411" t="s">
        <v>22</v>
      </c>
      <c r="E411" t="s">
        <v>920</v>
      </c>
      <c r="F411" t="s">
        <v>921</v>
      </c>
    </row>
    <row r="412" spans="1:6" x14ac:dyDescent="0.3">
      <c r="A412">
        <v>411</v>
      </c>
      <c r="B412" t="s">
        <v>213</v>
      </c>
      <c r="C412" t="s">
        <v>7</v>
      </c>
      <c r="D412" t="s">
        <v>27</v>
      </c>
      <c r="E412" t="s">
        <v>922</v>
      </c>
      <c r="F412" t="s">
        <v>923</v>
      </c>
    </row>
    <row r="413" spans="1:6" x14ac:dyDescent="0.3">
      <c r="A413">
        <v>412</v>
      </c>
      <c r="B413" t="s">
        <v>630</v>
      </c>
      <c r="C413" t="s">
        <v>7</v>
      </c>
      <c r="D413" t="s">
        <v>44</v>
      </c>
      <c r="E413" t="s">
        <v>924</v>
      </c>
      <c r="F413" t="s">
        <v>925</v>
      </c>
    </row>
    <row r="414" spans="1:6" x14ac:dyDescent="0.3">
      <c r="A414">
        <v>413</v>
      </c>
      <c r="B414" t="s">
        <v>557</v>
      </c>
      <c r="C414" t="s">
        <v>7</v>
      </c>
      <c r="D414" t="s">
        <v>27</v>
      </c>
      <c r="E414" t="s">
        <v>405</v>
      </c>
      <c r="F414" t="s">
        <v>926</v>
      </c>
    </row>
    <row r="415" spans="1:6" x14ac:dyDescent="0.3">
      <c r="A415">
        <v>414</v>
      </c>
      <c r="B415" t="s">
        <v>744</v>
      </c>
      <c r="C415" t="s">
        <v>7</v>
      </c>
      <c r="D415" t="s">
        <v>27</v>
      </c>
      <c r="E415" t="s">
        <v>927</v>
      </c>
      <c r="F415" t="s">
        <v>928</v>
      </c>
    </row>
    <row r="416" spans="1:6" x14ac:dyDescent="0.3">
      <c r="A416">
        <v>415</v>
      </c>
      <c r="B416" t="s">
        <v>854</v>
      </c>
      <c r="C416" t="s">
        <v>7</v>
      </c>
      <c r="D416" t="s">
        <v>8</v>
      </c>
      <c r="E416" t="s">
        <v>570</v>
      </c>
      <c r="F416" t="s">
        <v>929</v>
      </c>
    </row>
    <row r="417" spans="1:6" x14ac:dyDescent="0.3">
      <c r="A417">
        <v>416</v>
      </c>
      <c r="B417" t="s">
        <v>174</v>
      </c>
      <c r="C417" t="s">
        <v>26</v>
      </c>
      <c r="D417" t="s">
        <v>37</v>
      </c>
      <c r="E417" t="s">
        <v>298</v>
      </c>
      <c r="F417" t="s">
        <v>930</v>
      </c>
    </row>
    <row r="418" spans="1:6" x14ac:dyDescent="0.3">
      <c r="A418">
        <v>417</v>
      </c>
      <c r="B418" t="s">
        <v>81</v>
      </c>
      <c r="C418" t="s">
        <v>7</v>
      </c>
      <c r="D418" t="s">
        <v>37</v>
      </c>
      <c r="E418" t="s">
        <v>931</v>
      </c>
      <c r="F418" t="s">
        <v>932</v>
      </c>
    </row>
    <row r="419" spans="1:6" x14ac:dyDescent="0.3">
      <c r="A419">
        <v>418</v>
      </c>
      <c r="B419" t="s">
        <v>202</v>
      </c>
      <c r="C419" t="s">
        <v>26</v>
      </c>
      <c r="D419" t="s">
        <v>8</v>
      </c>
      <c r="E419" t="s">
        <v>594</v>
      </c>
      <c r="F419" t="s">
        <v>933</v>
      </c>
    </row>
    <row r="420" spans="1:6" x14ac:dyDescent="0.3">
      <c r="A420">
        <v>419</v>
      </c>
      <c r="B420" t="s">
        <v>479</v>
      </c>
      <c r="C420" t="s">
        <v>26</v>
      </c>
      <c r="D420" t="s">
        <v>27</v>
      </c>
      <c r="E420" t="s">
        <v>122</v>
      </c>
      <c r="F420" t="s">
        <v>934</v>
      </c>
    </row>
    <row r="421" spans="1:6" x14ac:dyDescent="0.3">
      <c r="A421">
        <v>420</v>
      </c>
      <c r="B421" t="s">
        <v>665</v>
      </c>
      <c r="C421" t="s">
        <v>7</v>
      </c>
      <c r="D421" t="s">
        <v>37</v>
      </c>
      <c r="E421" t="s">
        <v>437</v>
      </c>
      <c r="F421" t="s">
        <v>935</v>
      </c>
    </row>
    <row r="422" spans="1:6" x14ac:dyDescent="0.3">
      <c r="A422">
        <v>421</v>
      </c>
      <c r="B422" t="s">
        <v>632</v>
      </c>
      <c r="C422" t="s">
        <v>7</v>
      </c>
      <c r="D422" t="s">
        <v>72</v>
      </c>
      <c r="E422" t="s">
        <v>936</v>
      </c>
      <c r="F422" t="s">
        <v>937</v>
      </c>
    </row>
    <row r="423" spans="1:6" x14ac:dyDescent="0.3">
      <c r="A423">
        <v>422</v>
      </c>
      <c r="B423" t="s">
        <v>416</v>
      </c>
      <c r="C423" t="s">
        <v>26</v>
      </c>
      <c r="D423" t="s">
        <v>72</v>
      </c>
      <c r="E423" t="s">
        <v>606</v>
      </c>
      <c r="F423" t="s">
        <v>938</v>
      </c>
    </row>
    <row r="424" spans="1:6" x14ac:dyDescent="0.3">
      <c r="A424">
        <v>423</v>
      </c>
      <c r="B424" t="s">
        <v>718</v>
      </c>
      <c r="C424" t="s">
        <v>26</v>
      </c>
      <c r="D424" t="s">
        <v>27</v>
      </c>
      <c r="E424" t="s">
        <v>939</v>
      </c>
      <c r="F424" t="s">
        <v>940</v>
      </c>
    </row>
    <row r="425" spans="1:6" x14ac:dyDescent="0.3">
      <c r="A425">
        <v>424</v>
      </c>
      <c r="B425" t="s">
        <v>43</v>
      </c>
      <c r="C425" t="s">
        <v>26</v>
      </c>
      <c r="D425" t="s">
        <v>22</v>
      </c>
      <c r="E425" t="s">
        <v>796</v>
      </c>
      <c r="F425" t="s">
        <v>941</v>
      </c>
    </row>
    <row r="426" spans="1:6" x14ac:dyDescent="0.3">
      <c r="A426">
        <v>425</v>
      </c>
      <c r="B426" t="s">
        <v>194</v>
      </c>
      <c r="C426" t="s">
        <v>7</v>
      </c>
      <c r="D426" t="s">
        <v>27</v>
      </c>
      <c r="E426" t="s">
        <v>942</v>
      </c>
      <c r="F426" t="s">
        <v>943</v>
      </c>
    </row>
    <row r="427" spans="1:6" x14ac:dyDescent="0.3">
      <c r="A427">
        <v>426</v>
      </c>
      <c r="B427" t="s">
        <v>551</v>
      </c>
      <c r="C427" t="s">
        <v>26</v>
      </c>
      <c r="D427" t="s">
        <v>37</v>
      </c>
      <c r="E427" t="s">
        <v>944</v>
      </c>
      <c r="F427" t="s">
        <v>945</v>
      </c>
    </row>
    <row r="428" spans="1:6" x14ac:dyDescent="0.3">
      <c r="A428">
        <v>427</v>
      </c>
      <c r="B428" t="s">
        <v>319</v>
      </c>
      <c r="C428" t="s">
        <v>26</v>
      </c>
      <c r="D428" t="s">
        <v>37</v>
      </c>
      <c r="E428" t="s">
        <v>946</v>
      </c>
      <c r="F428" t="s">
        <v>947</v>
      </c>
    </row>
    <row r="429" spans="1:6" x14ac:dyDescent="0.3">
      <c r="A429">
        <v>428</v>
      </c>
      <c r="B429" t="s">
        <v>98</v>
      </c>
      <c r="C429" t="s">
        <v>26</v>
      </c>
      <c r="D429" t="s">
        <v>12</v>
      </c>
      <c r="E429" t="s">
        <v>948</v>
      </c>
      <c r="F429" t="s">
        <v>949</v>
      </c>
    </row>
    <row r="430" spans="1:6" x14ac:dyDescent="0.3">
      <c r="A430">
        <v>429</v>
      </c>
      <c r="B430" t="s">
        <v>950</v>
      </c>
      <c r="C430" t="s">
        <v>7</v>
      </c>
      <c r="D430" t="s">
        <v>12</v>
      </c>
      <c r="E430" t="s">
        <v>729</v>
      </c>
      <c r="F430" t="s">
        <v>951</v>
      </c>
    </row>
    <row r="431" spans="1:6" x14ac:dyDescent="0.3">
      <c r="A431">
        <v>430</v>
      </c>
      <c r="B431" t="s">
        <v>952</v>
      </c>
      <c r="C431" t="s">
        <v>26</v>
      </c>
      <c r="D431" t="s">
        <v>22</v>
      </c>
      <c r="E431" t="s">
        <v>530</v>
      </c>
      <c r="F431" t="s">
        <v>953</v>
      </c>
    </row>
    <row r="432" spans="1:6" x14ac:dyDescent="0.3">
      <c r="A432">
        <v>431</v>
      </c>
      <c r="B432" t="s">
        <v>138</v>
      </c>
      <c r="C432" t="s">
        <v>7</v>
      </c>
      <c r="D432" t="s">
        <v>8</v>
      </c>
      <c r="E432" t="s">
        <v>954</v>
      </c>
      <c r="F432" t="s">
        <v>955</v>
      </c>
    </row>
    <row r="433" spans="1:6" x14ac:dyDescent="0.3">
      <c r="A433">
        <v>432</v>
      </c>
      <c r="B433" t="s">
        <v>618</v>
      </c>
      <c r="C433" t="s">
        <v>26</v>
      </c>
      <c r="D433" t="s">
        <v>27</v>
      </c>
      <c r="E433" t="s">
        <v>654</v>
      </c>
      <c r="F433" t="s">
        <v>956</v>
      </c>
    </row>
    <row r="434" spans="1:6" x14ac:dyDescent="0.3">
      <c r="A434">
        <v>433</v>
      </c>
      <c r="B434" t="s">
        <v>957</v>
      </c>
      <c r="C434" t="s">
        <v>26</v>
      </c>
      <c r="D434" t="s">
        <v>22</v>
      </c>
      <c r="E434" t="s">
        <v>308</v>
      </c>
      <c r="F434" t="s">
        <v>958</v>
      </c>
    </row>
    <row r="435" spans="1:6" x14ac:dyDescent="0.3">
      <c r="A435">
        <v>434</v>
      </c>
      <c r="B435" t="s">
        <v>278</v>
      </c>
      <c r="C435" t="s">
        <v>26</v>
      </c>
      <c r="D435" t="s">
        <v>12</v>
      </c>
      <c r="E435" t="s">
        <v>959</v>
      </c>
      <c r="F435" t="s">
        <v>960</v>
      </c>
    </row>
    <row r="436" spans="1:6" x14ac:dyDescent="0.3">
      <c r="A436">
        <v>435</v>
      </c>
      <c r="B436" t="s">
        <v>165</v>
      </c>
      <c r="C436" t="s">
        <v>7</v>
      </c>
      <c r="D436" t="s">
        <v>37</v>
      </c>
      <c r="E436" t="s">
        <v>153</v>
      </c>
      <c r="F436" t="s">
        <v>961</v>
      </c>
    </row>
    <row r="437" spans="1:6" x14ac:dyDescent="0.3">
      <c r="A437">
        <v>436</v>
      </c>
      <c r="B437" t="s">
        <v>333</v>
      </c>
      <c r="C437" t="s">
        <v>26</v>
      </c>
      <c r="D437" t="s">
        <v>22</v>
      </c>
      <c r="E437" t="s">
        <v>224</v>
      </c>
      <c r="F437" t="s">
        <v>962</v>
      </c>
    </row>
    <row r="438" spans="1:6" x14ac:dyDescent="0.3">
      <c r="A438">
        <v>437</v>
      </c>
      <c r="B438" t="s">
        <v>963</v>
      </c>
      <c r="C438" t="s">
        <v>7</v>
      </c>
      <c r="D438" t="s">
        <v>12</v>
      </c>
      <c r="E438" t="s">
        <v>964</v>
      </c>
      <c r="F438" t="s">
        <v>965</v>
      </c>
    </row>
    <row r="439" spans="1:6" x14ac:dyDescent="0.3">
      <c r="A439">
        <v>438</v>
      </c>
      <c r="B439" t="s">
        <v>380</v>
      </c>
      <c r="C439" t="s">
        <v>7</v>
      </c>
      <c r="D439" t="s">
        <v>22</v>
      </c>
      <c r="E439" t="s">
        <v>555</v>
      </c>
      <c r="F439" t="s">
        <v>966</v>
      </c>
    </row>
    <row r="440" spans="1:6" x14ac:dyDescent="0.3">
      <c r="A440">
        <v>439</v>
      </c>
      <c r="B440" t="s">
        <v>213</v>
      </c>
      <c r="C440" t="s">
        <v>7</v>
      </c>
      <c r="D440" t="s">
        <v>22</v>
      </c>
      <c r="E440" t="s">
        <v>752</v>
      </c>
      <c r="F440" t="s">
        <v>967</v>
      </c>
    </row>
    <row r="441" spans="1:6" x14ac:dyDescent="0.3">
      <c r="A441">
        <v>440</v>
      </c>
      <c r="B441" t="s">
        <v>138</v>
      </c>
      <c r="C441" t="s">
        <v>7</v>
      </c>
      <c r="D441" t="s">
        <v>8</v>
      </c>
      <c r="E441" t="s">
        <v>444</v>
      </c>
      <c r="F441" t="s">
        <v>968</v>
      </c>
    </row>
    <row r="442" spans="1:6" x14ac:dyDescent="0.3">
      <c r="A442">
        <v>441</v>
      </c>
      <c r="B442" t="s">
        <v>888</v>
      </c>
      <c r="C442" t="s">
        <v>7</v>
      </c>
      <c r="D442" t="s">
        <v>27</v>
      </c>
      <c r="E442" t="s">
        <v>969</v>
      </c>
      <c r="F442" t="s">
        <v>970</v>
      </c>
    </row>
    <row r="443" spans="1:6" x14ac:dyDescent="0.3">
      <c r="A443">
        <v>442</v>
      </c>
      <c r="B443" t="s">
        <v>305</v>
      </c>
      <c r="C443" t="s">
        <v>26</v>
      </c>
      <c r="D443" t="s">
        <v>44</v>
      </c>
      <c r="E443" t="s">
        <v>971</v>
      </c>
      <c r="F443" t="s">
        <v>972</v>
      </c>
    </row>
    <row r="444" spans="1:6" x14ac:dyDescent="0.3">
      <c r="A444">
        <v>443</v>
      </c>
      <c r="B444" t="s">
        <v>557</v>
      </c>
      <c r="C444" t="s">
        <v>7</v>
      </c>
      <c r="D444" t="s">
        <v>37</v>
      </c>
      <c r="E444" t="s">
        <v>19</v>
      </c>
      <c r="F444" t="s">
        <v>973</v>
      </c>
    </row>
    <row r="445" spans="1:6" x14ac:dyDescent="0.3">
      <c r="A445">
        <v>444</v>
      </c>
      <c r="B445" t="s">
        <v>141</v>
      </c>
      <c r="C445" t="s">
        <v>26</v>
      </c>
      <c r="D445" t="s">
        <v>72</v>
      </c>
      <c r="E445" t="s">
        <v>974</v>
      </c>
      <c r="F445" t="s">
        <v>975</v>
      </c>
    </row>
    <row r="446" spans="1:6" x14ac:dyDescent="0.3">
      <c r="A446">
        <v>445</v>
      </c>
      <c r="B446" t="s">
        <v>789</v>
      </c>
      <c r="C446" t="s">
        <v>26</v>
      </c>
      <c r="D446" t="s">
        <v>44</v>
      </c>
      <c r="E446" t="s">
        <v>976</v>
      </c>
      <c r="F446" t="s">
        <v>977</v>
      </c>
    </row>
    <row r="447" spans="1:6" x14ac:dyDescent="0.3">
      <c r="A447">
        <v>446</v>
      </c>
      <c r="B447" t="s">
        <v>221</v>
      </c>
      <c r="C447" t="s">
        <v>26</v>
      </c>
      <c r="D447" t="s">
        <v>37</v>
      </c>
      <c r="E447" t="s">
        <v>351</v>
      </c>
      <c r="F447" t="s">
        <v>978</v>
      </c>
    </row>
    <row r="448" spans="1:6" x14ac:dyDescent="0.3">
      <c r="A448">
        <v>447</v>
      </c>
      <c r="B448" t="s">
        <v>115</v>
      </c>
      <c r="C448" t="s">
        <v>26</v>
      </c>
      <c r="D448" t="s">
        <v>37</v>
      </c>
      <c r="E448" t="s">
        <v>979</v>
      </c>
      <c r="F448" t="s">
        <v>980</v>
      </c>
    </row>
    <row r="449" spans="1:6" x14ac:dyDescent="0.3">
      <c r="A449">
        <v>448</v>
      </c>
      <c r="B449" t="s">
        <v>914</v>
      </c>
      <c r="C449" t="s">
        <v>7</v>
      </c>
      <c r="D449" t="s">
        <v>12</v>
      </c>
      <c r="E449" t="s">
        <v>981</v>
      </c>
      <c r="F449" t="s">
        <v>982</v>
      </c>
    </row>
    <row r="450" spans="1:6" x14ac:dyDescent="0.3">
      <c r="A450">
        <v>449</v>
      </c>
      <c r="B450" t="s">
        <v>316</v>
      </c>
      <c r="C450" t="s">
        <v>7</v>
      </c>
      <c r="D450" t="s">
        <v>27</v>
      </c>
      <c r="E450" t="s">
        <v>878</v>
      </c>
      <c r="F450" t="s">
        <v>983</v>
      </c>
    </row>
    <row r="451" spans="1:6" x14ac:dyDescent="0.3">
      <c r="A451">
        <v>450</v>
      </c>
      <c r="B451" t="s">
        <v>50</v>
      </c>
      <c r="C451" t="s">
        <v>7</v>
      </c>
      <c r="D451" t="s">
        <v>27</v>
      </c>
      <c r="E451" t="s">
        <v>984</v>
      </c>
      <c r="F451" t="s">
        <v>985</v>
      </c>
    </row>
    <row r="452" spans="1:6" x14ac:dyDescent="0.3">
      <c r="A452">
        <v>451</v>
      </c>
      <c r="B452" t="s">
        <v>180</v>
      </c>
      <c r="C452" t="s">
        <v>7</v>
      </c>
      <c r="D452" t="s">
        <v>22</v>
      </c>
      <c r="E452" t="s">
        <v>96</v>
      </c>
      <c r="F452" t="s">
        <v>986</v>
      </c>
    </row>
    <row r="453" spans="1:6" x14ac:dyDescent="0.3">
      <c r="A453">
        <v>452</v>
      </c>
      <c r="B453" t="s">
        <v>62</v>
      </c>
      <c r="C453" t="s">
        <v>7</v>
      </c>
      <c r="D453" t="s">
        <v>22</v>
      </c>
      <c r="E453" t="s">
        <v>987</v>
      </c>
      <c r="F453" t="s">
        <v>988</v>
      </c>
    </row>
    <row r="454" spans="1:6" x14ac:dyDescent="0.3">
      <c r="A454">
        <v>453</v>
      </c>
      <c r="B454" t="s">
        <v>483</v>
      </c>
      <c r="C454" t="s">
        <v>26</v>
      </c>
      <c r="D454" t="s">
        <v>22</v>
      </c>
      <c r="E454" t="s">
        <v>671</v>
      </c>
      <c r="F454" t="s">
        <v>989</v>
      </c>
    </row>
    <row r="455" spans="1:6" x14ac:dyDescent="0.3">
      <c r="A455">
        <v>454</v>
      </c>
      <c r="B455" t="s">
        <v>616</v>
      </c>
      <c r="C455" t="s">
        <v>7</v>
      </c>
      <c r="D455" t="s">
        <v>44</v>
      </c>
      <c r="E455" t="s">
        <v>990</v>
      </c>
      <c r="F455" t="s">
        <v>991</v>
      </c>
    </row>
    <row r="456" spans="1:6" x14ac:dyDescent="0.3">
      <c r="A456">
        <v>455</v>
      </c>
      <c r="B456" t="s">
        <v>608</v>
      </c>
      <c r="C456" t="s">
        <v>7</v>
      </c>
      <c r="D456" t="s">
        <v>22</v>
      </c>
      <c r="E456" t="s">
        <v>800</v>
      </c>
      <c r="F456" t="s">
        <v>992</v>
      </c>
    </row>
    <row r="457" spans="1:6" x14ac:dyDescent="0.3">
      <c r="A457">
        <v>456</v>
      </c>
      <c r="B457" t="s">
        <v>183</v>
      </c>
      <c r="C457" t="s">
        <v>7</v>
      </c>
      <c r="D457" t="s">
        <v>8</v>
      </c>
      <c r="E457" t="s">
        <v>993</v>
      </c>
      <c r="F457" t="s">
        <v>994</v>
      </c>
    </row>
    <row r="458" spans="1:6" x14ac:dyDescent="0.3">
      <c r="A458">
        <v>457</v>
      </c>
      <c r="B458" t="s">
        <v>995</v>
      </c>
      <c r="C458" t="s">
        <v>26</v>
      </c>
      <c r="D458" t="s">
        <v>8</v>
      </c>
      <c r="E458" t="s">
        <v>996</v>
      </c>
      <c r="F458" t="s">
        <v>997</v>
      </c>
    </row>
    <row r="459" spans="1:6" x14ac:dyDescent="0.3">
      <c r="A459">
        <v>458</v>
      </c>
      <c r="B459" t="s">
        <v>261</v>
      </c>
      <c r="C459" t="s">
        <v>26</v>
      </c>
      <c r="D459" t="s">
        <v>8</v>
      </c>
      <c r="E459" t="s">
        <v>699</v>
      </c>
      <c r="F459" t="s">
        <v>998</v>
      </c>
    </row>
    <row r="460" spans="1:6" x14ac:dyDescent="0.3">
      <c r="A460">
        <v>459</v>
      </c>
      <c r="B460" t="s">
        <v>716</v>
      </c>
      <c r="C460" t="s">
        <v>7</v>
      </c>
      <c r="D460" t="s">
        <v>72</v>
      </c>
      <c r="E460" t="s">
        <v>757</v>
      </c>
      <c r="F460" t="s">
        <v>999</v>
      </c>
    </row>
    <row r="461" spans="1:6" x14ac:dyDescent="0.3">
      <c r="A461">
        <v>460</v>
      </c>
      <c r="B461" t="s">
        <v>278</v>
      </c>
      <c r="C461" t="s">
        <v>26</v>
      </c>
      <c r="D461" t="s">
        <v>37</v>
      </c>
      <c r="E461" t="s">
        <v>1000</v>
      </c>
      <c r="F461" t="s">
        <v>1001</v>
      </c>
    </row>
    <row r="462" spans="1:6" x14ac:dyDescent="0.3">
      <c r="A462">
        <v>461</v>
      </c>
      <c r="B462" t="s">
        <v>59</v>
      </c>
      <c r="C462" t="s">
        <v>26</v>
      </c>
      <c r="D462" t="s">
        <v>12</v>
      </c>
      <c r="E462" t="s">
        <v>1002</v>
      </c>
      <c r="F462" t="s">
        <v>1003</v>
      </c>
    </row>
    <row r="463" spans="1:6" x14ac:dyDescent="0.3">
      <c r="A463">
        <v>462</v>
      </c>
      <c r="B463" t="s">
        <v>333</v>
      </c>
      <c r="C463" t="s">
        <v>26</v>
      </c>
      <c r="D463" t="s">
        <v>12</v>
      </c>
      <c r="E463" t="s">
        <v>1004</v>
      </c>
      <c r="F463" t="s">
        <v>1005</v>
      </c>
    </row>
    <row r="464" spans="1:6" x14ac:dyDescent="0.3">
      <c r="A464">
        <v>463</v>
      </c>
      <c r="B464" t="s">
        <v>596</v>
      </c>
      <c r="C464" t="s">
        <v>26</v>
      </c>
      <c r="D464" t="s">
        <v>37</v>
      </c>
      <c r="E464" t="s">
        <v>384</v>
      </c>
      <c r="F464" t="s">
        <v>1006</v>
      </c>
    </row>
    <row r="465" spans="1:6" x14ac:dyDescent="0.3">
      <c r="A465">
        <v>464</v>
      </c>
      <c r="B465" t="s">
        <v>36</v>
      </c>
      <c r="C465" t="s">
        <v>7</v>
      </c>
      <c r="D465" t="s">
        <v>37</v>
      </c>
      <c r="E465" t="s">
        <v>1007</v>
      </c>
      <c r="F465" t="s">
        <v>1008</v>
      </c>
    </row>
    <row r="466" spans="1:6" x14ac:dyDescent="0.3">
      <c r="A466">
        <v>465</v>
      </c>
      <c r="B466" t="s">
        <v>18</v>
      </c>
      <c r="C466" t="s">
        <v>7</v>
      </c>
      <c r="D466" t="s">
        <v>27</v>
      </c>
      <c r="E466" t="s">
        <v>1009</v>
      </c>
      <c r="F466" t="s">
        <v>1010</v>
      </c>
    </row>
    <row r="467" spans="1:6" x14ac:dyDescent="0.3">
      <c r="A467">
        <v>466</v>
      </c>
      <c r="B467" t="s">
        <v>75</v>
      </c>
      <c r="C467" t="s">
        <v>26</v>
      </c>
      <c r="D467" t="s">
        <v>27</v>
      </c>
      <c r="E467" t="s">
        <v>667</v>
      </c>
      <c r="F467" t="s">
        <v>1011</v>
      </c>
    </row>
    <row r="468" spans="1:6" x14ac:dyDescent="0.3">
      <c r="A468">
        <v>467</v>
      </c>
      <c r="B468" t="s">
        <v>608</v>
      </c>
      <c r="C468" t="s">
        <v>7</v>
      </c>
      <c r="D468" t="s">
        <v>27</v>
      </c>
      <c r="E468" t="s">
        <v>798</v>
      </c>
      <c r="F468" t="s">
        <v>1012</v>
      </c>
    </row>
    <row r="469" spans="1:6" x14ac:dyDescent="0.3">
      <c r="A469">
        <v>468</v>
      </c>
      <c r="B469" t="s">
        <v>245</v>
      </c>
      <c r="C469" t="s">
        <v>26</v>
      </c>
      <c r="D469" t="s">
        <v>37</v>
      </c>
      <c r="E469" t="s">
        <v>1013</v>
      </c>
      <c r="F469" t="s">
        <v>1014</v>
      </c>
    </row>
    <row r="470" spans="1:6" x14ac:dyDescent="0.3">
      <c r="A470">
        <v>469</v>
      </c>
      <c r="B470" t="s">
        <v>1015</v>
      </c>
      <c r="C470" t="s">
        <v>7</v>
      </c>
      <c r="D470" t="s">
        <v>12</v>
      </c>
      <c r="E470" t="s">
        <v>910</v>
      </c>
      <c r="F470" t="s">
        <v>1016</v>
      </c>
    </row>
    <row r="471" spans="1:6" x14ac:dyDescent="0.3">
      <c r="A471">
        <v>470</v>
      </c>
      <c r="B471" t="s">
        <v>681</v>
      </c>
      <c r="C471" t="s">
        <v>26</v>
      </c>
      <c r="D471" t="s">
        <v>44</v>
      </c>
      <c r="E471" t="s">
        <v>497</v>
      </c>
      <c r="F471" t="s">
        <v>1017</v>
      </c>
    </row>
    <row r="472" spans="1:6" x14ac:dyDescent="0.3">
      <c r="A472">
        <v>471</v>
      </c>
      <c r="B472" t="s">
        <v>462</v>
      </c>
      <c r="C472" t="s">
        <v>7</v>
      </c>
      <c r="D472" t="s">
        <v>72</v>
      </c>
      <c r="E472" t="s">
        <v>567</v>
      </c>
      <c r="F472" t="s">
        <v>1018</v>
      </c>
    </row>
    <row r="473" spans="1:6" x14ac:dyDescent="0.3">
      <c r="A473">
        <v>472</v>
      </c>
      <c r="B473" t="s">
        <v>109</v>
      </c>
      <c r="C473" t="s">
        <v>26</v>
      </c>
      <c r="D473" t="s">
        <v>22</v>
      </c>
      <c r="E473" t="s">
        <v>1019</v>
      </c>
      <c r="F473" t="s">
        <v>1020</v>
      </c>
    </row>
    <row r="474" spans="1:6" x14ac:dyDescent="0.3">
      <c r="A474">
        <v>473</v>
      </c>
      <c r="B474" t="s">
        <v>141</v>
      </c>
      <c r="C474" t="s">
        <v>26</v>
      </c>
      <c r="D474" t="s">
        <v>37</v>
      </c>
      <c r="E474" t="s">
        <v>829</v>
      </c>
      <c r="F474" t="s">
        <v>1021</v>
      </c>
    </row>
    <row r="475" spans="1:6" x14ac:dyDescent="0.3">
      <c r="A475">
        <v>474</v>
      </c>
      <c r="B475" t="s">
        <v>396</v>
      </c>
      <c r="C475" t="s">
        <v>26</v>
      </c>
      <c r="D475" t="s">
        <v>72</v>
      </c>
      <c r="E475" t="s">
        <v>467</v>
      </c>
      <c r="F475" t="s">
        <v>1022</v>
      </c>
    </row>
    <row r="476" spans="1:6" x14ac:dyDescent="0.3">
      <c r="A476">
        <v>475</v>
      </c>
      <c r="B476" t="s">
        <v>53</v>
      </c>
      <c r="C476" t="s">
        <v>26</v>
      </c>
      <c r="D476" t="s">
        <v>22</v>
      </c>
      <c r="E476" t="s">
        <v>366</v>
      </c>
      <c r="F476" t="s">
        <v>1023</v>
      </c>
    </row>
    <row r="477" spans="1:6" x14ac:dyDescent="0.3">
      <c r="A477">
        <v>476</v>
      </c>
      <c r="B477" t="s">
        <v>426</v>
      </c>
      <c r="C477" t="s">
        <v>26</v>
      </c>
      <c r="D477" t="s">
        <v>72</v>
      </c>
      <c r="E477" t="s">
        <v>1024</v>
      </c>
      <c r="F477" t="s">
        <v>1025</v>
      </c>
    </row>
    <row r="478" spans="1:6" x14ac:dyDescent="0.3">
      <c r="A478">
        <v>477</v>
      </c>
      <c r="B478" t="s">
        <v>59</v>
      </c>
      <c r="C478" t="s">
        <v>26</v>
      </c>
      <c r="D478" t="s">
        <v>8</v>
      </c>
      <c r="E478" t="s">
        <v>1026</v>
      </c>
      <c r="F478" t="s">
        <v>1027</v>
      </c>
    </row>
    <row r="479" spans="1:6" x14ac:dyDescent="0.3">
      <c r="A479">
        <v>478</v>
      </c>
      <c r="B479" t="s">
        <v>784</v>
      </c>
      <c r="C479" t="s">
        <v>7</v>
      </c>
      <c r="D479" t="s">
        <v>22</v>
      </c>
      <c r="E479" t="s">
        <v>575</v>
      </c>
      <c r="F479" t="s">
        <v>1028</v>
      </c>
    </row>
    <row r="480" spans="1:6" x14ac:dyDescent="0.3">
      <c r="A480">
        <v>479</v>
      </c>
      <c r="B480" t="s">
        <v>818</v>
      </c>
      <c r="C480" t="s">
        <v>7</v>
      </c>
      <c r="D480" t="s">
        <v>22</v>
      </c>
      <c r="E480" t="s">
        <v>829</v>
      </c>
      <c r="F480" t="s">
        <v>1029</v>
      </c>
    </row>
    <row r="481" spans="1:6" x14ac:dyDescent="0.3">
      <c r="A481">
        <v>480</v>
      </c>
      <c r="B481" t="s">
        <v>21</v>
      </c>
      <c r="C481" t="s">
        <v>7</v>
      </c>
      <c r="D481" t="s">
        <v>37</v>
      </c>
      <c r="E481" t="s">
        <v>507</v>
      </c>
      <c r="F481" t="s">
        <v>1030</v>
      </c>
    </row>
    <row r="482" spans="1:6" x14ac:dyDescent="0.3">
      <c r="A482">
        <v>481</v>
      </c>
      <c r="B482" t="s">
        <v>471</v>
      </c>
      <c r="C482" t="s">
        <v>7</v>
      </c>
      <c r="D482" t="s">
        <v>44</v>
      </c>
      <c r="E482" t="s">
        <v>893</v>
      </c>
      <c r="F482" t="s">
        <v>1031</v>
      </c>
    </row>
    <row r="483" spans="1:6" x14ac:dyDescent="0.3">
      <c r="A483">
        <v>482</v>
      </c>
      <c r="B483" t="s">
        <v>305</v>
      </c>
      <c r="C483" t="s">
        <v>26</v>
      </c>
      <c r="D483" t="s">
        <v>12</v>
      </c>
      <c r="E483" t="s">
        <v>1032</v>
      </c>
      <c r="F483" t="s">
        <v>1033</v>
      </c>
    </row>
    <row r="484" spans="1:6" x14ac:dyDescent="0.3">
      <c r="A484">
        <v>483</v>
      </c>
      <c r="B484" t="s">
        <v>56</v>
      </c>
      <c r="C484" t="s">
        <v>26</v>
      </c>
      <c r="D484" t="s">
        <v>37</v>
      </c>
      <c r="E484" t="s">
        <v>555</v>
      </c>
      <c r="F484" t="s">
        <v>1034</v>
      </c>
    </row>
    <row r="485" spans="1:6" x14ac:dyDescent="0.3">
      <c r="A485">
        <v>484</v>
      </c>
      <c r="B485" t="s">
        <v>68</v>
      </c>
      <c r="C485" t="s">
        <v>26</v>
      </c>
      <c r="D485" t="s">
        <v>44</v>
      </c>
      <c r="E485" t="s">
        <v>714</v>
      </c>
      <c r="F485" t="s">
        <v>1035</v>
      </c>
    </row>
    <row r="486" spans="1:6" x14ac:dyDescent="0.3">
      <c r="A486">
        <v>485</v>
      </c>
      <c r="B486" t="s">
        <v>732</v>
      </c>
      <c r="C486" t="s">
        <v>26</v>
      </c>
      <c r="D486" t="s">
        <v>72</v>
      </c>
      <c r="E486" t="s">
        <v>729</v>
      </c>
      <c r="F486" t="s">
        <v>1036</v>
      </c>
    </row>
    <row r="487" spans="1:6" x14ac:dyDescent="0.3">
      <c r="A487">
        <v>486</v>
      </c>
      <c r="B487" t="s">
        <v>90</v>
      </c>
      <c r="C487" t="s">
        <v>26</v>
      </c>
      <c r="D487" t="s">
        <v>27</v>
      </c>
      <c r="E487" t="s">
        <v>1037</v>
      </c>
      <c r="F487" t="s">
        <v>1038</v>
      </c>
    </row>
    <row r="488" spans="1:6" x14ac:dyDescent="0.3">
      <c r="A488">
        <v>487</v>
      </c>
      <c r="B488" t="s">
        <v>289</v>
      </c>
      <c r="C488" t="s">
        <v>26</v>
      </c>
      <c r="D488" t="s">
        <v>72</v>
      </c>
      <c r="E488" t="s">
        <v>565</v>
      </c>
      <c r="F488" t="s">
        <v>1039</v>
      </c>
    </row>
    <row r="489" spans="1:6" x14ac:dyDescent="0.3">
      <c r="A489">
        <v>488</v>
      </c>
      <c r="B489" t="s">
        <v>693</v>
      </c>
      <c r="C489" t="s">
        <v>7</v>
      </c>
      <c r="D489" t="s">
        <v>72</v>
      </c>
      <c r="E489" t="s">
        <v>1040</v>
      </c>
      <c r="F489" t="s">
        <v>1041</v>
      </c>
    </row>
    <row r="490" spans="1:6" x14ac:dyDescent="0.3">
      <c r="A490">
        <v>489</v>
      </c>
      <c r="B490" t="s">
        <v>407</v>
      </c>
      <c r="C490" t="s">
        <v>7</v>
      </c>
      <c r="D490" t="s">
        <v>37</v>
      </c>
      <c r="E490" t="s">
        <v>31</v>
      </c>
      <c r="F490" t="s">
        <v>1042</v>
      </c>
    </row>
    <row r="491" spans="1:6" x14ac:dyDescent="0.3">
      <c r="A491">
        <v>490</v>
      </c>
      <c r="B491" t="s">
        <v>210</v>
      </c>
      <c r="C491" t="s">
        <v>26</v>
      </c>
      <c r="D491" t="s">
        <v>8</v>
      </c>
      <c r="E491" t="s">
        <v>946</v>
      </c>
      <c r="F491" t="s">
        <v>1043</v>
      </c>
    </row>
    <row r="492" spans="1:6" x14ac:dyDescent="0.3">
      <c r="A492">
        <v>491</v>
      </c>
      <c r="B492" t="s">
        <v>630</v>
      </c>
      <c r="C492" t="s">
        <v>7</v>
      </c>
      <c r="D492" t="s">
        <v>44</v>
      </c>
      <c r="E492" t="s">
        <v>1044</v>
      </c>
      <c r="F492" t="s">
        <v>1045</v>
      </c>
    </row>
    <row r="493" spans="1:6" x14ac:dyDescent="0.3">
      <c r="A493">
        <v>492</v>
      </c>
      <c r="B493" t="s">
        <v>1046</v>
      </c>
      <c r="C493" t="s">
        <v>26</v>
      </c>
      <c r="D493" t="s">
        <v>27</v>
      </c>
      <c r="E493" t="s">
        <v>1047</v>
      </c>
      <c r="F493" t="s">
        <v>1048</v>
      </c>
    </row>
    <row r="494" spans="1:6" x14ac:dyDescent="0.3">
      <c r="A494">
        <v>493</v>
      </c>
      <c r="B494" t="s">
        <v>371</v>
      </c>
      <c r="C494" t="s">
        <v>7</v>
      </c>
      <c r="D494" t="s">
        <v>44</v>
      </c>
      <c r="E494" t="s">
        <v>1049</v>
      </c>
      <c r="F494" t="s">
        <v>1050</v>
      </c>
    </row>
    <row r="495" spans="1:6" x14ac:dyDescent="0.3">
      <c r="A495">
        <v>494</v>
      </c>
      <c r="B495" t="s">
        <v>554</v>
      </c>
      <c r="C495" t="s">
        <v>26</v>
      </c>
      <c r="D495" t="s">
        <v>12</v>
      </c>
      <c r="E495" t="s">
        <v>628</v>
      </c>
      <c r="F495" t="s">
        <v>1051</v>
      </c>
    </row>
    <row r="496" spans="1:6" x14ac:dyDescent="0.3">
      <c r="A496">
        <v>495</v>
      </c>
      <c r="B496" t="s">
        <v>519</v>
      </c>
      <c r="C496" t="s">
        <v>26</v>
      </c>
      <c r="D496" t="s">
        <v>44</v>
      </c>
      <c r="E496" t="s">
        <v>1040</v>
      </c>
      <c r="F496" t="s">
        <v>1052</v>
      </c>
    </row>
    <row r="497" spans="1:6" x14ac:dyDescent="0.3">
      <c r="A497">
        <v>496</v>
      </c>
      <c r="B497" t="s">
        <v>393</v>
      </c>
      <c r="C497" t="s">
        <v>7</v>
      </c>
      <c r="D497" t="s">
        <v>8</v>
      </c>
      <c r="E497" t="s">
        <v>256</v>
      </c>
      <c r="F497" t="s">
        <v>1053</v>
      </c>
    </row>
    <row r="498" spans="1:6" x14ac:dyDescent="0.3">
      <c r="A498">
        <v>497</v>
      </c>
      <c r="B498" t="s">
        <v>950</v>
      </c>
      <c r="C498" t="s">
        <v>7</v>
      </c>
      <c r="D498" t="s">
        <v>22</v>
      </c>
      <c r="E498" t="s">
        <v>440</v>
      </c>
      <c r="F498" t="s">
        <v>1054</v>
      </c>
    </row>
    <row r="499" spans="1:6" x14ac:dyDescent="0.3">
      <c r="A499">
        <v>498</v>
      </c>
      <c r="B499" t="s">
        <v>744</v>
      </c>
      <c r="C499" t="s">
        <v>7</v>
      </c>
      <c r="D499" t="s">
        <v>12</v>
      </c>
      <c r="E499" t="s">
        <v>351</v>
      </c>
      <c r="F499" t="s">
        <v>1055</v>
      </c>
    </row>
    <row r="500" spans="1:6" x14ac:dyDescent="0.3">
      <c r="A500">
        <v>499</v>
      </c>
      <c r="B500" t="s">
        <v>316</v>
      </c>
      <c r="C500" t="s">
        <v>7</v>
      </c>
      <c r="D500" t="s">
        <v>44</v>
      </c>
      <c r="E500" t="s">
        <v>131</v>
      </c>
      <c r="F500" t="s">
        <v>1056</v>
      </c>
    </row>
    <row r="501" spans="1:6" x14ac:dyDescent="0.3">
      <c r="A501">
        <v>500</v>
      </c>
      <c r="B501" t="s">
        <v>65</v>
      </c>
      <c r="C501" t="s">
        <v>7</v>
      </c>
      <c r="D501" t="s">
        <v>44</v>
      </c>
      <c r="E501" t="s">
        <v>355</v>
      </c>
      <c r="F501" t="s">
        <v>1057</v>
      </c>
    </row>
    <row r="502" spans="1:6" x14ac:dyDescent="0.3">
      <c r="A502">
        <v>501</v>
      </c>
      <c r="B502" t="s">
        <v>744</v>
      </c>
      <c r="C502" t="s">
        <v>7</v>
      </c>
      <c r="D502" t="s">
        <v>12</v>
      </c>
      <c r="E502" t="s">
        <v>237</v>
      </c>
      <c r="F502" t="s">
        <v>1058</v>
      </c>
    </row>
    <row r="503" spans="1:6" x14ac:dyDescent="0.3">
      <c r="A503">
        <v>502</v>
      </c>
      <c r="B503" t="s">
        <v>1059</v>
      </c>
      <c r="C503" t="s">
        <v>26</v>
      </c>
      <c r="D503" t="s">
        <v>22</v>
      </c>
      <c r="E503" t="s">
        <v>499</v>
      </c>
      <c r="F503" t="s">
        <v>1060</v>
      </c>
    </row>
    <row r="504" spans="1:6" x14ac:dyDescent="0.3">
      <c r="A504">
        <v>503</v>
      </c>
      <c r="B504" t="s">
        <v>416</v>
      </c>
      <c r="C504" t="s">
        <v>26</v>
      </c>
      <c r="D504" t="s">
        <v>8</v>
      </c>
      <c r="E504" t="s">
        <v>1061</v>
      </c>
      <c r="F504" t="s">
        <v>1062</v>
      </c>
    </row>
    <row r="505" spans="1:6" x14ac:dyDescent="0.3">
      <c r="A505">
        <v>504</v>
      </c>
      <c r="B505" t="s">
        <v>1063</v>
      </c>
      <c r="C505" t="s">
        <v>7</v>
      </c>
      <c r="D505" t="s">
        <v>44</v>
      </c>
      <c r="E505" t="s">
        <v>1064</v>
      </c>
      <c r="F505" t="s">
        <v>1065</v>
      </c>
    </row>
    <row r="506" spans="1:6" x14ac:dyDescent="0.3">
      <c r="A506">
        <v>505</v>
      </c>
      <c r="B506" t="s">
        <v>53</v>
      </c>
      <c r="C506" t="s">
        <v>26</v>
      </c>
      <c r="D506" t="s">
        <v>27</v>
      </c>
      <c r="E506" t="s">
        <v>710</v>
      </c>
      <c r="F506" t="s">
        <v>1066</v>
      </c>
    </row>
    <row r="507" spans="1:6" x14ac:dyDescent="0.3">
      <c r="A507">
        <v>506</v>
      </c>
      <c r="B507" t="s">
        <v>590</v>
      </c>
      <c r="C507" t="s">
        <v>7</v>
      </c>
      <c r="D507" t="s">
        <v>8</v>
      </c>
      <c r="E507" t="s">
        <v>701</v>
      </c>
      <c r="F507" t="s">
        <v>1067</v>
      </c>
    </row>
    <row r="508" spans="1:6" x14ac:dyDescent="0.3">
      <c r="A508">
        <v>507</v>
      </c>
      <c r="B508" t="s">
        <v>78</v>
      </c>
      <c r="C508" t="s">
        <v>26</v>
      </c>
      <c r="D508" t="s">
        <v>72</v>
      </c>
      <c r="E508" t="s">
        <v>1068</v>
      </c>
      <c r="F508" t="s">
        <v>1069</v>
      </c>
    </row>
    <row r="509" spans="1:6" x14ac:dyDescent="0.3">
      <c r="A509">
        <v>508</v>
      </c>
      <c r="B509" t="s">
        <v>716</v>
      </c>
      <c r="C509" t="s">
        <v>7</v>
      </c>
      <c r="D509" t="s">
        <v>37</v>
      </c>
      <c r="E509" t="s">
        <v>1000</v>
      </c>
      <c r="F509" t="s">
        <v>1070</v>
      </c>
    </row>
    <row r="510" spans="1:6" x14ac:dyDescent="0.3">
      <c r="A510">
        <v>509</v>
      </c>
      <c r="B510" t="s">
        <v>833</v>
      </c>
      <c r="C510" t="s">
        <v>7</v>
      </c>
      <c r="D510" t="s">
        <v>22</v>
      </c>
      <c r="E510" t="s">
        <v>1071</v>
      </c>
      <c r="F510" t="s">
        <v>1072</v>
      </c>
    </row>
    <row r="511" spans="1:6" x14ac:dyDescent="0.3">
      <c r="A511">
        <v>510</v>
      </c>
      <c r="B511" t="s">
        <v>613</v>
      </c>
      <c r="C511" t="s">
        <v>26</v>
      </c>
      <c r="D511" t="s">
        <v>37</v>
      </c>
      <c r="E511" t="s">
        <v>993</v>
      </c>
      <c r="F511" t="s">
        <v>1073</v>
      </c>
    </row>
    <row r="512" spans="1:6" x14ac:dyDescent="0.3">
      <c r="A512">
        <v>511</v>
      </c>
      <c r="B512" t="s">
        <v>630</v>
      </c>
      <c r="C512" t="s">
        <v>7</v>
      </c>
      <c r="D512" t="s">
        <v>22</v>
      </c>
      <c r="E512" t="s">
        <v>883</v>
      </c>
      <c r="F512" t="s">
        <v>1074</v>
      </c>
    </row>
    <row r="513" spans="1:6" x14ac:dyDescent="0.3">
      <c r="A513">
        <v>512</v>
      </c>
      <c r="B513" t="s">
        <v>665</v>
      </c>
      <c r="C513" t="s">
        <v>7</v>
      </c>
      <c r="D513" t="s">
        <v>27</v>
      </c>
      <c r="E513" t="s">
        <v>505</v>
      </c>
      <c r="F513" t="s">
        <v>1075</v>
      </c>
    </row>
    <row r="514" spans="1:6" x14ac:dyDescent="0.3">
      <c r="A514">
        <v>513</v>
      </c>
      <c r="B514" t="s">
        <v>1076</v>
      </c>
      <c r="C514" t="s">
        <v>7</v>
      </c>
      <c r="D514" t="s">
        <v>44</v>
      </c>
      <c r="E514" t="s">
        <v>250</v>
      </c>
      <c r="F514" t="s">
        <v>1077</v>
      </c>
    </row>
    <row r="515" spans="1:6" x14ac:dyDescent="0.3">
      <c r="A515">
        <v>514</v>
      </c>
      <c r="B515" t="s">
        <v>371</v>
      </c>
      <c r="C515" t="s">
        <v>7</v>
      </c>
      <c r="D515" t="s">
        <v>27</v>
      </c>
      <c r="E515" t="s">
        <v>703</v>
      </c>
      <c r="F515" t="s">
        <v>1078</v>
      </c>
    </row>
    <row r="516" spans="1:6" x14ac:dyDescent="0.3">
      <c r="A516">
        <v>515</v>
      </c>
      <c r="B516" t="s">
        <v>228</v>
      </c>
      <c r="C516" t="s">
        <v>26</v>
      </c>
      <c r="D516" t="s">
        <v>37</v>
      </c>
      <c r="E516" t="s">
        <v>908</v>
      </c>
      <c r="F516" t="s">
        <v>1079</v>
      </c>
    </row>
    <row r="517" spans="1:6" x14ac:dyDescent="0.3">
      <c r="A517">
        <v>516</v>
      </c>
      <c r="B517" t="s">
        <v>316</v>
      </c>
      <c r="C517" t="s">
        <v>7</v>
      </c>
      <c r="D517" t="s">
        <v>12</v>
      </c>
      <c r="E517" t="s">
        <v>1080</v>
      </c>
      <c r="F517" t="s">
        <v>1081</v>
      </c>
    </row>
    <row r="518" spans="1:6" x14ac:dyDescent="0.3">
      <c r="A518">
        <v>517</v>
      </c>
      <c r="B518" t="s">
        <v>587</v>
      </c>
      <c r="C518" t="s">
        <v>7</v>
      </c>
      <c r="D518" t="s">
        <v>44</v>
      </c>
      <c r="E518" t="s">
        <v>1082</v>
      </c>
      <c r="F518" t="s">
        <v>1083</v>
      </c>
    </row>
    <row r="519" spans="1:6" x14ac:dyDescent="0.3">
      <c r="A519">
        <v>518</v>
      </c>
      <c r="B519" t="s">
        <v>213</v>
      </c>
      <c r="C519" t="s">
        <v>7</v>
      </c>
      <c r="D519" t="s">
        <v>22</v>
      </c>
      <c r="E519" t="s">
        <v>918</v>
      </c>
      <c r="F519" t="s">
        <v>1084</v>
      </c>
    </row>
    <row r="520" spans="1:6" x14ac:dyDescent="0.3">
      <c r="A520">
        <v>519</v>
      </c>
      <c r="B520" t="s">
        <v>325</v>
      </c>
      <c r="C520" t="s">
        <v>7</v>
      </c>
      <c r="D520" t="s">
        <v>12</v>
      </c>
      <c r="E520" t="s">
        <v>1085</v>
      </c>
      <c r="F520" t="s">
        <v>1086</v>
      </c>
    </row>
    <row r="521" spans="1:6" x14ac:dyDescent="0.3">
      <c r="A521">
        <v>520</v>
      </c>
      <c r="B521" t="s">
        <v>587</v>
      </c>
      <c r="C521" t="s">
        <v>7</v>
      </c>
      <c r="D521" t="s">
        <v>22</v>
      </c>
      <c r="E521" t="s">
        <v>187</v>
      </c>
      <c r="F521" t="s">
        <v>1087</v>
      </c>
    </row>
    <row r="522" spans="1:6" x14ac:dyDescent="0.3">
      <c r="A522">
        <v>521</v>
      </c>
      <c r="B522" t="s">
        <v>121</v>
      </c>
      <c r="C522" t="s">
        <v>7</v>
      </c>
      <c r="D522" t="s">
        <v>37</v>
      </c>
      <c r="E522" t="s">
        <v>671</v>
      </c>
      <c r="F522" t="s">
        <v>1088</v>
      </c>
    </row>
    <row r="523" spans="1:6" x14ac:dyDescent="0.3">
      <c r="A523">
        <v>522</v>
      </c>
      <c r="B523" t="s">
        <v>316</v>
      </c>
      <c r="C523" t="s">
        <v>7</v>
      </c>
      <c r="D523" t="s">
        <v>27</v>
      </c>
      <c r="E523" t="s">
        <v>1089</v>
      </c>
      <c r="F523" t="s">
        <v>1090</v>
      </c>
    </row>
    <row r="524" spans="1:6" x14ac:dyDescent="0.3">
      <c r="A524">
        <v>523</v>
      </c>
      <c r="B524" t="s">
        <v>882</v>
      </c>
      <c r="C524" t="s">
        <v>26</v>
      </c>
      <c r="D524" t="s">
        <v>8</v>
      </c>
      <c r="E524" t="s">
        <v>353</v>
      </c>
      <c r="F524" t="s">
        <v>1091</v>
      </c>
    </row>
    <row r="525" spans="1:6" x14ac:dyDescent="0.3">
      <c r="A525">
        <v>524</v>
      </c>
      <c r="B525" t="s">
        <v>43</v>
      </c>
      <c r="C525" t="s">
        <v>26</v>
      </c>
      <c r="D525" t="s">
        <v>22</v>
      </c>
      <c r="E525" t="s">
        <v>1092</v>
      </c>
      <c r="F525" t="s">
        <v>1093</v>
      </c>
    </row>
    <row r="526" spans="1:6" x14ac:dyDescent="0.3">
      <c r="A526">
        <v>525</v>
      </c>
      <c r="B526" t="s">
        <v>1094</v>
      </c>
      <c r="C526" t="s">
        <v>7</v>
      </c>
      <c r="D526" t="s">
        <v>72</v>
      </c>
      <c r="E526" t="s">
        <v>1095</v>
      </c>
      <c r="F526" t="s">
        <v>1096</v>
      </c>
    </row>
    <row r="527" spans="1:6" x14ac:dyDescent="0.3">
      <c r="A527">
        <v>526</v>
      </c>
      <c r="B527" t="s">
        <v>1097</v>
      </c>
      <c r="C527" t="s">
        <v>7</v>
      </c>
      <c r="D527" t="s">
        <v>72</v>
      </c>
      <c r="E527" t="s">
        <v>834</v>
      </c>
      <c r="F527" t="s">
        <v>1098</v>
      </c>
    </row>
    <row r="528" spans="1:6" x14ac:dyDescent="0.3">
      <c r="A528">
        <v>527</v>
      </c>
      <c r="B528" t="s">
        <v>496</v>
      </c>
      <c r="C528" t="s">
        <v>26</v>
      </c>
      <c r="D528" t="s">
        <v>8</v>
      </c>
      <c r="E528" t="s">
        <v>969</v>
      </c>
      <c r="F528" t="s">
        <v>1099</v>
      </c>
    </row>
    <row r="529" spans="1:6" x14ac:dyDescent="0.3">
      <c r="A529">
        <v>528</v>
      </c>
      <c r="B529" t="s">
        <v>316</v>
      </c>
      <c r="C529" t="s">
        <v>7</v>
      </c>
      <c r="D529" t="s">
        <v>12</v>
      </c>
      <c r="E529" t="s">
        <v>1100</v>
      </c>
      <c r="F529" t="s">
        <v>1101</v>
      </c>
    </row>
    <row r="530" spans="1:6" x14ac:dyDescent="0.3">
      <c r="A530">
        <v>529</v>
      </c>
      <c r="B530" t="s">
        <v>239</v>
      </c>
      <c r="C530" t="s">
        <v>7</v>
      </c>
      <c r="D530" t="s">
        <v>27</v>
      </c>
      <c r="E530" t="s">
        <v>1102</v>
      </c>
      <c r="F530" t="s">
        <v>1103</v>
      </c>
    </row>
    <row r="531" spans="1:6" x14ac:dyDescent="0.3">
      <c r="A531">
        <v>530</v>
      </c>
      <c r="B531" t="s">
        <v>496</v>
      </c>
      <c r="C531" t="s">
        <v>26</v>
      </c>
      <c r="D531" t="s">
        <v>37</v>
      </c>
      <c r="E531" t="s">
        <v>1104</v>
      </c>
      <c r="F531" t="s">
        <v>1105</v>
      </c>
    </row>
    <row r="532" spans="1:6" x14ac:dyDescent="0.3">
      <c r="A532">
        <v>531</v>
      </c>
      <c r="B532" t="s">
        <v>53</v>
      </c>
      <c r="C532" t="s">
        <v>26</v>
      </c>
      <c r="D532" t="s">
        <v>12</v>
      </c>
      <c r="E532" t="s">
        <v>637</v>
      </c>
      <c r="F532" t="s">
        <v>1106</v>
      </c>
    </row>
    <row r="533" spans="1:6" x14ac:dyDescent="0.3">
      <c r="A533">
        <v>532</v>
      </c>
      <c r="B533" t="s">
        <v>165</v>
      </c>
      <c r="C533" t="s">
        <v>7</v>
      </c>
      <c r="D533" t="s">
        <v>37</v>
      </c>
      <c r="E533" t="s">
        <v>1107</v>
      </c>
      <c r="F533" t="s">
        <v>1108</v>
      </c>
    </row>
    <row r="534" spans="1:6" x14ac:dyDescent="0.3">
      <c r="A534">
        <v>533</v>
      </c>
      <c r="B534" t="s">
        <v>333</v>
      </c>
      <c r="C534" t="s">
        <v>26</v>
      </c>
      <c r="D534" t="s">
        <v>44</v>
      </c>
      <c r="E534" t="s">
        <v>561</v>
      </c>
      <c r="F534" t="s">
        <v>1109</v>
      </c>
    </row>
    <row r="535" spans="1:6" x14ac:dyDescent="0.3">
      <c r="A535">
        <v>534</v>
      </c>
      <c r="B535" t="s">
        <v>371</v>
      </c>
      <c r="C535" t="s">
        <v>7</v>
      </c>
      <c r="D535" t="s">
        <v>12</v>
      </c>
      <c r="E535" t="s">
        <v>1110</v>
      </c>
      <c r="F535" t="s">
        <v>1111</v>
      </c>
    </row>
    <row r="536" spans="1:6" x14ac:dyDescent="0.3">
      <c r="A536">
        <v>535</v>
      </c>
      <c r="B536" t="s">
        <v>36</v>
      </c>
      <c r="C536" t="s">
        <v>7</v>
      </c>
      <c r="D536" t="s">
        <v>22</v>
      </c>
      <c r="E536" t="s">
        <v>54</v>
      </c>
      <c r="F536" t="s">
        <v>1112</v>
      </c>
    </row>
    <row r="537" spans="1:6" x14ac:dyDescent="0.3">
      <c r="A537">
        <v>536</v>
      </c>
      <c r="B537" t="s">
        <v>333</v>
      </c>
      <c r="C537" t="s">
        <v>26</v>
      </c>
      <c r="D537" t="s">
        <v>22</v>
      </c>
      <c r="E537" t="s">
        <v>369</v>
      </c>
      <c r="F537" t="s">
        <v>1113</v>
      </c>
    </row>
    <row r="538" spans="1:6" x14ac:dyDescent="0.3">
      <c r="A538">
        <v>537</v>
      </c>
      <c r="B538" t="s">
        <v>716</v>
      </c>
      <c r="C538" t="s">
        <v>7</v>
      </c>
      <c r="D538" t="s">
        <v>8</v>
      </c>
      <c r="E538" t="s">
        <v>79</v>
      </c>
      <c r="F538" t="s">
        <v>1114</v>
      </c>
    </row>
    <row r="539" spans="1:6" x14ac:dyDescent="0.3">
      <c r="A539">
        <v>538</v>
      </c>
      <c r="B539" t="s">
        <v>115</v>
      </c>
      <c r="C539" t="s">
        <v>26</v>
      </c>
      <c r="D539" t="s">
        <v>37</v>
      </c>
      <c r="E539" t="s">
        <v>337</v>
      </c>
      <c r="F539" t="s">
        <v>1115</v>
      </c>
    </row>
    <row r="540" spans="1:6" x14ac:dyDescent="0.3">
      <c r="A540">
        <v>539</v>
      </c>
      <c r="B540" t="s">
        <v>455</v>
      </c>
      <c r="C540" t="s">
        <v>26</v>
      </c>
      <c r="D540" t="s">
        <v>22</v>
      </c>
      <c r="E540" t="s">
        <v>1092</v>
      </c>
      <c r="F540" t="s">
        <v>1116</v>
      </c>
    </row>
    <row r="541" spans="1:6" x14ac:dyDescent="0.3">
      <c r="A541">
        <v>540</v>
      </c>
      <c r="B541" t="s">
        <v>732</v>
      </c>
      <c r="C541" t="s">
        <v>26</v>
      </c>
      <c r="D541" t="s">
        <v>8</v>
      </c>
      <c r="E541" t="s">
        <v>748</v>
      </c>
      <c r="F541" t="s">
        <v>1117</v>
      </c>
    </row>
    <row r="542" spans="1:6" x14ac:dyDescent="0.3">
      <c r="A542">
        <v>541</v>
      </c>
      <c r="B542" t="s">
        <v>213</v>
      </c>
      <c r="C542" t="s">
        <v>7</v>
      </c>
      <c r="D542" t="s">
        <v>12</v>
      </c>
      <c r="E542" t="s">
        <v>1118</v>
      </c>
      <c r="F542" t="s">
        <v>1119</v>
      </c>
    </row>
    <row r="543" spans="1:6" x14ac:dyDescent="0.3">
      <c r="A543">
        <v>542</v>
      </c>
      <c r="B543" t="s">
        <v>1046</v>
      </c>
      <c r="C543" t="s">
        <v>26</v>
      </c>
      <c r="D543" t="s">
        <v>27</v>
      </c>
      <c r="E543" t="s">
        <v>1120</v>
      </c>
      <c r="F543" t="s">
        <v>1121</v>
      </c>
    </row>
    <row r="544" spans="1:6" x14ac:dyDescent="0.3">
      <c r="A544">
        <v>543</v>
      </c>
      <c r="B544" t="s">
        <v>407</v>
      </c>
      <c r="C544" t="s">
        <v>7</v>
      </c>
      <c r="D544" t="s">
        <v>37</v>
      </c>
      <c r="E544" t="s">
        <v>122</v>
      </c>
      <c r="F544" t="s">
        <v>1122</v>
      </c>
    </row>
    <row r="545" spans="1:6" x14ac:dyDescent="0.3">
      <c r="A545">
        <v>544</v>
      </c>
      <c r="B545" t="s">
        <v>471</v>
      </c>
      <c r="C545" t="s">
        <v>7</v>
      </c>
      <c r="D545" t="s">
        <v>8</v>
      </c>
      <c r="E545" t="s">
        <v>1123</v>
      </c>
      <c r="F545" t="s">
        <v>1124</v>
      </c>
    </row>
    <row r="546" spans="1:6" x14ac:dyDescent="0.3">
      <c r="A546">
        <v>545</v>
      </c>
      <c r="B546" t="s">
        <v>383</v>
      </c>
      <c r="C546" t="s">
        <v>7</v>
      </c>
      <c r="D546" t="s">
        <v>22</v>
      </c>
      <c r="E546" t="s">
        <v>1125</v>
      </c>
      <c r="F546" t="s">
        <v>1126</v>
      </c>
    </row>
    <row r="547" spans="1:6" x14ac:dyDescent="0.3">
      <c r="A547">
        <v>546</v>
      </c>
      <c r="B547" t="s">
        <v>439</v>
      </c>
      <c r="C547" t="s">
        <v>7</v>
      </c>
      <c r="D547" t="s">
        <v>37</v>
      </c>
      <c r="E547" t="s">
        <v>775</v>
      </c>
      <c r="F547" t="s">
        <v>1127</v>
      </c>
    </row>
    <row r="548" spans="1:6" x14ac:dyDescent="0.3">
      <c r="A548">
        <v>547</v>
      </c>
      <c r="B548" t="s">
        <v>1128</v>
      </c>
      <c r="C548" t="s">
        <v>26</v>
      </c>
      <c r="D548" t="s">
        <v>12</v>
      </c>
      <c r="E548" t="s">
        <v>1129</v>
      </c>
      <c r="F548" t="s">
        <v>1130</v>
      </c>
    </row>
    <row r="549" spans="1:6" x14ac:dyDescent="0.3">
      <c r="A549">
        <v>548</v>
      </c>
      <c r="B549" t="s">
        <v>210</v>
      </c>
      <c r="C549" t="s">
        <v>26</v>
      </c>
      <c r="D549" t="s">
        <v>44</v>
      </c>
      <c r="E549" t="s">
        <v>1131</v>
      </c>
      <c r="F549" t="s">
        <v>1132</v>
      </c>
    </row>
    <row r="550" spans="1:6" x14ac:dyDescent="0.3">
      <c r="A550">
        <v>549</v>
      </c>
      <c r="B550" t="s">
        <v>165</v>
      </c>
      <c r="C550" t="s">
        <v>7</v>
      </c>
      <c r="D550" t="s">
        <v>22</v>
      </c>
      <c r="E550" t="s">
        <v>1133</v>
      </c>
      <c r="F550" t="s">
        <v>1134</v>
      </c>
    </row>
    <row r="551" spans="1:6" x14ac:dyDescent="0.3">
      <c r="A551">
        <v>550</v>
      </c>
      <c r="B551" t="s">
        <v>1135</v>
      </c>
      <c r="C551" t="s">
        <v>7</v>
      </c>
      <c r="D551" t="s">
        <v>27</v>
      </c>
      <c r="E551" t="s">
        <v>1136</v>
      </c>
      <c r="F551" t="s">
        <v>1137</v>
      </c>
    </row>
    <row r="552" spans="1:6" x14ac:dyDescent="0.3">
      <c r="A552">
        <v>551</v>
      </c>
      <c r="B552" t="s">
        <v>1076</v>
      </c>
      <c r="C552" t="s">
        <v>7</v>
      </c>
      <c r="D552" t="s">
        <v>8</v>
      </c>
      <c r="E552" t="s">
        <v>1138</v>
      </c>
      <c r="F552" t="s">
        <v>1139</v>
      </c>
    </row>
    <row r="553" spans="1:6" x14ac:dyDescent="0.3">
      <c r="A553">
        <v>552</v>
      </c>
      <c r="B553" t="s">
        <v>854</v>
      </c>
      <c r="C553" t="s">
        <v>7</v>
      </c>
      <c r="D553" t="s">
        <v>27</v>
      </c>
      <c r="E553" t="s">
        <v>1013</v>
      </c>
      <c r="F553" t="s">
        <v>1140</v>
      </c>
    </row>
    <row r="554" spans="1:6" x14ac:dyDescent="0.3">
      <c r="A554">
        <v>553</v>
      </c>
      <c r="B554" t="s">
        <v>560</v>
      </c>
      <c r="C554" t="s">
        <v>26</v>
      </c>
      <c r="D554" t="s">
        <v>12</v>
      </c>
      <c r="E554" t="s">
        <v>893</v>
      </c>
      <c r="F554" t="s">
        <v>1141</v>
      </c>
    </row>
    <row r="555" spans="1:6" x14ac:dyDescent="0.3">
      <c r="A555">
        <v>554</v>
      </c>
      <c r="B555" t="s">
        <v>106</v>
      </c>
      <c r="C555" t="s">
        <v>7</v>
      </c>
      <c r="D555" t="s">
        <v>12</v>
      </c>
      <c r="E555" t="s">
        <v>836</v>
      </c>
      <c r="F555" t="s">
        <v>1142</v>
      </c>
    </row>
    <row r="556" spans="1:6" x14ac:dyDescent="0.3">
      <c r="A556">
        <v>555</v>
      </c>
      <c r="B556" t="s">
        <v>902</v>
      </c>
      <c r="C556" t="s">
        <v>7</v>
      </c>
      <c r="D556" t="s">
        <v>22</v>
      </c>
      <c r="E556" t="s">
        <v>899</v>
      </c>
      <c r="F556" t="s">
        <v>1143</v>
      </c>
    </row>
    <row r="557" spans="1:6" x14ac:dyDescent="0.3">
      <c r="A557">
        <v>556</v>
      </c>
      <c r="B557" t="s">
        <v>15</v>
      </c>
      <c r="C557" t="s">
        <v>7</v>
      </c>
      <c r="D557" t="s">
        <v>22</v>
      </c>
      <c r="E557" t="s">
        <v>1144</v>
      </c>
      <c r="F557" t="s">
        <v>1145</v>
      </c>
    </row>
    <row r="558" spans="1:6" x14ac:dyDescent="0.3">
      <c r="A558">
        <v>557</v>
      </c>
      <c r="B558" t="s">
        <v>264</v>
      </c>
      <c r="C558" t="s">
        <v>7</v>
      </c>
      <c r="D558" t="s">
        <v>22</v>
      </c>
      <c r="E558" t="s">
        <v>592</v>
      </c>
      <c r="F558" t="s">
        <v>1146</v>
      </c>
    </row>
    <row r="559" spans="1:6" x14ac:dyDescent="0.3">
      <c r="A559">
        <v>558</v>
      </c>
      <c r="B559" t="s">
        <v>560</v>
      </c>
      <c r="C559" t="s">
        <v>26</v>
      </c>
      <c r="D559" t="s">
        <v>37</v>
      </c>
      <c r="E559" t="s">
        <v>904</v>
      </c>
      <c r="F559" t="s">
        <v>1147</v>
      </c>
    </row>
    <row r="560" spans="1:6" x14ac:dyDescent="0.3">
      <c r="A560">
        <v>559</v>
      </c>
      <c r="B560" t="s">
        <v>147</v>
      </c>
      <c r="C560" t="s">
        <v>7</v>
      </c>
      <c r="D560" t="s">
        <v>72</v>
      </c>
      <c r="E560" t="s">
        <v>1148</v>
      </c>
      <c r="F560" t="s">
        <v>1149</v>
      </c>
    </row>
    <row r="561" spans="1:6" x14ac:dyDescent="0.3">
      <c r="A561">
        <v>560</v>
      </c>
      <c r="B561" t="s">
        <v>1150</v>
      </c>
      <c r="C561" t="s">
        <v>7</v>
      </c>
      <c r="D561" t="s">
        <v>37</v>
      </c>
      <c r="E561" t="s">
        <v>1151</v>
      </c>
      <c r="F561" t="s">
        <v>1152</v>
      </c>
    </row>
    <row r="562" spans="1:6" x14ac:dyDescent="0.3">
      <c r="A562">
        <v>561</v>
      </c>
      <c r="B562" t="s">
        <v>127</v>
      </c>
      <c r="C562" t="s">
        <v>7</v>
      </c>
      <c r="D562" t="s">
        <v>27</v>
      </c>
      <c r="E562" t="s">
        <v>1153</v>
      </c>
      <c r="F562" t="s">
        <v>1154</v>
      </c>
    </row>
    <row r="563" spans="1:6" x14ac:dyDescent="0.3">
      <c r="A563">
        <v>562</v>
      </c>
      <c r="B563" t="s">
        <v>81</v>
      </c>
      <c r="C563" t="s">
        <v>7</v>
      </c>
      <c r="D563" t="s">
        <v>44</v>
      </c>
      <c r="E563" t="s">
        <v>1155</v>
      </c>
      <c r="F563" t="s">
        <v>1156</v>
      </c>
    </row>
    <row r="564" spans="1:6" x14ac:dyDescent="0.3">
      <c r="A564">
        <v>563</v>
      </c>
      <c r="B564" t="s">
        <v>635</v>
      </c>
      <c r="C564" t="s">
        <v>7</v>
      </c>
      <c r="D564" t="s">
        <v>44</v>
      </c>
      <c r="E564" t="s">
        <v>1157</v>
      </c>
      <c r="F564" t="s">
        <v>1158</v>
      </c>
    </row>
    <row r="565" spans="1:6" x14ac:dyDescent="0.3">
      <c r="A565">
        <v>564</v>
      </c>
      <c r="B565" t="s">
        <v>431</v>
      </c>
      <c r="C565" t="s">
        <v>26</v>
      </c>
      <c r="D565" t="s">
        <v>44</v>
      </c>
      <c r="E565" t="s">
        <v>274</v>
      </c>
      <c r="F565" t="s">
        <v>1159</v>
      </c>
    </row>
    <row r="566" spans="1:6" x14ac:dyDescent="0.3">
      <c r="A566">
        <v>565</v>
      </c>
      <c r="B566" t="s">
        <v>818</v>
      </c>
      <c r="C566" t="s">
        <v>7</v>
      </c>
      <c r="D566" t="s">
        <v>22</v>
      </c>
      <c r="E566" t="s">
        <v>1160</v>
      </c>
      <c r="F566" t="s">
        <v>1161</v>
      </c>
    </row>
    <row r="567" spans="1:6" x14ac:dyDescent="0.3">
      <c r="A567">
        <v>566</v>
      </c>
      <c r="B567" t="s">
        <v>40</v>
      </c>
      <c r="C567" t="s">
        <v>26</v>
      </c>
      <c r="D567" t="s">
        <v>8</v>
      </c>
      <c r="E567" t="s">
        <v>1162</v>
      </c>
      <c r="F567" t="s">
        <v>1163</v>
      </c>
    </row>
    <row r="568" spans="1:6" x14ac:dyDescent="0.3">
      <c r="A568">
        <v>567</v>
      </c>
      <c r="B568" t="s">
        <v>511</v>
      </c>
      <c r="C568" t="s">
        <v>26</v>
      </c>
      <c r="D568" t="s">
        <v>72</v>
      </c>
      <c r="E568" t="s">
        <v>1164</v>
      </c>
      <c r="F568" t="s">
        <v>1165</v>
      </c>
    </row>
    <row r="569" spans="1:6" x14ac:dyDescent="0.3">
      <c r="A569">
        <v>568</v>
      </c>
      <c r="B569" t="s">
        <v>574</v>
      </c>
      <c r="C569" t="s">
        <v>26</v>
      </c>
      <c r="D569" t="s">
        <v>44</v>
      </c>
      <c r="E569" t="s">
        <v>1166</v>
      </c>
      <c r="F569" t="s">
        <v>1167</v>
      </c>
    </row>
    <row r="570" spans="1:6" x14ac:dyDescent="0.3">
      <c r="A570">
        <v>569</v>
      </c>
      <c r="B570" t="s">
        <v>732</v>
      </c>
      <c r="C570" t="s">
        <v>26</v>
      </c>
      <c r="D570" t="s">
        <v>8</v>
      </c>
      <c r="E570" t="s">
        <v>16</v>
      </c>
      <c r="F570" t="s">
        <v>1168</v>
      </c>
    </row>
    <row r="571" spans="1:6" x14ac:dyDescent="0.3">
      <c r="A571">
        <v>570</v>
      </c>
      <c r="B571" t="s">
        <v>716</v>
      </c>
      <c r="C571" t="s">
        <v>7</v>
      </c>
      <c r="D571" t="s">
        <v>27</v>
      </c>
      <c r="E571" t="s">
        <v>477</v>
      </c>
      <c r="F571" t="s">
        <v>1169</v>
      </c>
    </row>
    <row r="572" spans="1:6" x14ac:dyDescent="0.3">
      <c r="A572">
        <v>571</v>
      </c>
      <c r="B572" t="s">
        <v>336</v>
      </c>
      <c r="C572" t="s">
        <v>7</v>
      </c>
      <c r="D572" t="s">
        <v>22</v>
      </c>
      <c r="E572" t="s">
        <v>1170</v>
      </c>
      <c r="F572" t="s">
        <v>1171</v>
      </c>
    </row>
    <row r="573" spans="1:6" x14ac:dyDescent="0.3">
      <c r="A573">
        <v>572</v>
      </c>
      <c r="B573" t="s">
        <v>751</v>
      </c>
      <c r="C573" t="s">
        <v>26</v>
      </c>
      <c r="D573" t="s">
        <v>22</v>
      </c>
      <c r="E573" t="s">
        <v>1172</v>
      </c>
      <c r="F573" t="s">
        <v>1173</v>
      </c>
    </row>
    <row r="574" spans="1:6" x14ac:dyDescent="0.3">
      <c r="A574">
        <v>573</v>
      </c>
      <c r="B574" t="s">
        <v>818</v>
      </c>
      <c r="C574" t="s">
        <v>7</v>
      </c>
      <c r="D574" t="s">
        <v>72</v>
      </c>
      <c r="E574" t="s">
        <v>195</v>
      </c>
      <c r="F574" t="s">
        <v>1174</v>
      </c>
    </row>
    <row r="575" spans="1:6" x14ac:dyDescent="0.3">
      <c r="A575">
        <v>574</v>
      </c>
      <c r="B575" t="s">
        <v>130</v>
      </c>
      <c r="C575" t="s">
        <v>7</v>
      </c>
      <c r="D575" t="s">
        <v>44</v>
      </c>
      <c r="E575" t="s">
        <v>1138</v>
      </c>
      <c r="F575" t="s">
        <v>1175</v>
      </c>
    </row>
    <row r="576" spans="1:6" x14ac:dyDescent="0.3">
      <c r="A576">
        <v>575</v>
      </c>
      <c r="B576" t="s">
        <v>389</v>
      </c>
      <c r="C576" t="s">
        <v>26</v>
      </c>
      <c r="D576" t="s">
        <v>12</v>
      </c>
      <c r="E576" t="s">
        <v>1176</v>
      </c>
      <c r="F576" t="s">
        <v>1177</v>
      </c>
    </row>
    <row r="577" spans="1:6" x14ac:dyDescent="0.3">
      <c r="A577">
        <v>576</v>
      </c>
      <c r="B577" t="s">
        <v>47</v>
      </c>
      <c r="C577" t="s">
        <v>7</v>
      </c>
      <c r="D577" t="s">
        <v>37</v>
      </c>
      <c r="E577" t="s">
        <v>1178</v>
      </c>
      <c r="F577" t="s">
        <v>1179</v>
      </c>
    </row>
    <row r="578" spans="1:6" x14ac:dyDescent="0.3">
      <c r="A578">
        <v>577</v>
      </c>
      <c r="B578" t="s">
        <v>581</v>
      </c>
      <c r="C578" t="s">
        <v>26</v>
      </c>
      <c r="D578" t="s">
        <v>37</v>
      </c>
      <c r="E578" t="s">
        <v>794</v>
      </c>
      <c r="F578" t="s">
        <v>1180</v>
      </c>
    </row>
    <row r="579" spans="1:6" x14ac:dyDescent="0.3">
      <c r="A579">
        <v>578</v>
      </c>
      <c r="B579" t="s">
        <v>157</v>
      </c>
      <c r="C579" t="s">
        <v>7</v>
      </c>
      <c r="D579" t="s">
        <v>37</v>
      </c>
      <c r="E579" t="s">
        <v>614</v>
      </c>
      <c r="F579" t="s">
        <v>1181</v>
      </c>
    </row>
    <row r="580" spans="1:6" x14ac:dyDescent="0.3">
      <c r="A580">
        <v>579</v>
      </c>
      <c r="B580" t="s">
        <v>210</v>
      </c>
      <c r="C580" t="s">
        <v>26</v>
      </c>
      <c r="D580" t="s">
        <v>44</v>
      </c>
      <c r="E580" t="s">
        <v>990</v>
      </c>
      <c r="F580" t="s">
        <v>1182</v>
      </c>
    </row>
    <row r="581" spans="1:6" x14ac:dyDescent="0.3">
      <c r="A581">
        <v>580</v>
      </c>
      <c r="B581" t="s">
        <v>103</v>
      </c>
      <c r="C581" t="s">
        <v>7</v>
      </c>
      <c r="D581" t="s">
        <v>22</v>
      </c>
      <c r="E581" t="s">
        <v>1183</v>
      </c>
      <c r="F581" t="s">
        <v>1184</v>
      </c>
    </row>
    <row r="582" spans="1:6" x14ac:dyDescent="0.3">
      <c r="A582">
        <v>581</v>
      </c>
      <c r="B582" t="s">
        <v>618</v>
      </c>
      <c r="C582" t="s">
        <v>26</v>
      </c>
      <c r="D582" t="s">
        <v>8</v>
      </c>
      <c r="E582" t="s">
        <v>1185</v>
      </c>
      <c r="F582" t="s">
        <v>1186</v>
      </c>
    </row>
    <row r="583" spans="1:6" x14ac:dyDescent="0.3">
      <c r="A583">
        <v>582</v>
      </c>
      <c r="B583" t="s">
        <v>1046</v>
      </c>
      <c r="C583" t="s">
        <v>26</v>
      </c>
      <c r="D583" t="s">
        <v>22</v>
      </c>
      <c r="E583" t="s">
        <v>76</v>
      </c>
      <c r="F583" t="s">
        <v>1187</v>
      </c>
    </row>
    <row r="584" spans="1:6" x14ac:dyDescent="0.3">
      <c r="A584">
        <v>583</v>
      </c>
      <c r="B584" t="s">
        <v>365</v>
      </c>
      <c r="C584" t="s">
        <v>26</v>
      </c>
      <c r="D584" t="s">
        <v>8</v>
      </c>
      <c r="E584" t="s">
        <v>28</v>
      </c>
      <c r="F584" t="s">
        <v>1188</v>
      </c>
    </row>
    <row r="585" spans="1:6" x14ac:dyDescent="0.3">
      <c r="A585">
        <v>584</v>
      </c>
      <c r="B585" t="s">
        <v>630</v>
      </c>
      <c r="C585" t="s">
        <v>7</v>
      </c>
      <c r="D585" t="s">
        <v>27</v>
      </c>
      <c r="E585" t="s">
        <v>1189</v>
      </c>
      <c r="F585" t="s">
        <v>1190</v>
      </c>
    </row>
    <row r="586" spans="1:6" x14ac:dyDescent="0.3">
      <c r="A586">
        <v>585</v>
      </c>
      <c r="B586" t="s">
        <v>450</v>
      </c>
      <c r="C586" t="s">
        <v>26</v>
      </c>
      <c r="D586" t="s">
        <v>37</v>
      </c>
      <c r="E586" t="s">
        <v>1191</v>
      </c>
      <c r="F586" t="s">
        <v>1192</v>
      </c>
    </row>
    <row r="587" spans="1:6" x14ac:dyDescent="0.3">
      <c r="A587">
        <v>586</v>
      </c>
      <c r="B587" t="s">
        <v>213</v>
      </c>
      <c r="C587" t="s">
        <v>7</v>
      </c>
      <c r="D587" t="s">
        <v>22</v>
      </c>
      <c r="E587" t="s">
        <v>682</v>
      </c>
      <c r="F587" t="s">
        <v>1193</v>
      </c>
    </row>
    <row r="588" spans="1:6" x14ac:dyDescent="0.3">
      <c r="A588">
        <v>587</v>
      </c>
      <c r="B588" t="s">
        <v>226</v>
      </c>
      <c r="C588" t="s">
        <v>26</v>
      </c>
      <c r="D588" t="s">
        <v>22</v>
      </c>
      <c r="E588" t="s">
        <v>628</v>
      </c>
      <c r="F588" t="s">
        <v>1194</v>
      </c>
    </row>
    <row r="589" spans="1:6" x14ac:dyDescent="0.3">
      <c r="A589">
        <v>588</v>
      </c>
      <c r="B589" t="s">
        <v>744</v>
      </c>
      <c r="C589" t="s">
        <v>7</v>
      </c>
      <c r="D589" t="s">
        <v>37</v>
      </c>
      <c r="E589" t="s">
        <v>314</v>
      </c>
      <c r="F589" t="s">
        <v>1195</v>
      </c>
    </row>
    <row r="590" spans="1:6" x14ac:dyDescent="0.3">
      <c r="A590">
        <v>589</v>
      </c>
      <c r="B590" t="s">
        <v>485</v>
      </c>
      <c r="C590" t="s">
        <v>26</v>
      </c>
      <c r="D590" t="s">
        <v>12</v>
      </c>
      <c r="E590" t="s">
        <v>1196</v>
      </c>
      <c r="F590" t="s">
        <v>1197</v>
      </c>
    </row>
    <row r="591" spans="1:6" x14ac:dyDescent="0.3">
      <c r="A591">
        <v>590</v>
      </c>
      <c r="B591" t="s">
        <v>135</v>
      </c>
      <c r="C591" t="s">
        <v>26</v>
      </c>
      <c r="D591" t="s">
        <v>12</v>
      </c>
      <c r="E591" t="s">
        <v>827</v>
      </c>
      <c r="F591" t="s">
        <v>1198</v>
      </c>
    </row>
    <row r="592" spans="1:6" x14ac:dyDescent="0.3">
      <c r="A592">
        <v>591</v>
      </c>
      <c r="B592" t="s">
        <v>133</v>
      </c>
      <c r="C592" t="s">
        <v>7</v>
      </c>
      <c r="D592" t="s">
        <v>12</v>
      </c>
      <c r="E592" t="s">
        <v>110</v>
      </c>
      <c r="F592" t="s">
        <v>1199</v>
      </c>
    </row>
    <row r="593" spans="1:6" x14ac:dyDescent="0.3">
      <c r="A593">
        <v>592</v>
      </c>
      <c r="B593" t="s">
        <v>407</v>
      </c>
      <c r="C593" t="s">
        <v>7</v>
      </c>
      <c r="D593" t="s">
        <v>8</v>
      </c>
      <c r="E593" t="s">
        <v>1170</v>
      </c>
      <c r="F593" t="s">
        <v>1200</v>
      </c>
    </row>
    <row r="594" spans="1:6" x14ac:dyDescent="0.3">
      <c r="A594">
        <v>593</v>
      </c>
      <c r="B594" t="s">
        <v>118</v>
      </c>
      <c r="C594" t="s">
        <v>7</v>
      </c>
      <c r="D594" t="s">
        <v>37</v>
      </c>
      <c r="E594" t="s">
        <v>1201</v>
      </c>
      <c r="F594" t="s">
        <v>1202</v>
      </c>
    </row>
    <row r="595" spans="1:6" x14ac:dyDescent="0.3">
      <c r="A595">
        <v>594</v>
      </c>
      <c r="B595" t="s">
        <v>548</v>
      </c>
      <c r="C595" t="s">
        <v>7</v>
      </c>
      <c r="D595" t="s">
        <v>22</v>
      </c>
      <c r="E595" t="s">
        <v>1203</v>
      </c>
      <c r="F595" t="s">
        <v>1204</v>
      </c>
    </row>
    <row r="596" spans="1:6" x14ac:dyDescent="0.3">
      <c r="A596">
        <v>595</v>
      </c>
      <c r="B596" t="s">
        <v>479</v>
      </c>
      <c r="C596" t="s">
        <v>26</v>
      </c>
      <c r="D596" t="s">
        <v>72</v>
      </c>
      <c r="E596" t="s">
        <v>320</v>
      </c>
      <c r="F596" t="s">
        <v>1205</v>
      </c>
    </row>
    <row r="597" spans="1:6" x14ac:dyDescent="0.3">
      <c r="A597">
        <v>596</v>
      </c>
      <c r="B597" t="s">
        <v>383</v>
      </c>
      <c r="C597" t="s">
        <v>7</v>
      </c>
      <c r="D597" t="s">
        <v>12</v>
      </c>
      <c r="E597" t="s">
        <v>1138</v>
      </c>
      <c r="F597" t="s">
        <v>1206</v>
      </c>
    </row>
    <row r="598" spans="1:6" x14ac:dyDescent="0.3">
      <c r="A598">
        <v>597</v>
      </c>
      <c r="B598" t="s">
        <v>635</v>
      </c>
      <c r="C598" t="s">
        <v>7</v>
      </c>
      <c r="D598" t="s">
        <v>12</v>
      </c>
      <c r="E598" t="s">
        <v>1207</v>
      </c>
      <c r="F598" t="s">
        <v>1208</v>
      </c>
    </row>
    <row r="599" spans="1:6" x14ac:dyDescent="0.3">
      <c r="A599">
        <v>598</v>
      </c>
      <c r="B599" t="s">
        <v>716</v>
      </c>
      <c r="C599" t="s">
        <v>7</v>
      </c>
      <c r="D599" t="s">
        <v>72</v>
      </c>
      <c r="E599" t="s">
        <v>1209</v>
      </c>
      <c r="F599" t="s">
        <v>1210</v>
      </c>
    </row>
    <row r="600" spans="1:6" x14ac:dyDescent="0.3">
      <c r="A600">
        <v>599</v>
      </c>
      <c r="B600" t="s">
        <v>957</v>
      </c>
      <c r="C600" t="s">
        <v>26</v>
      </c>
      <c r="D600" t="s">
        <v>44</v>
      </c>
      <c r="E600" t="s">
        <v>271</v>
      </c>
      <c r="F600" t="s">
        <v>1211</v>
      </c>
    </row>
    <row r="601" spans="1:6" x14ac:dyDescent="0.3">
      <c r="A601">
        <v>600</v>
      </c>
      <c r="B601" t="s">
        <v>1128</v>
      </c>
      <c r="C601" t="s">
        <v>26</v>
      </c>
      <c r="D601" t="s">
        <v>22</v>
      </c>
      <c r="E601" t="s">
        <v>1212</v>
      </c>
      <c r="F601" t="s">
        <v>1213</v>
      </c>
    </row>
    <row r="602" spans="1:6" x14ac:dyDescent="0.3">
      <c r="A602">
        <v>601</v>
      </c>
      <c r="B602" t="s">
        <v>210</v>
      </c>
      <c r="C602" t="s">
        <v>26</v>
      </c>
      <c r="D602" t="s">
        <v>22</v>
      </c>
      <c r="E602" t="s">
        <v>637</v>
      </c>
      <c r="F602" t="s">
        <v>1214</v>
      </c>
    </row>
    <row r="603" spans="1:6" x14ac:dyDescent="0.3">
      <c r="A603">
        <v>602</v>
      </c>
      <c r="B603" t="s">
        <v>289</v>
      </c>
      <c r="C603" t="s">
        <v>26</v>
      </c>
      <c r="D603" t="s">
        <v>37</v>
      </c>
      <c r="E603" t="s">
        <v>279</v>
      </c>
      <c r="F603" t="s">
        <v>1215</v>
      </c>
    </row>
    <row r="604" spans="1:6" x14ac:dyDescent="0.3">
      <c r="A604">
        <v>603</v>
      </c>
      <c r="B604" t="s">
        <v>368</v>
      </c>
      <c r="C604" t="s">
        <v>26</v>
      </c>
      <c r="D604" t="s">
        <v>72</v>
      </c>
      <c r="E604" t="s">
        <v>780</v>
      </c>
      <c r="F604" t="s">
        <v>1216</v>
      </c>
    </row>
    <row r="605" spans="1:6" x14ac:dyDescent="0.3">
      <c r="A605">
        <v>604</v>
      </c>
      <c r="B605" t="s">
        <v>319</v>
      </c>
      <c r="C605" t="s">
        <v>26</v>
      </c>
      <c r="D605" t="s">
        <v>44</v>
      </c>
      <c r="E605" t="s">
        <v>353</v>
      </c>
      <c r="F605" t="s">
        <v>1217</v>
      </c>
    </row>
    <row r="606" spans="1:6" x14ac:dyDescent="0.3">
      <c r="A606">
        <v>605</v>
      </c>
      <c r="B606" t="s">
        <v>1218</v>
      </c>
      <c r="C606" t="s">
        <v>7</v>
      </c>
      <c r="D606" t="s">
        <v>8</v>
      </c>
      <c r="E606" t="s">
        <v>323</v>
      </c>
      <c r="F606" t="s">
        <v>1219</v>
      </c>
    </row>
    <row r="607" spans="1:6" x14ac:dyDescent="0.3">
      <c r="A607">
        <v>606</v>
      </c>
      <c r="B607" t="s">
        <v>342</v>
      </c>
      <c r="C607" t="s">
        <v>26</v>
      </c>
      <c r="D607" t="s">
        <v>72</v>
      </c>
      <c r="E607" t="s">
        <v>611</v>
      </c>
      <c r="F607" t="s">
        <v>1220</v>
      </c>
    </row>
    <row r="608" spans="1:6" x14ac:dyDescent="0.3">
      <c r="A608">
        <v>607</v>
      </c>
      <c r="B608" t="s">
        <v>723</v>
      </c>
      <c r="C608" t="s">
        <v>26</v>
      </c>
      <c r="D608" t="s">
        <v>12</v>
      </c>
      <c r="E608" t="s">
        <v>733</v>
      </c>
      <c r="F608" t="s">
        <v>1221</v>
      </c>
    </row>
    <row r="609" spans="1:6" x14ac:dyDescent="0.3">
      <c r="A609">
        <v>608</v>
      </c>
      <c r="B609" t="s">
        <v>569</v>
      </c>
      <c r="C609" t="s">
        <v>7</v>
      </c>
      <c r="D609" t="s">
        <v>37</v>
      </c>
      <c r="E609" t="s">
        <v>848</v>
      </c>
      <c r="F609" t="s">
        <v>1222</v>
      </c>
    </row>
    <row r="610" spans="1:6" x14ac:dyDescent="0.3">
      <c r="A610">
        <v>609</v>
      </c>
      <c r="B610" t="s">
        <v>963</v>
      </c>
      <c r="C610" t="s">
        <v>7</v>
      </c>
      <c r="D610" t="s">
        <v>72</v>
      </c>
      <c r="E610" t="s">
        <v>1223</v>
      </c>
      <c r="F610" t="s">
        <v>1224</v>
      </c>
    </row>
    <row r="611" spans="1:6" x14ac:dyDescent="0.3">
      <c r="A611">
        <v>610</v>
      </c>
      <c r="B611" t="s">
        <v>569</v>
      </c>
      <c r="C611" t="s">
        <v>7</v>
      </c>
      <c r="D611" t="s">
        <v>22</v>
      </c>
      <c r="E611" t="s">
        <v>1225</v>
      </c>
      <c r="F611" t="s">
        <v>1226</v>
      </c>
    </row>
    <row r="612" spans="1:6" x14ac:dyDescent="0.3">
      <c r="A612">
        <v>611</v>
      </c>
      <c r="B612" t="s">
        <v>313</v>
      </c>
      <c r="C612" t="s">
        <v>7</v>
      </c>
      <c r="D612" t="s">
        <v>12</v>
      </c>
      <c r="E612" t="s">
        <v>1227</v>
      </c>
      <c r="F612" t="s">
        <v>1228</v>
      </c>
    </row>
    <row r="613" spans="1:6" x14ac:dyDescent="0.3">
      <c r="A613">
        <v>612</v>
      </c>
      <c r="B613" t="s">
        <v>202</v>
      </c>
      <c r="C613" t="s">
        <v>26</v>
      </c>
      <c r="D613" t="s">
        <v>37</v>
      </c>
      <c r="E613" t="s">
        <v>763</v>
      </c>
      <c r="F613" t="s">
        <v>1229</v>
      </c>
    </row>
    <row r="614" spans="1:6" x14ac:dyDescent="0.3">
      <c r="A614">
        <v>613</v>
      </c>
      <c r="B614" t="s">
        <v>15</v>
      </c>
      <c r="C614" t="s">
        <v>7</v>
      </c>
      <c r="D614" t="s">
        <v>44</v>
      </c>
      <c r="E614" t="s">
        <v>867</v>
      </c>
      <c r="F614" t="s">
        <v>1230</v>
      </c>
    </row>
    <row r="615" spans="1:6" x14ac:dyDescent="0.3">
      <c r="A615">
        <v>614</v>
      </c>
      <c r="B615" t="s">
        <v>396</v>
      </c>
      <c r="C615" t="s">
        <v>26</v>
      </c>
      <c r="D615" t="s">
        <v>72</v>
      </c>
      <c r="E615" t="s">
        <v>444</v>
      </c>
      <c r="F615" t="s">
        <v>1231</v>
      </c>
    </row>
    <row r="616" spans="1:6" x14ac:dyDescent="0.3">
      <c r="A616">
        <v>615</v>
      </c>
      <c r="B616" t="s">
        <v>635</v>
      </c>
      <c r="C616" t="s">
        <v>7</v>
      </c>
      <c r="D616" t="s">
        <v>72</v>
      </c>
      <c r="E616" t="s">
        <v>1232</v>
      </c>
      <c r="F616" t="s">
        <v>1233</v>
      </c>
    </row>
    <row r="617" spans="1:6" x14ac:dyDescent="0.3">
      <c r="A617">
        <v>616</v>
      </c>
      <c r="B617" t="s">
        <v>957</v>
      </c>
      <c r="C617" t="s">
        <v>26</v>
      </c>
      <c r="D617" t="s">
        <v>27</v>
      </c>
      <c r="E617" t="s">
        <v>1234</v>
      </c>
      <c r="F617" t="s">
        <v>1235</v>
      </c>
    </row>
    <row r="618" spans="1:6" x14ac:dyDescent="0.3">
      <c r="A618">
        <v>617</v>
      </c>
      <c r="B618" t="s">
        <v>1097</v>
      </c>
      <c r="C618" t="s">
        <v>7</v>
      </c>
      <c r="D618" t="s">
        <v>44</v>
      </c>
      <c r="E618" t="s">
        <v>1236</v>
      </c>
      <c r="F618" t="s">
        <v>1237</v>
      </c>
    </row>
    <row r="619" spans="1:6" x14ac:dyDescent="0.3">
      <c r="A619">
        <v>618</v>
      </c>
      <c r="B619" t="s">
        <v>127</v>
      </c>
      <c r="C619" t="s">
        <v>7</v>
      </c>
      <c r="D619" t="s">
        <v>44</v>
      </c>
      <c r="E619" t="s">
        <v>442</v>
      </c>
      <c r="F619" t="s">
        <v>1238</v>
      </c>
    </row>
    <row r="620" spans="1:6" x14ac:dyDescent="0.3">
      <c r="A620">
        <v>619</v>
      </c>
      <c r="B620" t="s">
        <v>581</v>
      </c>
      <c r="C620" t="s">
        <v>26</v>
      </c>
      <c r="D620" t="s">
        <v>27</v>
      </c>
      <c r="E620" t="s">
        <v>1239</v>
      </c>
      <c r="F620" t="s">
        <v>1240</v>
      </c>
    </row>
    <row r="621" spans="1:6" x14ac:dyDescent="0.3">
      <c r="A621">
        <v>620</v>
      </c>
      <c r="B621" t="s">
        <v>618</v>
      </c>
      <c r="C621" t="s">
        <v>26</v>
      </c>
      <c r="D621" t="s">
        <v>44</v>
      </c>
      <c r="E621" t="s">
        <v>386</v>
      </c>
      <c r="F621" t="s">
        <v>1241</v>
      </c>
    </row>
    <row r="622" spans="1:6" x14ac:dyDescent="0.3">
      <c r="A622">
        <v>621</v>
      </c>
      <c r="B622" t="s">
        <v>95</v>
      </c>
      <c r="C622" t="s">
        <v>7</v>
      </c>
      <c r="D622" t="s">
        <v>37</v>
      </c>
      <c r="E622" t="s">
        <v>1242</v>
      </c>
      <c r="F622" t="s">
        <v>97</v>
      </c>
    </row>
    <row r="623" spans="1:6" x14ac:dyDescent="0.3">
      <c r="A623">
        <v>622</v>
      </c>
      <c r="B623" t="s">
        <v>1046</v>
      </c>
      <c r="C623" t="s">
        <v>26</v>
      </c>
      <c r="D623" t="s">
        <v>44</v>
      </c>
      <c r="E623" t="s">
        <v>1243</v>
      </c>
      <c r="F623" t="s">
        <v>1244</v>
      </c>
    </row>
    <row r="624" spans="1:6" x14ac:dyDescent="0.3">
      <c r="A624">
        <v>623</v>
      </c>
      <c r="B624" t="s">
        <v>613</v>
      </c>
      <c r="C624" t="s">
        <v>26</v>
      </c>
      <c r="D624" t="s">
        <v>44</v>
      </c>
      <c r="E624" t="s">
        <v>181</v>
      </c>
      <c r="F624" t="s">
        <v>1245</v>
      </c>
    </row>
    <row r="625" spans="1:6" x14ac:dyDescent="0.3">
      <c r="A625">
        <v>624</v>
      </c>
      <c r="B625" t="s">
        <v>152</v>
      </c>
      <c r="C625" t="s">
        <v>7</v>
      </c>
      <c r="D625" t="s">
        <v>44</v>
      </c>
      <c r="E625" t="s">
        <v>814</v>
      </c>
      <c r="F625" t="s">
        <v>1246</v>
      </c>
    </row>
    <row r="626" spans="1:6" x14ac:dyDescent="0.3">
      <c r="A626">
        <v>625</v>
      </c>
      <c r="B626" t="s">
        <v>68</v>
      </c>
      <c r="C626" t="s">
        <v>26</v>
      </c>
      <c r="D626" t="s">
        <v>72</v>
      </c>
      <c r="E626" t="s">
        <v>1247</v>
      </c>
      <c r="F626" t="s">
        <v>1248</v>
      </c>
    </row>
    <row r="627" spans="1:6" x14ac:dyDescent="0.3">
      <c r="A627">
        <v>626</v>
      </c>
      <c r="B627" t="s">
        <v>630</v>
      </c>
      <c r="C627" t="s">
        <v>7</v>
      </c>
      <c r="D627" t="s">
        <v>27</v>
      </c>
      <c r="E627" t="s">
        <v>765</v>
      </c>
      <c r="F627" t="s">
        <v>1249</v>
      </c>
    </row>
    <row r="628" spans="1:6" x14ac:dyDescent="0.3">
      <c r="A628">
        <v>627</v>
      </c>
      <c r="B628" t="s">
        <v>616</v>
      </c>
      <c r="C628" t="s">
        <v>7</v>
      </c>
      <c r="D628" t="s">
        <v>8</v>
      </c>
      <c r="E628" t="s">
        <v>1250</v>
      </c>
      <c r="F628" t="s">
        <v>1251</v>
      </c>
    </row>
    <row r="629" spans="1:6" x14ac:dyDescent="0.3">
      <c r="A629">
        <v>628</v>
      </c>
      <c r="B629" t="s">
        <v>389</v>
      </c>
      <c r="C629" t="s">
        <v>26</v>
      </c>
      <c r="D629" t="s">
        <v>22</v>
      </c>
      <c r="E629" t="s">
        <v>1252</v>
      </c>
      <c r="F629" t="s">
        <v>1253</v>
      </c>
    </row>
    <row r="630" spans="1:6" x14ac:dyDescent="0.3">
      <c r="A630">
        <v>629</v>
      </c>
      <c r="B630" t="s">
        <v>426</v>
      </c>
      <c r="C630" t="s">
        <v>26</v>
      </c>
      <c r="D630" t="s">
        <v>37</v>
      </c>
      <c r="E630" t="s">
        <v>942</v>
      </c>
      <c r="F630" t="s">
        <v>1254</v>
      </c>
    </row>
    <row r="631" spans="1:6" x14ac:dyDescent="0.3">
      <c r="A631">
        <v>630</v>
      </c>
      <c r="B631" t="s">
        <v>888</v>
      </c>
      <c r="C631" t="s">
        <v>7</v>
      </c>
      <c r="D631" t="s">
        <v>12</v>
      </c>
      <c r="E631" t="s">
        <v>1092</v>
      </c>
      <c r="F631" t="s">
        <v>1255</v>
      </c>
    </row>
    <row r="632" spans="1:6" x14ac:dyDescent="0.3">
      <c r="A632">
        <v>631</v>
      </c>
      <c r="B632" t="s">
        <v>952</v>
      </c>
      <c r="C632" t="s">
        <v>26</v>
      </c>
      <c r="D632" t="s">
        <v>72</v>
      </c>
      <c r="E632" t="s">
        <v>1256</v>
      </c>
      <c r="F632" t="s">
        <v>1257</v>
      </c>
    </row>
    <row r="633" spans="1:6" x14ac:dyDescent="0.3">
      <c r="A633">
        <v>632</v>
      </c>
      <c r="B633" t="s">
        <v>236</v>
      </c>
      <c r="C633" t="s">
        <v>26</v>
      </c>
      <c r="D633" t="s">
        <v>27</v>
      </c>
      <c r="E633" t="s">
        <v>1258</v>
      </c>
      <c r="F633" t="s">
        <v>1259</v>
      </c>
    </row>
    <row r="634" spans="1:6" x14ac:dyDescent="0.3">
      <c r="A634">
        <v>633</v>
      </c>
      <c r="B634" t="s">
        <v>407</v>
      </c>
      <c r="C634" t="s">
        <v>7</v>
      </c>
      <c r="D634" t="s">
        <v>22</v>
      </c>
      <c r="E634" t="s">
        <v>104</v>
      </c>
      <c r="F634" t="s">
        <v>1260</v>
      </c>
    </row>
    <row r="635" spans="1:6" x14ac:dyDescent="0.3">
      <c r="A635">
        <v>634</v>
      </c>
      <c r="B635" t="s">
        <v>1261</v>
      </c>
      <c r="C635" t="s">
        <v>7</v>
      </c>
      <c r="D635" t="s">
        <v>22</v>
      </c>
      <c r="E635" t="s">
        <v>1172</v>
      </c>
      <c r="F635" t="s">
        <v>1262</v>
      </c>
    </row>
    <row r="636" spans="1:6" x14ac:dyDescent="0.3">
      <c r="A636">
        <v>635</v>
      </c>
      <c r="B636" t="s">
        <v>393</v>
      </c>
      <c r="C636" t="s">
        <v>7</v>
      </c>
      <c r="D636" t="s">
        <v>8</v>
      </c>
      <c r="E636" t="s">
        <v>1263</v>
      </c>
      <c r="F636" t="s">
        <v>1264</v>
      </c>
    </row>
    <row r="637" spans="1:6" x14ac:dyDescent="0.3">
      <c r="A637">
        <v>636</v>
      </c>
      <c r="B637" t="s">
        <v>613</v>
      </c>
      <c r="C637" t="s">
        <v>26</v>
      </c>
      <c r="D637" t="s">
        <v>27</v>
      </c>
      <c r="E637" t="s">
        <v>256</v>
      </c>
      <c r="F637" t="s">
        <v>1265</v>
      </c>
    </row>
    <row r="638" spans="1:6" x14ac:dyDescent="0.3">
      <c r="A638">
        <v>637</v>
      </c>
      <c r="B638" t="s">
        <v>50</v>
      </c>
      <c r="C638" t="s">
        <v>7</v>
      </c>
      <c r="D638" t="s">
        <v>22</v>
      </c>
      <c r="E638" t="s">
        <v>243</v>
      </c>
      <c r="F638" t="s">
        <v>1266</v>
      </c>
    </row>
    <row r="639" spans="1:6" x14ac:dyDescent="0.3">
      <c r="A639">
        <v>638</v>
      </c>
      <c r="B639" t="s">
        <v>15</v>
      </c>
      <c r="C639" t="s">
        <v>7</v>
      </c>
      <c r="D639" t="s">
        <v>44</v>
      </c>
      <c r="E639" t="s">
        <v>1267</v>
      </c>
      <c r="F639" t="s">
        <v>1268</v>
      </c>
    </row>
    <row r="640" spans="1:6" x14ac:dyDescent="0.3">
      <c r="A640">
        <v>639</v>
      </c>
      <c r="B640" t="s">
        <v>833</v>
      </c>
      <c r="C640" t="s">
        <v>7</v>
      </c>
      <c r="D640" t="s">
        <v>12</v>
      </c>
      <c r="E640" t="s">
        <v>334</v>
      </c>
      <c r="F640" t="s">
        <v>1269</v>
      </c>
    </row>
    <row r="641" spans="1:6" x14ac:dyDescent="0.3">
      <c r="A641">
        <v>640</v>
      </c>
      <c r="B641" t="s">
        <v>168</v>
      </c>
      <c r="C641" t="s">
        <v>7</v>
      </c>
      <c r="D641" t="s">
        <v>27</v>
      </c>
      <c r="E641" t="s">
        <v>211</v>
      </c>
      <c r="F641" t="s">
        <v>1270</v>
      </c>
    </row>
    <row r="642" spans="1:6" x14ac:dyDescent="0.3">
      <c r="A642">
        <v>641</v>
      </c>
      <c r="B642" t="s">
        <v>75</v>
      </c>
      <c r="C642" t="s">
        <v>26</v>
      </c>
      <c r="D642" t="s">
        <v>22</v>
      </c>
      <c r="E642" t="s">
        <v>303</v>
      </c>
      <c r="F642" t="s">
        <v>1271</v>
      </c>
    </row>
    <row r="643" spans="1:6" x14ac:dyDescent="0.3">
      <c r="A643">
        <v>642</v>
      </c>
      <c r="B643" t="s">
        <v>133</v>
      </c>
      <c r="C643" t="s">
        <v>7</v>
      </c>
      <c r="D643" t="s">
        <v>8</v>
      </c>
      <c r="E643" t="s">
        <v>1272</v>
      </c>
      <c r="F643" t="s">
        <v>1273</v>
      </c>
    </row>
    <row r="644" spans="1:6" x14ac:dyDescent="0.3">
      <c r="A644">
        <v>643</v>
      </c>
      <c r="B644" t="s">
        <v>784</v>
      </c>
      <c r="C644" t="s">
        <v>7</v>
      </c>
      <c r="D644" t="s">
        <v>12</v>
      </c>
      <c r="E644" t="s">
        <v>1274</v>
      </c>
      <c r="F644" t="s">
        <v>1275</v>
      </c>
    </row>
    <row r="645" spans="1:6" x14ac:dyDescent="0.3">
      <c r="A645">
        <v>644</v>
      </c>
      <c r="B645" t="s">
        <v>1063</v>
      </c>
      <c r="C645" t="s">
        <v>7</v>
      </c>
      <c r="D645" t="s">
        <v>72</v>
      </c>
      <c r="E645" t="s">
        <v>814</v>
      </c>
      <c r="F645" t="s">
        <v>1276</v>
      </c>
    </row>
    <row r="646" spans="1:6" x14ac:dyDescent="0.3">
      <c r="A646">
        <v>645</v>
      </c>
      <c r="B646" t="s">
        <v>466</v>
      </c>
      <c r="C646" t="s">
        <v>7</v>
      </c>
      <c r="D646" t="s">
        <v>37</v>
      </c>
      <c r="E646" t="s">
        <v>1189</v>
      </c>
      <c r="F646" t="s">
        <v>1277</v>
      </c>
    </row>
    <row r="647" spans="1:6" x14ac:dyDescent="0.3">
      <c r="A647">
        <v>646</v>
      </c>
      <c r="B647" t="s">
        <v>90</v>
      </c>
      <c r="C647" t="s">
        <v>26</v>
      </c>
      <c r="D647" t="s">
        <v>22</v>
      </c>
      <c r="E647" t="s">
        <v>534</v>
      </c>
      <c r="F647" t="s">
        <v>1278</v>
      </c>
    </row>
    <row r="648" spans="1:6" x14ac:dyDescent="0.3">
      <c r="A648">
        <v>647</v>
      </c>
      <c r="B648" t="s">
        <v>6</v>
      </c>
      <c r="C648" t="s">
        <v>7</v>
      </c>
      <c r="D648" t="s">
        <v>27</v>
      </c>
      <c r="E648" t="s">
        <v>301</v>
      </c>
      <c r="F648" t="s">
        <v>1279</v>
      </c>
    </row>
    <row r="649" spans="1:6" x14ac:dyDescent="0.3">
      <c r="A649">
        <v>648</v>
      </c>
      <c r="B649" t="s">
        <v>596</v>
      </c>
      <c r="C649" t="s">
        <v>26</v>
      </c>
      <c r="D649" t="s">
        <v>44</v>
      </c>
      <c r="E649" t="s">
        <v>908</v>
      </c>
      <c r="F649" t="s">
        <v>1280</v>
      </c>
    </row>
    <row r="650" spans="1:6" x14ac:dyDescent="0.3">
      <c r="A650">
        <v>649</v>
      </c>
      <c r="B650" t="s">
        <v>630</v>
      </c>
      <c r="C650" t="s">
        <v>7</v>
      </c>
      <c r="D650" t="s">
        <v>72</v>
      </c>
      <c r="E650" t="s">
        <v>79</v>
      </c>
      <c r="F650" t="s">
        <v>1281</v>
      </c>
    </row>
    <row r="651" spans="1:6" x14ac:dyDescent="0.3">
      <c r="A651">
        <v>650</v>
      </c>
      <c r="B651" t="s">
        <v>171</v>
      </c>
      <c r="C651" t="s">
        <v>7</v>
      </c>
      <c r="D651" t="s">
        <v>8</v>
      </c>
      <c r="E651" t="s">
        <v>1282</v>
      </c>
      <c r="F651" t="s">
        <v>1283</v>
      </c>
    </row>
    <row r="652" spans="1:6" x14ac:dyDescent="0.3">
      <c r="A652">
        <v>651</v>
      </c>
      <c r="B652" t="s">
        <v>1046</v>
      </c>
      <c r="C652" t="s">
        <v>26</v>
      </c>
      <c r="D652" t="s">
        <v>12</v>
      </c>
      <c r="E652" t="s">
        <v>463</v>
      </c>
      <c r="F652" t="s">
        <v>1284</v>
      </c>
    </row>
    <row r="653" spans="1:6" x14ac:dyDescent="0.3">
      <c r="A653">
        <v>652</v>
      </c>
      <c r="B653" t="s">
        <v>310</v>
      </c>
      <c r="C653" t="s">
        <v>26</v>
      </c>
      <c r="D653" t="s">
        <v>37</v>
      </c>
      <c r="E653" t="s">
        <v>1285</v>
      </c>
      <c r="F653" t="s">
        <v>1286</v>
      </c>
    </row>
    <row r="654" spans="1:6" x14ac:dyDescent="0.3">
      <c r="A654">
        <v>653</v>
      </c>
      <c r="B654" t="s">
        <v>693</v>
      </c>
      <c r="C654" t="s">
        <v>7</v>
      </c>
      <c r="D654" t="s">
        <v>8</v>
      </c>
      <c r="E654" t="s">
        <v>1287</v>
      </c>
      <c r="F654" t="s">
        <v>1288</v>
      </c>
    </row>
    <row r="655" spans="1:6" x14ac:dyDescent="0.3">
      <c r="A655">
        <v>654</v>
      </c>
      <c r="B655" t="s">
        <v>252</v>
      </c>
      <c r="C655" t="s">
        <v>7</v>
      </c>
      <c r="D655" t="s">
        <v>27</v>
      </c>
      <c r="E655" t="s">
        <v>1289</v>
      </c>
      <c r="F655" t="s">
        <v>1290</v>
      </c>
    </row>
    <row r="656" spans="1:6" x14ac:dyDescent="0.3">
      <c r="A656">
        <v>655</v>
      </c>
      <c r="B656" t="s">
        <v>180</v>
      </c>
      <c r="C656" t="s">
        <v>7</v>
      </c>
      <c r="D656" t="s">
        <v>72</v>
      </c>
      <c r="E656" t="s">
        <v>1291</v>
      </c>
      <c r="F656" t="s">
        <v>1292</v>
      </c>
    </row>
    <row r="657" spans="1:6" x14ac:dyDescent="0.3">
      <c r="A657">
        <v>656</v>
      </c>
      <c r="B657" t="s">
        <v>488</v>
      </c>
      <c r="C657" t="s">
        <v>26</v>
      </c>
      <c r="D657" t="s">
        <v>37</v>
      </c>
      <c r="E657" t="s">
        <v>489</v>
      </c>
      <c r="F657" t="s">
        <v>1293</v>
      </c>
    </row>
    <row r="658" spans="1:6" x14ac:dyDescent="0.3">
      <c r="A658">
        <v>657</v>
      </c>
      <c r="B658" t="s">
        <v>590</v>
      </c>
      <c r="C658" t="s">
        <v>7</v>
      </c>
      <c r="D658" t="s">
        <v>27</v>
      </c>
      <c r="E658" t="s">
        <v>1294</v>
      </c>
      <c r="F658" t="s">
        <v>1295</v>
      </c>
    </row>
    <row r="659" spans="1:6" x14ac:dyDescent="0.3">
      <c r="A659">
        <v>658</v>
      </c>
      <c r="B659" t="s">
        <v>590</v>
      </c>
      <c r="C659" t="s">
        <v>7</v>
      </c>
      <c r="D659" t="s">
        <v>8</v>
      </c>
      <c r="E659" t="s">
        <v>514</v>
      </c>
      <c r="F659" t="s">
        <v>1296</v>
      </c>
    </row>
    <row r="660" spans="1:6" x14ac:dyDescent="0.3">
      <c r="A660">
        <v>659</v>
      </c>
      <c r="B660" t="s">
        <v>957</v>
      </c>
      <c r="C660" t="s">
        <v>26</v>
      </c>
      <c r="D660" t="s">
        <v>44</v>
      </c>
      <c r="E660" t="s">
        <v>792</v>
      </c>
      <c r="F660" t="s">
        <v>1297</v>
      </c>
    </row>
    <row r="661" spans="1:6" x14ac:dyDescent="0.3">
      <c r="A661">
        <v>660</v>
      </c>
      <c r="B661" t="s">
        <v>180</v>
      </c>
      <c r="C661" t="s">
        <v>7</v>
      </c>
      <c r="D661" t="s">
        <v>44</v>
      </c>
      <c r="E661" t="s">
        <v>906</v>
      </c>
      <c r="F661" t="s">
        <v>1298</v>
      </c>
    </row>
    <row r="662" spans="1:6" x14ac:dyDescent="0.3">
      <c r="A662">
        <v>661</v>
      </c>
      <c r="B662" t="s">
        <v>365</v>
      </c>
      <c r="C662" t="s">
        <v>26</v>
      </c>
      <c r="D662" t="s">
        <v>72</v>
      </c>
      <c r="E662" t="s">
        <v>1299</v>
      </c>
      <c r="F662" t="s">
        <v>1300</v>
      </c>
    </row>
    <row r="663" spans="1:6" x14ac:dyDescent="0.3">
      <c r="A663">
        <v>662</v>
      </c>
      <c r="B663" t="s">
        <v>264</v>
      </c>
      <c r="C663" t="s">
        <v>7</v>
      </c>
      <c r="D663" t="s">
        <v>72</v>
      </c>
      <c r="E663" t="s">
        <v>1013</v>
      </c>
      <c r="F663" t="s">
        <v>1301</v>
      </c>
    </row>
    <row r="664" spans="1:6" x14ac:dyDescent="0.3">
      <c r="A664">
        <v>663</v>
      </c>
      <c r="B664" t="s">
        <v>325</v>
      </c>
      <c r="C664" t="s">
        <v>7</v>
      </c>
      <c r="D664" t="s">
        <v>37</v>
      </c>
      <c r="E664" t="s">
        <v>192</v>
      </c>
      <c r="F664" t="s">
        <v>1302</v>
      </c>
    </row>
    <row r="665" spans="1:6" x14ac:dyDescent="0.3">
      <c r="A665">
        <v>664</v>
      </c>
      <c r="B665" t="s">
        <v>963</v>
      </c>
      <c r="C665" t="s">
        <v>7</v>
      </c>
      <c r="D665" t="s">
        <v>37</v>
      </c>
      <c r="E665" t="s">
        <v>1303</v>
      </c>
      <c r="F665" t="s">
        <v>1304</v>
      </c>
    </row>
    <row r="666" spans="1:6" x14ac:dyDescent="0.3">
      <c r="A666">
        <v>665</v>
      </c>
      <c r="B666" t="s">
        <v>300</v>
      </c>
      <c r="C666" t="s">
        <v>7</v>
      </c>
      <c r="D666" t="s">
        <v>12</v>
      </c>
      <c r="E666" t="s">
        <v>1305</v>
      </c>
      <c r="F666" t="s">
        <v>1306</v>
      </c>
    </row>
    <row r="667" spans="1:6" x14ac:dyDescent="0.3">
      <c r="A667">
        <v>666</v>
      </c>
      <c r="B667" t="s">
        <v>316</v>
      </c>
      <c r="C667" t="s">
        <v>7</v>
      </c>
      <c r="D667" t="s">
        <v>44</v>
      </c>
      <c r="E667" t="s">
        <v>1307</v>
      </c>
      <c r="F667" t="s">
        <v>1308</v>
      </c>
    </row>
    <row r="668" spans="1:6" x14ac:dyDescent="0.3">
      <c r="A668">
        <v>667</v>
      </c>
      <c r="B668" t="s">
        <v>661</v>
      </c>
      <c r="C668" t="s">
        <v>7</v>
      </c>
      <c r="D668" t="s">
        <v>37</v>
      </c>
      <c r="E668" t="s">
        <v>69</v>
      </c>
      <c r="F668" t="s">
        <v>1309</v>
      </c>
    </row>
    <row r="669" spans="1:6" x14ac:dyDescent="0.3">
      <c r="A669">
        <v>668</v>
      </c>
      <c r="B669" t="s">
        <v>305</v>
      </c>
      <c r="C669" t="s">
        <v>26</v>
      </c>
      <c r="D669" t="s">
        <v>37</v>
      </c>
      <c r="E669" t="s">
        <v>349</v>
      </c>
      <c r="F669" t="s">
        <v>1310</v>
      </c>
    </row>
    <row r="670" spans="1:6" x14ac:dyDescent="0.3">
      <c r="A670">
        <v>669</v>
      </c>
      <c r="B670" t="s">
        <v>174</v>
      </c>
      <c r="C670" t="s">
        <v>26</v>
      </c>
      <c r="D670" t="s">
        <v>12</v>
      </c>
      <c r="E670" t="s">
        <v>9</v>
      </c>
      <c r="F670" t="s">
        <v>1311</v>
      </c>
    </row>
    <row r="671" spans="1:6" x14ac:dyDescent="0.3">
      <c r="A671">
        <v>670</v>
      </c>
      <c r="B671" t="s">
        <v>294</v>
      </c>
      <c r="C671" t="s">
        <v>26</v>
      </c>
      <c r="D671" t="s">
        <v>37</v>
      </c>
      <c r="E671" t="s">
        <v>1312</v>
      </c>
      <c r="F671" t="s">
        <v>1313</v>
      </c>
    </row>
    <row r="672" spans="1:6" x14ac:dyDescent="0.3">
      <c r="A672">
        <v>671</v>
      </c>
      <c r="B672" t="s">
        <v>426</v>
      </c>
      <c r="C672" t="s">
        <v>26</v>
      </c>
      <c r="D672" t="s">
        <v>27</v>
      </c>
      <c r="E672" t="s">
        <v>1314</v>
      </c>
      <c r="F672" t="s">
        <v>1315</v>
      </c>
    </row>
    <row r="673" spans="1:6" x14ac:dyDescent="0.3">
      <c r="A673">
        <v>672</v>
      </c>
      <c r="B673" t="s">
        <v>258</v>
      </c>
      <c r="C673" t="s">
        <v>7</v>
      </c>
      <c r="D673" t="s">
        <v>27</v>
      </c>
      <c r="E673" t="s">
        <v>181</v>
      </c>
      <c r="F673" t="s">
        <v>1316</v>
      </c>
    </row>
    <row r="674" spans="1:6" x14ac:dyDescent="0.3">
      <c r="A674">
        <v>673</v>
      </c>
      <c r="B674" t="s">
        <v>144</v>
      </c>
      <c r="C674" t="s">
        <v>7</v>
      </c>
      <c r="D674" t="s">
        <v>12</v>
      </c>
      <c r="E674" t="s">
        <v>1317</v>
      </c>
      <c r="F674" t="s">
        <v>1318</v>
      </c>
    </row>
    <row r="675" spans="1:6" x14ac:dyDescent="0.3">
      <c r="A675">
        <v>674</v>
      </c>
      <c r="B675" t="s">
        <v>316</v>
      </c>
      <c r="C675" t="s">
        <v>7</v>
      </c>
      <c r="D675" t="s">
        <v>22</v>
      </c>
      <c r="E675" t="s">
        <v>1064</v>
      </c>
      <c r="F675" t="s">
        <v>1319</v>
      </c>
    </row>
    <row r="676" spans="1:6" x14ac:dyDescent="0.3">
      <c r="A676">
        <v>675</v>
      </c>
      <c r="B676" t="s">
        <v>789</v>
      </c>
      <c r="C676" t="s">
        <v>26</v>
      </c>
      <c r="D676" t="s">
        <v>12</v>
      </c>
      <c r="E676" t="s">
        <v>1320</v>
      </c>
      <c r="F676" t="s">
        <v>1321</v>
      </c>
    </row>
    <row r="677" spans="1:6" x14ac:dyDescent="0.3">
      <c r="A677">
        <v>676</v>
      </c>
      <c r="B677" t="s">
        <v>368</v>
      </c>
      <c r="C677" t="s">
        <v>26</v>
      </c>
      <c r="D677" t="s">
        <v>37</v>
      </c>
      <c r="E677" t="s">
        <v>460</v>
      </c>
      <c r="F677" t="s">
        <v>1322</v>
      </c>
    </row>
    <row r="678" spans="1:6" x14ac:dyDescent="0.3">
      <c r="A678">
        <v>677</v>
      </c>
      <c r="B678" t="s">
        <v>319</v>
      </c>
      <c r="C678" t="s">
        <v>26</v>
      </c>
      <c r="D678" t="s">
        <v>12</v>
      </c>
      <c r="E678" t="s">
        <v>1323</v>
      </c>
      <c r="F678" t="s">
        <v>1324</v>
      </c>
    </row>
    <row r="679" spans="1:6" x14ac:dyDescent="0.3">
      <c r="A679">
        <v>678</v>
      </c>
      <c r="B679" t="s">
        <v>1325</v>
      </c>
      <c r="C679" t="s">
        <v>7</v>
      </c>
      <c r="D679" t="s">
        <v>27</v>
      </c>
      <c r="E679" t="s">
        <v>122</v>
      </c>
      <c r="F679" t="s">
        <v>1326</v>
      </c>
    </row>
    <row r="680" spans="1:6" x14ac:dyDescent="0.3">
      <c r="A680">
        <v>679</v>
      </c>
      <c r="B680" t="s">
        <v>202</v>
      </c>
      <c r="C680" t="s">
        <v>26</v>
      </c>
      <c r="D680" t="s">
        <v>12</v>
      </c>
      <c r="E680" t="s">
        <v>1327</v>
      </c>
      <c r="F680" t="s">
        <v>1328</v>
      </c>
    </row>
    <row r="681" spans="1:6" x14ac:dyDescent="0.3">
      <c r="A681">
        <v>680</v>
      </c>
      <c r="B681" t="s">
        <v>278</v>
      </c>
      <c r="C681" t="s">
        <v>26</v>
      </c>
      <c r="D681" t="s">
        <v>72</v>
      </c>
      <c r="E681" t="s">
        <v>412</v>
      </c>
      <c r="F681" t="s">
        <v>1329</v>
      </c>
    </row>
    <row r="682" spans="1:6" x14ac:dyDescent="0.3">
      <c r="A682">
        <v>681</v>
      </c>
      <c r="B682" t="s">
        <v>133</v>
      </c>
      <c r="C682" t="s">
        <v>7</v>
      </c>
      <c r="D682" t="s">
        <v>44</v>
      </c>
      <c r="E682" t="s">
        <v>384</v>
      </c>
      <c r="F682" t="s">
        <v>1330</v>
      </c>
    </row>
    <row r="683" spans="1:6" x14ac:dyDescent="0.3">
      <c r="A683">
        <v>682</v>
      </c>
      <c r="B683" t="s">
        <v>245</v>
      </c>
      <c r="C683" t="s">
        <v>26</v>
      </c>
      <c r="D683" t="s">
        <v>12</v>
      </c>
      <c r="E683" t="s">
        <v>880</v>
      </c>
      <c r="F683" t="s">
        <v>1331</v>
      </c>
    </row>
    <row r="684" spans="1:6" x14ac:dyDescent="0.3">
      <c r="A684">
        <v>683</v>
      </c>
      <c r="B684" t="s">
        <v>18</v>
      </c>
      <c r="C684" t="s">
        <v>7</v>
      </c>
      <c r="D684" t="s">
        <v>72</v>
      </c>
      <c r="E684" t="s">
        <v>1332</v>
      </c>
      <c r="F684" t="s">
        <v>1333</v>
      </c>
    </row>
    <row r="685" spans="1:6" x14ac:dyDescent="0.3">
      <c r="A685">
        <v>684</v>
      </c>
      <c r="B685" t="s">
        <v>1334</v>
      </c>
      <c r="C685" t="s">
        <v>7</v>
      </c>
      <c r="D685" t="s">
        <v>44</v>
      </c>
      <c r="E685" t="s">
        <v>765</v>
      </c>
      <c r="F685" t="s">
        <v>1335</v>
      </c>
    </row>
    <row r="686" spans="1:6" x14ac:dyDescent="0.3">
      <c r="A686">
        <v>685</v>
      </c>
      <c r="B686" t="s">
        <v>718</v>
      </c>
      <c r="C686" t="s">
        <v>26</v>
      </c>
      <c r="D686" t="s">
        <v>27</v>
      </c>
      <c r="E686" t="s">
        <v>1336</v>
      </c>
      <c r="F686" t="s">
        <v>1337</v>
      </c>
    </row>
    <row r="687" spans="1:6" x14ac:dyDescent="0.3">
      <c r="A687">
        <v>686</v>
      </c>
      <c r="B687" t="s">
        <v>389</v>
      </c>
      <c r="C687" t="s">
        <v>26</v>
      </c>
      <c r="D687" t="s">
        <v>22</v>
      </c>
      <c r="E687" t="s">
        <v>1120</v>
      </c>
      <c r="F687" t="s">
        <v>1338</v>
      </c>
    </row>
    <row r="688" spans="1:6" x14ac:dyDescent="0.3">
      <c r="A688">
        <v>687</v>
      </c>
      <c r="B688" t="s">
        <v>162</v>
      </c>
      <c r="C688" t="s">
        <v>26</v>
      </c>
      <c r="D688" t="s">
        <v>22</v>
      </c>
      <c r="E688" t="s">
        <v>1339</v>
      </c>
      <c r="F688" t="s">
        <v>1340</v>
      </c>
    </row>
    <row r="689" spans="1:6" x14ac:dyDescent="0.3">
      <c r="A689">
        <v>688</v>
      </c>
      <c r="B689" t="s">
        <v>15</v>
      </c>
      <c r="C689" t="s">
        <v>7</v>
      </c>
      <c r="D689" t="s">
        <v>12</v>
      </c>
      <c r="E689" t="s">
        <v>745</v>
      </c>
      <c r="F689" t="s">
        <v>1341</v>
      </c>
    </row>
    <row r="690" spans="1:6" x14ac:dyDescent="0.3">
      <c r="A690">
        <v>689</v>
      </c>
      <c r="B690" t="s">
        <v>362</v>
      </c>
      <c r="C690" t="s">
        <v>7</v>
      </c>
      <c r="D690" t="s">
        <v>12</v>
      </c>
      <c r="E690" t="s">
        <v>1317</v>
      </c>
      <c r="F690" t="s">
        <v>1342</v>
      </c>
    </row>
    <row r="691" spans="1:6" x14ac:dyDescent="0.3">
      <c r="A691">
        <v>690</v>
      </c>
      <c r="B691" t="s">
        <v>300</v>
      </c>
      <c r="C691" t="s">
        <v>7</v>
      </c>
      <c r="D691" t="s">
        <v>27</v>
      </c>
      <c r="E691" t="s">
        <v>1207</v>
      </c>
      <c r="F691" t="s">
        <v>1343</v>
      </c>
    </row>
    <row r="692" spans="1:6" x14ac:dyDescent="0.3">
      <c r="A692">
        <v>691</v>
      </c>
      <c r="B692" t="s">
        <v>68</v>
      </c>
      <c r="C692" t="s">
        <v>26</v>
      </c>
      <c r="D692" t="s">
        <v>72</v>
      </c>
      <c r="E692" t="s">
        <v>13</v>
      </c>
      <c r="F692" t="s">
        <v>1344</v>
      </c>
    </row>
    <row r="693" spans="1:6" x14ac:dyDescent="0.3">
      <c r="A693">
        <v>692</v>
      </c>
      <c r="B693" t="s">
        <v>118</v>
      </c>
      <c r="C693" t="s">
        <v>7</v>
      </c>
      <c r="D693" t="s">
        <v>8</v>
      </c>
      <c r="E693" t="s">
        <v>651</v>
      </c>
      <c r="F693" t="s">
        <v>1345</v>
      </c>
    </row>
    <row r="694" spans="1:6" x14ac:dyDescent="0.3">
      <c r="A694">
        <v>693</v>
      </c>
      <c r="B694" t="s">
        <v>194</v>
      </c>
      <c r="C694" t="s">
        <v>7</v>
      </c>
      <c r="D694" t="s">
        <v>22</v>
      </c>
      <c r="E694" t="s">
        <v>1201</v>
      </c>
      <c r="F694" t="s">
        <v>1346</v>
      </c>
    </row>
    <row r="695" spans="1:6" x14ac:dyDescent="0.3">
      <c r="A695">
        <v>694</v>
      </c>
      <c r="B695" t="s">
        <v>252</v>
      </c>
      <c r="C695" t="s">
        <v>7</v>
      </c>
      <c r="D695" t="s">
        <v>72</v>
      </c>
      <c r="E695" t="s">
        <v>1347</v>
      </c>
      <c r="F695" t="s">
        <v>1348</v>
      </c>
    </row>
    <row r="696" spans="1:6" x14ac:dyDescent="0.3">
      <c r="A696">
        <v>695</v>
      </c>
      <c r="B696" t="s">
        <v>43</v>
      </c>
      <c r="C696" t="s">
        <v>26</v>
      </c>
      <c r="D696" t="s">
        <v>72</v>
      </c>
      <c r="E696" t="s">
        <v>145</v>
      </c>
      <c r="F696" t="s">
        <v>1349</v>
      </c>
    </row>
    <row r="697" spans="1:6" x14ac:dyDescent="0.3">
      <c r="A697">
        <v>696</v>
      </c>
      <c r="B697" t="s">
        <v>18</v>
      </c>
      <c r="C697" t="s">
        <v>7</v>
      </c>
      <c r="D697" t="s">
        <v>8</v>
      </c>
      <c r="E697" t="s">
        <v>1350</v>
      </c>
      <c r="F697" t="s">
        <v>1351</v>
      </c>
    </row>
    <row r="698" spans="1:6" x14ac:dyDescent="0.3">
      <c r="A698">
        <v>697</v>
      </c>
      <c r="B698" t="s">
        <v>557</v>
      </c>
      <c r="C698" t="s">
        <v>7</v>
      </c>
      <c r="D698" t="s">
        <v>27</v>
      </c>
      <c r="E698" t="s">
        <v>1352</v>
      </c>
      <c r="F698" t="s">
        <v>1353</v>
      </c>
    </row>
    <row r="699" spans="1:6" x14ac:dyDescent="0.3">
      <c r="A699">
        <v>698</v>
      </c>
      <c r="B699" t="s">
        <v>252</v>
      </c>
      <c r="C699" t="s">
        <v>7</v>
      </c>
      <c r="D699" t="s">
        <v>12</v>
      </c>
      <c r="E699" t="s">
        <v>355</v>
      </c>
      <c r="F699" t="s">
        <v>1354</v>
      </c>
    </row>
    <row r="700" spans="1:6" x14ac:dyDescent="0.3">
      <c r="A700">
        <v>699</v>
      </c>
      <c r="B700" t="s">
        <v>162</v>
      </c>
      <c r="C700" t="s">
        <v>26</v>
      </c>
      <c r="D700" t="s">
        <v>44</v>
      </c>
      <c r="E700" t="s">
        <v>1355</v>
      </c>
      <c r="F700" t="s">
        <v>1356</v>
      </c>
    </row>
    <row r="701" spans="1:6" x14ac:dyDescent="0.3">
      <c r="A701">
        <v>700</v>
      </c>
      <c r="B701" t="s">
        <v>1135</v>
      </c>
      <c r="C701" t="s">
        <v>7</v>
      </c>
      <c r="D701" t="s">
        <v>8</v>
      </c>
      <c r="E701" t="s">
        <v>1201</v>
      </c>
      <c r="F701" t="s">
        <v>1357</v>
      </c>
    </row>
    <row r="702" spans="1:6" x14ac:dyDescent="0.3">
      <c r="A702">
        <v>701</v>
      </c>
      <c r="B702" t="s">
        <v>11</v>
      </c>
      <c r="C702" t="s">
        <v>7</v>
      </c>
      <c r="D702" t="s">
        <v>27</v>
      </c>
      <c r="E702" t="s">
        <v>1358</v>
      </c>
      <c r="F702" t="s">
        <v>1359</v>
      </c>
    </row>
    <row r="703" spans="1:6" x14ac:dyDescent="0.3">
      <c r="A703">
        <v>702</v>
      </c>
      <c r="B703" t="s">
        <v>574</v>
      </c>
      <c r="C703" t="s">
        <v>26</v>
      </c>
      <c r="D703" t="s">
        <v>12</v>
      </c>
      <c r="E703" t="s">
        <v>1360</v>
      </c>
      <c r="F703" t="s">
        <v>1361</v>
      </c>
    </row>
    <row r="704" spans="1:6" x14ac:dyDescent="0.3">
      <c r="A704">
        <v>703</v>
      </c>
      <c r="B704" t="s">
        <v>1046</v>
      </c>
      <c r="C704" t="s">
        <v>26</v>
      </c>
      <c r="D704" t="s">
        <v>8</v>
      </c>
      <c r="E704" t="s">
        <v>1362</v>
      </c>
      <c r="F704" t="s">
        <v>1363</v>
      </c>
    </row>
    <row r="705" spans="1:6" x14ac:dyDescent="0.3">
      <c r="A705">
        <v>704</v>
      </c>
      <c r="B705" t="s">
        <v>245</v>
      </c>
      <c r="C705" t="s">
        <v>26</v>
      </c>
      <c r="D705" t="s">
        <v>12</v>
      </c>
      <c r="E705" t="s">
        <v>1282</v>
      </c>
      <c r="F705" t="s">
        <v>1364</v>
      </c>
    </row>
    <row r="706" spans="1:6" x14ac:dyDescent="0.3">
      <c r="A706">
        <v>705</v>
      </c>
      <c r="B706" t="s">
        <v>840</v>
      </c>
      <c r="C706" t="s">
        <v>26</v>
      </c>
      <c r="D706" t="s">
        <v>8</v>
      </c>
      <c r="E706" t="s">
        <v>1236</v>
      </c>
      <c r="F706" t="s">
        <v>1365</v>
      </c>
    </row>
    <row r="707" spans="1:6" x14ac:dyDescent="0.3">
      <c r="A707">
        <v>706</v>
      </c>
      <c r="B707" t="s">
        <v>833</v>
      </c>
      <c r="C707" t="s">
        <v>7</v>
      </c>
      <c r="D707" t="s">
        <v>12</v>
      </c>
      <c r="E707" t="s">
        <v>1366</v>
      </c>
      <c r="F707" t="s">
        <v>1367</v>
      </c>
    </row>
    <row r="708" spans="1:6" x14ac:dyDescent="0.3">
      <c r="A708">
        <v>707</v>
      </c>
      <c r="B708" t="s">
        <v>336</v>
      </c>
      <c r="C708" t="s">
        <v>7</v>
      </c>
      <c r="D708" t="s">
        <v>22</v>
      </c>
      <c r="E708" t="s">
        <v>1044</v>
      </c>
      <c r="F708" t="s">
        <v>1368</v>
      </c>
    </row>
    <row r="709" spans="1:6" x14ac:dyDescent="0.3">
      <c r="A709">
        <v>708</v>
      </c>
      <c r="B709" t="s">
        <v>396</v>
      </c>
      <c r="C709" t="s">
        <v>26</v>
      </c>
      <c r="D709" t="s">
        <v>37</v>
      </c>
      <c r="E709" t="s">
        <v>314</v>
      </c>
      <c r="F709" t="s">
        <v>1369</v>
      </c>
    </row>
    <row r="710" spans="1:6" x14ac:dyDescent="0.3">
      <c r="A710">
        <v>709</v>
      </c>
      <c r="B710" t="s">
        <v>383</v>
      </c>
      <c r="C710" t="s">
        <v>7</v>
      </c>
      <c r="D710" t="s">
        <v>8</v>
      </c>
      <c r="E710" t="s">
        <v>1291</v>
      </c>
      <c r="F710" t="s">
        <v>1370</v>
      </c>
    </row>
    <row r="711" spans="1:6" x14ac:dyDescent="0.3">
      <c r="A711">
        <v>710</v>
      </c>
      <c r="B711" t="s">
        <v>577</v>
      </c>
      <c r="C711" t="s">
        <v>26</v>
      </c>
      <c r="D711" t="s">
        <v>22</v>
      </c>
      <c r="E711" t="s">
        <v>1371</v>
      </c>
      <c r="F711" t="s">
        <v>1372</v>
      </c>
    </row>
    <row r="712" spans="1:6" x14ac:dyDescent="0.3">
      <c r="A712">
        <v>711</v>
      </c>
      <c r="B712" t="s">
        <v>665</v>
      </c>
      <c r="C712" t="s">
        <v>7</v>
      </c>
      <c r="D712" t="s">
        <v>12</v>
      </c>
      <c r="E712" t="s">
        <v>1373</v>
      </c>
      <c r="F712" t="s">
        <v>1374</v>
      </c>
    </row>
    <row r="713" spans="1:6" x14ac:dyDescent="0.3">
      <c r="A713">
        <v>712</v>
      </c>
      <c r="B713" t="s">
        <v>252</v>
      </c>
      <c r="C713" t="s">
        <v>7</v>
      </c>
      <c r="D713" t="s">
        <v>22</v>
      </c>
      <c r="E713" t="s">
        <v>107</v>
      </c>
      <c r="F713" t="s">
        <v>1375</v>
      </c>
    </row>
    <row r="714" spans="1:6" x14ac:dyDescent="0.3">
      <c r="A714">
        <v>713</v>
      </c>
      <c r="B714" t="s">
        <v>914</v>
      </c>
      <c r="C714" t="s">
        <v>7</v>
      </c>
      <c r="D714" t="s">
        <v>37</v>
      </c>
      <c r="E714" t="s">
        <v>1376</v>
      </c>
      <c r="F714" t="s">
        <v>1377</v>
      </c>
    </row>
    <row r="715" spans="1:6" x14ac:dyDescent="0.3">
      <c r="A715">
        <v>714</v>
      </c>
      <c r="B715" t="s">
        <v>371</v>
      </c>
      <c r="C715" t="s">
        <v>7</v>
      </c>
      <c r="D715" t="s">
        <v>8</v>
      </c>
      <c r="E715" t="s">
        <v>491</v>
      </c>
      <c r="F715" t="s">
        <v>1378</v>
      </c>
    </row>
    <row r="716" spans="1:6" x14ac:dyDescent="0.3">
      <c r="A716">
        <v>715</v>
      </c>
      <c r="B716" t="s">
        <v>554</v>
      </c>
      <c r="C716" t="s">
        <v>26</v>
      </c>
      <c r="D716" t="s">
        <v>37</v>
      </c>
      <c r="E716" t="s">
        <v>1312</v>
      </c>
      <c r="F716" t="s">
        <v>1379</v>
      </c>
    </row>
    <row r="717" spans="1:6" x14ac:dyDescent="0.3">
      <c r="A717">
        <v>716</v>
      </c>
      <c r="B717" t="s">
        <v>1380</v>
      </c>
      <c r="C717" t="s">
        <v>7</v>
      </c>
      <c r="D717" t="s">
        <v>37</v>
      </c>
      <c r="E717" t="s">
        <v>205</v>
      </c>
      <c r="F717" t="s">
        <v>1381</v>
      </c>
    </row>
    <row r="718" spans="1:6" x14ac:dyDescent="0.3">
      <c r="A718">
        <v>717</v>
      </c>
      <c r="B718" t="s">
        <v>147</v>
      </c>
      <c r="C718" t="s">
        <v>7</v>
      </c>
      <c r="D718" t="s">
        <v>22</v>
      </c>
      <c r="E718" t="s">
        <v>1382</v>
      </c>
      <c r="F718" t="s">
        <v>1383</v>
      </c>
    </row>
    <row r="719" spans="1:6" x14ac:dyDescent="0.3">
      <c r="A719">
        <v>718</v>
      </c>
      <c r="B719" t="s">
        <v>389</v>
      </c>
      <c r="C719" t="s">
        <v>26</v>
      </c>
      <c r="D719" t="s">
        <v>37</v>
      </c>
      <c r="E719" t="s">
        <v>1384</v>
      </c>
      <c r="F719" t="s">
        <v>1385</v>
      </c>
    </row>
    <row r="720" spans="1:6" x14ac:dyDescent="0.3">
      <c r="A720">
        <v>719</v>
      </c>
      <c r="B720" t="s">
        <v>716</v>
      </c>
      <c r="C720" t="s">
        <v>7</v>
      </c>
      <c r="D720" t="s">
        <v>72</v>
      </c>
      <c r="E720" t="s">
        <v>1332</v>
      </c>
      <c r="F720" t="s">
        <v>1386</v>
      </c>
    </row>
    <row r="721" spans="1:6" x14ac:dyDescent="0.3">
      <c r="A721">
        <v>720</v>
      </c>
      <c r="B721" t="s">
        <v>300</v>
      </c>
      <c r="C721" t="s">
        <v>7</v>
      </c>
      <c r="D721" t="s">
        <v>37</v>
      </c>
      <c r="E721" t="s">
        <v>1387</v>
      </c>
      <c r="F721" t="s">
        <v>1388</v>
      </c>
    </row>
    <row r="722" spans="1:6" x14ac:dyDescent="0.3">
      <c r="A722">
        <v>721</v>
      </c>
      <c r="B722" t="s">
        <v>1135</v>
      </c>
      <c r="C722" t="s">
        <v>7</v>
      </c>
      <c r="D722" t="s">
        <v>27</v>
      </c>
      <c r="E722" t="s">
        <v>480</v>
      </c>
      <c r="F722" t="s">
        <v>1389</v>
      </c>
    </row>
    <row r="723" spans="1:6" x14ac:dyDescent="0.3">
      <c r="A723">
        <v>722</v>
      </c>
      <c r="B723" t="s">
        <v>723</v>
      </c>
      <c r="C723" t="s">
        <v>26</v>
      </c>
      <c r="D723" t="s">
        <v>8</v>
      </c>
      <c r="E723" t="s">
        <v>1160</v>
      </c>
      <c r="F723" t="s">
        <v>1390</v>
      </c>
    </row>
    <row r="724" spans="1:6" x14ac:dyDescent="0.3">
      <c r="A724">
        <v>723</v>
      </c>
      <c r="B724" t="s">
        <v>474</v>
      </c>
      <c r="C724" t="s">
        <v>26</v>
      </c>
      <c r="D724" t="s">
        <v>44</v>
      </c>
      <c r="E724" t="s">
        <v>408</v>
      </c>
      <c r="F724" t="s">
        <v>1391</v>
      </c>
    </row>
    <row r="725" spans="1:6" x14ac:dyDescent="0.3">
      <c r="A725">
        <v>724</v>
      </c>
      <c r="B725" t="s">
        <v>466</v>
      </c>
      <c r="C725" t="s">
        <v>7</v>
      </c>
      <c r="D725" t="s">
        <v>37</v>
      </c>
      <c r="E725" t="s">
        <v>829</v>
      </c>
      <c r="F725" t="s">
        <v>1392</v>
      </c>
    </row>
    <row r="726" spans="1:6" x14ac:dyDescent="0.3">
      <c r="A726">
        <v>725</v>
      </c>
      <c r="B726" t="s">
        <v>252</v>
      </c>
      <c r="C726" t="s">
        <v>7</v>
      </c>
      <c r="D726" t="s">
        <v>44</v>
      </c>
      <c r="E726" t="s">
        <v>1267</v>
      </c>
      <c r="F726" t="s">
        <v>1393</v>
      </c>
    </row>
    <row r="727" spans="1:6" x14ac:dyDescent="0.3">
      <c r="A727">
        <v>726</v>
      </c>
      <c r="B727" t="s">
        <v>255</v>
      </c>
      <c r="C727" t="s">
        <v>7</v>
      </c>
      <c r="D727" t="s">
        <v>8</v>
      </c>
      <c r="E727" t="s">
        <v>959</v>
      </c>
      <c r="F727" t="s">
        <v>1394</v>
      </c>
    </row>
    <row r="728" spans="1:6" x14ac:dyDescent="0.3">
      <c r="A728">
        <v>727</v>
      </c>
      <c r="B728" t="s">
        <v>635</v>
      </c>
      <c r="C728" t="s">
        <v>7</v>
      </c>
      <c r="D728" t="s">
        <v>72</v>
      </c>
      <c r="E728" t="s">
        <v>1064</v>
      </c>
      <c r="F728" t="s">
        <v>1395</v>
      </c>
    </row>
    <row r="729" spans="1:6" x14ac:dyDescent="0.3">
      <c r="A729">
        <v>728</v>
      </c>
      <c r="B729" t="s">
        <v>585</v>
      </c>
      <c r="C729" t="s">
        <v>26</v>
      </c>
      <c r="D729" t="s">
        <v>22</v>
      </c>
      <c r="E729" t="s">
        <v>1396</v>
      </c>
      <c r="F729" t="s">
        <v>1397</v>
      </c>
    </row>
    <row r="730" spans="1:6" x14ac:dyDescent="0.3">
      <c r="A730">
        <v>729</v>
      </c>
      <c r="B730" t="s">
        <v>754</v>
      </c>
      <c r="C730" t="s">
        <v>7</v>
      </c>
      <c r="D730" t="s">
        <v>27</v>
      </c>
      <c r="E730" t="s">
        <v>259</v>
      </c>
      <c r="F730" t="s">
        <v>1398</v>
      </c>
    </row>
    <row r="731" spans="1:6" x14ac:dyDescent="0.3">
      <c r="A731">
        <v>730</v>
      </c>
      <c r="B731" t="s">
        <v>297</v>
      </c>
      <c r="C731" t="s">
        <v>7</v>
      </c>
      <c r="D731" t="s">
        <v>12</v>
      </c>
      <c r="E731" t="s">
        <v>1399</v>
      </c>
      <c r="F731" t="s">
        <v>1400</v>
      </c>
    </row>
    <row r="732" spans="1:6" x14ac:dyDescent="0.3">
      <c r="A732">
        <v>731</v>
      </c>
      <c r="B732" t="s">
        <v>40</v>
      </c>
      <c r="C732" t="s">
        <v>26</v>
      </c>
      <c r="D732" t="s">
        <v>12</v>
      </c>
      <c r="E732" t="s">
        <v>912</v>
      </c>
      <c r="F732" t="s">
        <v>1401</v>
      </c>
    </row>
    <row r="733" spans="1:6" x14ac:dyDescent="0.3">
      <c r="A733">
        <v>732</v>
      </c>
      <c r="B733" t="s">
        <v>383</v>
      </c>
      <c r="C733" t="s">
        <v>7</v>
      </c>
      <c r="D733" t="s">
        <v>22</v>
      </c>
      <c r="E733" t="s">
        <v>1314</v>
      </c>
      <c r="F733" t="s">
        <v>1402</v>
      </c>
    </row>
    <row r="734" spans="1:6" x14ac:dyDescent="0.3">
      <c r="A734">
        <v>733</v>
      </c>
      <c r="B734" t="s">
        <v>152</v>
      </c>
      <c r="C734" t="s">
        <v>7</v>
      </c>
      <c r="D734" t="s">
        <v>72</v>
      </c>
      <c r="E734" t="s">
        <v>1403</v>
      </c>
      <c r="F734" t="s">
        <v>1404</v>
      </c>
    </row>
    <row r="735" spans="1:6" x14ac:dyDescent="0.3">
      <c r="A735">
        <v>734</v>
      </c>
      <c r="B735" t="s">
        <v>289</v>
      </c>
      <c r="C735" t="s">
        <v>26</v>
      </c>
      <c r="D735" t="s">
        <v>8</v>
      </c>
      <c r="E735" t="s">
        <v>691</v>
      </c>
      <c r="F735" t="s">
        <v>1405</v>
      </c>
    </row>
    <row r="736" spans="1:6" x14ac:dyDescent="0.3">
      <c r="A736">
        <v>735</v>
      </c>
      <c r="B736" t="s">
        <v>226</v>
      </c>
      <c r="C736" t="s">
        <v>26</v>
      </c>
      <c r="D736" t="s">
        <v>22</v>
      </c>
      <c r="E736" t="s">
        <v>1406</v>
      </c>
      <c r="F736" t="s">
        <v>1407</v>
      </c>
    </row>
    <row r="737" spans="1:6" x14ac:dyDescent="0.3">
      <c r="A737">
        <v>736</v>
      </c>
      <c r="B737" t="s">
        <v>635</v>
      </c>
      <c r="C737" t="s">
        <v>7</v>
      </c>
      <c r="D737" t="s">
        <v>37</v>
      </c>
      <c r="E737" t="s">
        <v>1408</v>
      </c>
      <c r="F737" t="s">
        <v>1409</v>
      </c>
    </row>
    <row r="738" spans="1:6" x14ac:dyDescent="0.3">
      <c r="A738">
        <v>737</v>
      </c>
      <c r="B738" t="s">
        <v>630</v>
      </c>
      <c r="C738" t="s">
        <v>7</v>
      </c>
      <c r="D738" t="s">
        <v>44</v>
      </c>
      <c r="E738" t="s">
        <v>125</v>
      </c>
      <c r="F738" t="s">
        <v>1410</v>
      </c>
    </row>
    <row r="739" spans="1:6" x14ac:dyDescent="0.3">
      <c r="A739">
        <v>738</v>
      </c>
      <c r="B739" t="s">
        <v>383</v>
      </c>
      <c r="C739" t="s">
        <v>7</v>
      </c>
      <c r="D739" t="s">
        <v>27</v>
      </c>
      <c r="E739" t="s">
        <v>1411</v>
      </c>
      <c r="F739" t="s">
        <v>1412</v>
      </c>
    </row>
    <row r="740" spans="1:6" x14ac:dyDescent="0.3">
      <c r="A740">
        <v>739</v>
      </c>
      <c r="B740" t="s">
        <v>141</v>
      </c>
      <c r="C740" t="s">
        <v>26</v>
      </c>
      <c r="D740" t="s">
        <v>27</v>
      </c>
      <c r="E740" t="s">
        <v>1413</v>
      </c>
      <c r="F740" t="s">
        <v>1414</v>
      </c>
    </row>
    <row r="741" spans="1:6" x14ac:dyDescent="0.3">
      <c r="A741">
        <v>740</v>
      </c>
      <c r="B741" t="s">
        <v>511</v>
      </c>
      <c r="C741" t="s">
        <v>26</v>
      </c>
      <c r="D741" t="s">
        <v>44</v>
      </c>
      <c r="E741" t="s">
        <v>745</v>
      </c>
      <c r="F741" t="s">
        <v>1415</v>
      </c>
    </row>
    <row r="742" spans="1:6" x14ac:dyDescent="0.3">
      <c r="A742">
        <v>741</v>
      </c>
      <c r="B742" t="s">
        <v>380</v>
      </c>
      <c r="C742" t="s">
        <v>7</v>
      </c>
      <c r="D742" t="s">
        <v>12</v>
      </c>
      <c r="E742" t="s">
        <v>979</v>
      </c>
      <c r="F742" t="s">
        <v>1416</v>
      </c>
    </row>
    <row r="743" spans="1:6" x14ac:dyDescent="0.3">
      <c r="A743">
        <v>742</v>
      </c>
      <c r="B743" t="s">
        <v>608</v>
      </c>
      <c r="C743" t="s">
        <v>7</v>
      </c>
      <c r="D743" t="s">
        <v>27</v>
      </c>
      <c r="E743" t="s">
        <v>1417</v>
      </c>
      <c r="F743" t="s">
        <v>1418</v>
      </c>
    </row>
    <row r="744" spans="1:6" x14ac:dyDescent="0.3">
      <c r="A744">
        <v>743</v>
      </c>
      <c r="B744" t="s">
        <v>316</v>
      </c>
      <c r="C744" t="s">
        <v>7</v>
      </c>
      <c r="D744" t="s">
        <v>37</v>
      </c>
      <c r="E744" t="s">
        <v>836</v>
      </c>
      <c r="F744" t="s">
        <v>1419</v>
      </c>
    </row>
    <row r="745" spans="1:6" x14ac:dyDescent="0.3">
      <c r="A745">
        <v>744</v>
      </c>
      <c r="B745" t="s">
        <v>297</v>
      </c>
      <c r="C745" t="s">
        <v>7</v>
      </c>
      <c r="D745" t="s">
        <v>22</v>
      </c>
      <c r="E745" t="s">
        <v>369</v>
      </c>
      <c r="F745" t="s">
        <v>1420</v>
      </c>
    </row>
    <row r="746" spans="1:6" x14ac:dyDescent="0.3">
      <c r="A746">
        <v>745</v>
      </c>
      <c r="B746" t="s">
        <v>665</v>
      </c>
      <c r="C746" t="s">
        <v>7</v>
      </c>
      <c r="D746" t="s">
        <v>27</v>
      </c>
      <c r="E746" t="s">
        <v>429</v>
      </c>
      <c r="F746" t="s">
        <v>1421</v>
      </c>
    </row>
    <row r="747" spans="1:6" x14ac:dyDescent="0.3">
      <c r="A747">
        <v>746</v>
      </c>
      <c r="B747" t="s">
        <v>616</v>
      </c>
      <c r="C747" t="s">
        <v>7</v>
      </c>
      <c r="D747" t="s">
        <v>44</v>
      </c>
      <c r="E747" t="s">
        <v>1236</v>
      </c>
      <c r="F747" t="s">
        <v>1422</v>
      </c>
    </row>
    <row r="748" spans="1:6" x14ac:dyDescent="0.3">
      <c r="A748">
        <v>747</v>
      </c>
      <c r="B748" t="s">
        <v>162</v>
      </c>
      <c r="C748" t="s">
        <v>26</v>
      </c>
      <c r="D748" t="s">
        <v>12</v>
      </c>
      <c r="E748" t="s">
        <v>1423</v>
      </c>
      <c r="F748" t="s">
        <v>1424</v>
      </c>
    </row>
    <row r="749" spans="1:6" x14ac:dyDescent="0.3">
      <c r="A749">
        <v>748</v>
      </c>
      <c r="B749" t="s">
        <v>560</v>
      </c>
      <c r="C749" t="s">
        <v>26</v>
      </c>
      <c r="D749" t="s">
        <v>44</v>
      </c>
      <c r="E749" t="s">
        <v>1425</v>
      </c>
      <c r="F749" t="s">
        <v>1426</v>
      </c>
    </row>
    <row r="750" spans="1:6" x14ac:dyDescent="0.3">
      <c r="A750">
        <v>749</v>
      </c>
      <c r="B750" t="s">
        <v>109</v>
      </c>
      <c r="C750" t="s">
        <v>26</v>
      </c>
      <c r="D750" t="s">
        <v>27</v>
      </c>
      <c r="E750" t="s">
        <v>1427</v>
      </c>
      <c r="F750" t="s">
        <v>1428</v>
      </c>
    </row>
    <row r="751" spans="1:6" x14ac:dyDescent="0.3">
      <c r="A751">
        <v>750</v>
      </c>
      <c r="B751" t="s">
        <v>732</v>
      </c>
      <c r="C751" t="s">
        <v>26</v>
      </c>
      <c r="D751" t="s">
        <v>12</v>
      </c>
      <c r="E751" t="s">
        <v>712</v>
      </c>
      <c r="F751" t="s">
        <v>1429</v>
      </c>
    </row>
    <row r="752" spans="1:6" x14ac:dyDescent="0.3">
      <c r="A752">
        <v>751</v>
      </c>
      <c r="B752" t="s">
        <v>157</v>
      </c>
      <c r="C752" t="s">
        <v>7</v>
      </c>
      <c r="D752" t="s">
        <v>44</v>
      </c>
      <c r="E752" t="s">
        <v>1408</v>
      </c>
      <c r="F752" t="s">
        <v>506</v>
      </c>
    </row>
    <row r="753" spans="1:6" x14ac:dyDescent="0.3">
      <c r="A753">
        <v>752</v>
      </c>
      <c r="B753" t="s">
        <v>81</v>
      </c>
      <c r="C753" t="s">
        <v>7</v>
      </c>
      <c r="D753" t="s">
        <v>12</v>
      </c>
      <c r="E753" t="s">
        <v>831</v>
      </c>
      <c r="F753" t="s">
        <v>1430</v>
      </c>
    </row>
    <row r="754" spans="1:6" x14ac:dyDescent="0.3">
      <c r="A754">
        <v>753</v>
      </c>
      <c r="B754" t="s">
        <v>483</v>
      </c>
      <c r="C754" t="s">
        <v>26</v>
      </c>
      <c r="D754" t="s">
        <v>27</v>
      </c>
      <c r="E754" t="s">
        <v>145</v>
      </c>
      <c r="F754" t="s">
        <v>1431</v>
      </c>
    </row>
    <row r="755" spans="1:6" x14ac:dyDescent="0.3">
      <c r="A755">
        <v>754</v>
      </c>
      <c r="B755" t="s">
        <v>1334</v>
      </c>
      <c r="C755" t="s">
        <v>7</v>
      </c>
      <c r="D755" t="s">
        <v>44</v>
      </c>
      <c r="E755" t="s">
        <v>1432</v>
      </c>
      <c r="F755" t="s">
        <v>1433</v>
      </c>
    </row>
    <row r="756" spans="1:6" x14ac:dyDescent="0.3">
      <c r="A756">
        <v>755</v>
      </c>
      <c r="B756" t="s">
        <v>635</v>
      </c>
      <c r="C756" t="s">
        <v>7</v>
      </c>
      <c r="D756" t="s">
        <v>12</v>
      </c>
      <c r="E756" t="s">
        <v>1434</v>
      </c>
      <c r="F756" t="s">
        <v>1409</v>
      </c>
    </row>
    <row r="757" spans="1:6" x14ac:dyDescent="0.3">
      <c r="A757">
        <v>756</v>
      </c>
      <c r="B757" t="s">
        <v>1334</v>
      </c>
      <c r="C757" t="s">
        <v>7</v>
      </c>
      <c r="D757" t="s">
        <v>37</v>
      </c>
      <c r="E757" t="s">
        <v>1435</v>
      </c>
      <c r="F757" t="s">
        <v>1436</v>
      </c>
    </row>
    <row r="758" spans="1:6" x14ac:dyDescent="0.3">
      <c r="A758">
        <v>757</v>
      </c>
      <c r="B758" t="s">
        <v>596</v>
      </c>
      <c r="C758" t="s">
        <v>26</v>
      </c>
      <c r="D758" t="s">
        <v>44</v>
      </c>
      <c r="E758" t="s">
        <v>85</v>
      </c>
      <c r="F758" t="s">
        <v>1437</v>
      </c>
    </row>
    <row r="759" spans="1:6" x14ac:dyDescent="0.3">
      <c r="A759">
        <v>758</v>
      </c>
      <c r="B759" t="s">
        <v>53</v>
      </c>
      <c r="C759" t="s">
        <v>26</v>
      </c>
      <c r="D759" t="s">
        <v>27</v>
      </c>
      <c r="E759" t="s">
        <v>1438</v>
      </c>
      <c r="F759" t="s">
        <v>1439</v>
      </c>
    </row>
    <row r="760" spans="1:6" x14ac:dyDescent="0.3">
      <c r="A760">
        <v>759</v>
      </c>
      <c r="B760" t="s">
        <v>1015</v>
      </c>
      <c r="C760" t="s">
        <v>7</v>
      </c>
      <c r="D760" t="s">
        <v>12</v>
      </c>
      <c r="E760" t="s">
        <v>1258</v>
      </c>
      <c r="F760" t="s">
        <v>1440</v>
      </c>
    </row>
    <row r="761" spans="1:6" x14ac:dyDescent="0.3">
      <c r="A761">
        <v>760</v>
      </c>
      <c r="B761" t="s">
        <v>1441</v>
      </c>
      <c r="C761" t="s">
        <v>26</v>
      </c>
      <c r="D761" t="s">
        <v>27</v>
      </c>
      <c r="E761" t="s">
        <v>1009</v>
      </c>
      <c r="F761" t="s">
        <v>1442</v>
      </c>
    </row>
    <row r="762" spans="1:6" x14ac:dyDescent="0.3">
      <c r="A762">
        <v>761</v>
      </c>
      <c r="B762" t="s">
        <v>557</v>
      </c>
      <c r="C762" t="s">
        <v>7</v>
      </c>
      <c r="D762" t="s">
        <v>8</v>
      </c>
      <c r="E762" t="s">
        <v>807</v>
      </c>
      <c r="F762" t="s">
        <v>1443</v>
      </c>
    </row>
    <row r="763" spans="1:6" x14ac:dyDescent="0.3">
      <c r="A763">
        <v>762</v>
      </c>
      <c r="B763" t="s">
        <v>221</v>
      </c>
      <c r="C763" t="s">
        <v>26</v>
      </c>
      <c r="D763" t="s">
        <v>37</v>
      </c>
      <c r="E763" t="s">
        <v>1155</v>
      </c>
      <c r="F763" t="s">
        <v>1444</v>
      </c>
    </row>
    <row r="764" spans="1:6" x14ac:dyDescent="0.3">
      <c r="A764">
        <v>763</v>
      </c>
      <c r="B764" t="s">
        <v>914</v>
      </c>
      <c r="C764" t="s">
        <v>7</v>
      </c>
      <c r="D764" t="s">
        <v>72</v>
      </c>
      <c r="E764" t="s">
        <v>1024</v>
      </c>
      <c r="F764" t="s">
        <v>1445</v>
      </c>
    </row>
    <row r="765" spans="1:6" x14ac:dyDescent="0.3">
      <c r="A765">
        <v>764</v>
      </c>
      <c r="B765" t="s">
        <v>138</v>
      </c>
      <c r="C765" t="s">
        <v>7</v>
      </c>
      <c r="D765" t="s">
        <v>72</v>
      </c>
      <c r="E765" t="s">
        <v>1166</v>
      </c>
      <c r="F765" t="s">
        <v>1446</v>
      </c>
    </row>
    <row r="766" spans="1:6" x14ac:dyDescent="0.3">
      <c r="A766">
        <v>765</v>
      </c>
      <c r="B766" t="s">
        <v>718</v>
      </c>
      <c r="C766" t="s">
        <v>26</v>
      </c>
      <c r="D766" t="s">
        <v>22</v>
      </c>
      <c r="E766" t="s">
        <v>1107</v>
      </c>
      <c r="F766" t="s">
        <v>1447</v>
      </c>
    </row>
    <row r="767" spans="1:6" x14ac:dyDescent="0.3">
      <c r="A767">
        <v>766</v>
      </c>
      <c r="B767" t="s">
        <v>278</v>
      </c>
      <c r="C767" t="s">
        <v>26</v>
      </c>
      <c r="D767" t="s">
        <v>72</v>
      </c>
      <c r="E767" t="s">
        <v>1448</v>
      </c>
      <c r="F767" t="s">
        <v>1449</v>
      </c>
    </row>
    <row r="768" spans="1:6" x14ac:dyDescent="0.3">
      <c r="A768">
        <v>767</v>
      </c>
      <c r="B768" t="s">
        <v>183</v>
      </c>
      <c r="C768" t="s">
        <v>7</v>
      </c>
      <c r="D768" t="s">
        <v>22</v>
      </c>
      <c r="E768" t="s">
        <v>1450</v>
      </c>
      <c r="F768" t="s">
        <v>1451</v>
      </c>
    </row>
    <row r="769" spans="1:6" x14ac:dyDescent="0.3">
      <c r="A769">
        <v>768</v>
      </c>
      <c r="B769" t="s">
        <v>728</v>
      </c>
      <c r="C769" t="s">
        <v>7</v>
      </c>
      <c r="D769" t="s">
        <v>12</v>
      </c>
      <c r="E769" t="s">
        <v>1452</v>
      </c>
      <c r="F769" t="s">
        <v>1453</v>
      </c>
    </row>
    <row r="770" spans="1:6" x14ac:dyDescent="0.3">
      <c r="A770">
        <v>769</v>
      </c>
      <c r="B770" t="s">
        <v>784</v>
      </c>
      <c r="C770" t="s">
        <v>7</v>
      </c>
      <c r="D770" t="s">
        <v>12</v>
      </c>
      <c r="E770" t="s">
        <v>1024</v>
      </c>
      <c r="F770" t="s">
        <v>1454</v>
      </c>
    </row>
    <row r="771" spans="1:6" x14ac:dyDescent="0.3">
      <c r="A771">
        <v>770</v>
      </c>
      <c r="B771" t="s">
        <v>882</v>
      </c>
      <c r="C771" t="s">
        <v>26</v>
      </c>
      <c r="D771" t="s">
        <v>27</v>
      </c>
      <c r="E771" t="s">
        <v>842</v>
      </c>
      <c r="F771" t="s">
        <v>1455</v>
      </c>
    </row>
    <row r="772" spans="1:6" x14ac:dyDescent="0.3">
      <c r="A772">
        <v>771</v>
      </c>
      <c r="B772" t="s">
        <v>777</v>
      </c>
      <c r="C772" t="s">
        <v>26</v>
      </c>
      <c r="D772" t="s">
        <v>22</v>
      </c>
      <c r="E772" t="s">
        <v>337</v>
      </c>
      <c r="F772" t="s">
        <v>1456</v>
      </c>
    </row>
    <row r="773" spans="1:6" x14ac:dyDescent="0.3">
      <c r="A773">
        <v>772</v>
      </c>
      <c r="B773" t="s">
        <v>777</v>
      </c>
      <c r="C773" t="s">
        <v>26</v>
      </c>
      <c r="D773" t="s">
        <v>44</v>
      </c>
      <c r="E773" t="s">
        <v>1457</v>
      </c>
      <c r="F773" t="s">
        <v>1458</v>
      </c>
    </row>
    <row r="774" spans="1:6" x14ac:dyDescent="0.3">
      <c r="A774">
        <v>773</v>
      </c>
      <c r="B774" t="s">
        <v>141</v>
      </c>
      <c r="C774" t="s">
        <v>26</v>
      </c>
      <c r="D774" t="s">
        <v>27</v>
      </c>
      <c r="E774" t="s">
        <v>1459</v>
      </c>
      <c r="F774" t="s">
        <v>1460</v>
      </c>
    </row>
    <row r="775" spans="1:6" x14ac:dyDescent="0.3">
      <c r="A775">
        <v>774</v>
      </c>
      <c r="B775" t="s">
        <v>618</v>
      </c>
      <c r="C775" t="s">
        <v>26</v>
      </c>
      <c r="D775" t="s">
        <v>12</v>
      </c>
      <c r="E775" t="s">
        <v>1267</v>
      </c>
      <c r="F775" t="s">
        <v>1461</v>
      </c>
    </row>
    <row r="776" spans="1:6" x14ac:dyDescent="0.3">
      <c r="A776">
        <v>775</v>
      </c>
      <c r="B776" t="s">
        <v>322</v>
      </c>
      <c r="C776" t="s">
        <v>7</v>
      </c>
      <c r="D776" t="s">
        <v>27</v>
      </c>
      <c r="E776" t="s">
        <v>82</v>
      </c>
      <c r="F776" t="s">
        <v>1462</v>
      </c>
    </row>
    <row r="777" spans="1:6" x14ac:dyDescent="0.3">
      <c r="A777">
        <v>776</v>
      </c>
      <c r="B777" t="s">
        <v>493</v>
      </c>
      <c r="C777" t="s">
        <v>26</v>
      </c>
      <c r="D777" t="s">
        <v>12</v>
      </c>
      <c r="E777" t="s">
        <v>298</v>
      </c>
      <c r="F777" t="s">
        <v>1463</v>
      </c>
    </row>
    <row r="778" spans="1:6" x14ac:dyDescent="0.3">
      <c r="A778">
        <v>777</v>
      </c>
      <c r="B778" t="s">
        <v>133</v>
      </c>
      <c r="C778" t="s">
        <v>7</v>
      </c>
      <c r="D778" t="s">
        <v>72</v>
      </c>
      <c r="E778" t="s">
        <v>944</v>
      </c>
      <c r="F778" t="s">
        <v>1464</v>
      </c>
    </row>
    <row r="779" spans="1:6" x14ac:dyDescent="0.3">
      <c r="A779">
        <v>778</v>
      </c>
      <c r="B779" t="s">
        <v>25</v>
      </c>
      <c r="C779" t="s">
        <v>26</v>
      </c>
      <c r="D779" t="s">
        <v>22</v>
      </c>
      <c r="E779" t="s">
        <v>1465</v>
      </c>
      <c r="F779" t="s">
        <v>1466</v>
      </c>
    </row>
    <row r="780" spans="1:6" x14ac:dyDescent="0.3">
      <c r="A780">
        <v>779</v>
      </c>
      <c r="B780" t="s">
        <v>557</v>
      </c>
      <c r="C780" t="s">
        <v>7</v>
      </c>
      <c r="D780" t="s">
        <v>12</v>
      </c>
      <c r="E780" t="s">
        <v>1467</v>
      </c>
      <c r="F780" t="s">
        <v>1468</v>
      </c>
    </row>
    <row r="781" spans="1:6" x14ac:dyDescent="0.3">
      <c r="A781">
        <v>780</v>
      </c>
      <c r="B781" t="s">
        <v>47</v>
      </c>
      <c r="C781" t="s">
        <v>7</v>
      </c>
      <c r="D781" t="s">
        <v>27</v>
      </c>
      <c r="E781" t="s">
        <v>979</v>
      </c>
      <c r="F781" t="s">
        <v>1469</v>
      </c>
    </row>
    <row r="782" spans="1:6" x14ac:dyDescent="0.3">
      <c r="A782">
        <v>781</v>
      </c>
      <c r="B782" t="s">
        <v>87</v>
      </c>
      <c r="C782" t="s">
        <v>26</v>
      </c>
      <c r="D782" t="s">
        <v>72</v>
      </c>
      <c r="E782" t="s">
        <v>1470</v>
      </c>
      <c r="F782" t="s">
        <v>1471</v>
      </c>
    </row>
    <row r="783" spans="1:6" x14ac:dyDescent="0.3">
      <c r="A783">
        <v>782</v>
      </c>
      <c r="B783" t="s">
        <v>1334</v>
      </c>
      <c r="C783" t="s">
        <v>7</v>
      </c>
      <c r="D783" t="s">
        <v>44</v>
      </c>
      <c r="E783" t="s">
        <v>181</v>
      </c>
      <c r="F783" t="s">
        <v>1472</v>
      </c>
    </row>
    <row r="784" spans="1:6" x14ac:dyDescent="0.3">
      <c r="A784">
        <v>783</v>
      </c>
      <c r="B784" t="s">
        <v>744</v>
      </c>
      <c r="C784" t="s">
        <v>7</v>
      </c>
      <c r="D784" t="s">
        <v>22</v>
      </c>
      <c r="E784" t="s">
        <v>1473</v>
      </c>
      <c r="F784" t="s">
        <v>1474</v>
      </c>
    </row>
    <row r="785" spans="1:6" x14ac:dyDescent="0.3">
      <c r="A785">
        <v>784</v>
      </c>
      <c r="B785" t="s">
        <v>236</v>
      </c>
      <c r="C785" t="s">
        <v>26</v>
      </c>
      <c r="D785" t="s">
        <v>8</v>
      </c>
      <c r="E785" t="s">
        <v>1061</v>
      </c>
      <c r="F785" t="s">
        <v>1475</v>
      </c>
    </row>
    <row r="786" spans="1:6" x14ac:dyDescent="0.3">
      <c r="A786">
        <v>785</v>
      </c>
      <c r="B786" t="s">
        <v>157</v>
      </c>
      <c r="C786" t="s">
        <v>7</v>
      </c>
      <c r="D786" t="s">
        <v>22</v>
      </c>
      <c r="E786" t="s">
        <v>1476</v>
      </c>
      <c r="F786" t="s">
        <v>1477</v>
      </c>
    </row>
    <row r="787" spans="1:6" x14ac:dyDescent="0.3">
      <c r="A787">
        <v>786</v>
      </c>
      <c r="B787" t="s">
        <v>501</v>
      </c>
      <c r="C787" t="s">
        <v>26</v>
      </c>
      <c r="D787" t="s">
        <v>12</v>
      </c>
      <c r="E787" t="s">
        <v>1478</v>
      </c>
      <c r="F787" t="s">
        <v>1479</v>
      </c>
    </row>
    <row r="788" spans="1:6" x14ac:dyDescent="0.3">
      <c r="A788">
        <v>787</v>
      </c>
      <c r="B788" t="s">
        <v>194</v>
      </c>
      <c r="C788" t="s">
        <v>7</v>
      </c>
      <c r="D788" t="s">
        <v>27</v>
      </c>
      <c r="E788" t="s">
        <v>158</v>
      </c>
      <c r="F788" t="s">
        <v>1480</v>
      </c>
    </row>
    <row r="789" spans="1:6" x14ac:dyDescent="0.3">
      <c r="A789">
        <v>788</v>
      </c>
      <c r="B789" t="s">
        <v>71</v>
      </c>
      <c r="C789" t="s">
        <v>7</v>
      </c>
      <c r="D789" t="s">
        <v>22</v>
      </c>
      <c r="E789" t="s">
        <v>1481</v>
      </c>
      <c r="F789" t="s">
        <v>1482</v>
      </c>
    </row>
    <row r="790" spans="1:6" x14ac:dyDescent="0.3">
      <c r="A790">
        <v>789</v>
      </c>
      <c r="B790" t="s">
        <v>681</v>
      </c>
      <c r="C790" t="s">
        <v>26</v>
      </c>
      <c r="D790" t="s">
        <v>12</v>
      </c>
      <c r="E790" t="s">
        <v>308</v>
      </c>
      <c r="F790" t="s">
        <v>1483</v>
      </c>
    </row>
    <row r="791" spans="1:6" x14ac:dyDescent="0.3">
      <c r="A791">
        <v>790</v>
      </c>
      <c r="B791" t="s">
        <v>226</v>
      </c>
      <c r="C791" t="s">
        <v>26</v>
      </c>
      <c r="D791" t="s">
        <v>12</v>
      </c>
      <c r="E791" t="s">
        <v>1484</v>
      </c>
      <c r="F791" t="s">
        <v>1485</v>
      </c>
    </row>
    <row r="792" spans="1:6" x14ac:dyDescent="0.3">
      <c r="A792">
        <v>791</v>
      </c>
      <c r="B792" t="s">
        <v>577</v>
      </c>
      <c r="C792" t="s">
        <v>26</v>
      </c>
      <c r="D792" t="s">
        <v>44</v>
      </c>
      <c r="E792" t="s">
        <v>567</v>
      </c>
      <c r="F792" t="s">
        <v>1486</v>
      </c>
    </row>
    <row r="793" spans="1:6" x14ac:dyDescent="0.3">
      <c r="A793">
        <v>792</v>
      </c>
      <c r="B793" t="s">
        <v>213</v>
      </c>
      <c r="C793" t="s">
        <v>7</v>
      </c>
      <c r="D793" t="s">
        <v>22</v>
      </c>
      <c r="E793" t="s">
        <v>1095</v>
      </c>
      <c r="F793" t="s">
        <v>1487</v>
      </c>
    </row>
    <row r="794" spans="1:6" x14ac:dyDescent="0.3">
      <c r="A794">
        <v>793</v>
      </c>
      <c r="B794" t="s">
        <v>270</v>
      </c>
      <c r="C794" t="s">
        <v>26</v>
      </c>
      <c r="D794" t="s">
        <v>37</v>
      </c>
      <c r="E794" t="s">
        <v>60</v>
      </c>
      <c r="F794" t="s">
        <v>1488</v>
      </c>
    </row>
    <row r="795" spans="1:6" x14ac:dyDescent="0.3">
      <c r="A795">
        <v>794</v>
      </c>
      <c r="B795" t="s">
        <v>90</v>
      </c>
      <c r="C795" t="s">
        <v>26</v>
      </c>
      <c r="D795" t="s">
        <v>8</v>
      </c>
      <c r="E795" t="s">
        <v>987</v>
      </c>
      <c r="F795" t="s">
        <v>1489</v>
      </c>
    </row>
    <row r="796" spans="1:6" x14ac:dyDescent="0.3">
      <c r="A796">
        <v>795</v>
      </c>
      <c r="B796" t="s">
        <v>548</v>
      </c>
      <c r="C796" t="s">
        <v>7</v>
      </c>
      <c r="D796" t="s">
        <v>8</v>
      </c>
      <c r="E796" t="s">
        <v>1201</v>
      </c>
      <c r="F796" t="s">
        <v>1490</v>
      </c>
    </row>
    <row r="797" spans="1:6" x14ac:dyDescent="0.3">
      <c r="A797">
        <v>796</v>
      </c>
      <c r="B797" t="s">
        <v>15</v>
      </c>
      <c r="C797" t="s">
        <v>7</v>
      </c>
      <c r="D797" t="s">
        <v>72</v>
      </c>
      <c r="E797" t="s">
        <v>57</v>
      </c>
      <c r="F797" t="s">
        <v>1491</v>
      </c>
    </row>
    <row r="798" spans="1:6" x14ac:dyDescent="0.3">
      <c r="A798">
        <v>797</v>
      </c>
      <c r="B798" t="s">
        <v>754</v>
      </c>
      <c r="C798" t="s">
        <v>7</v>
      </c>
      <c r="D798" t="s">
        <v>22</v>
      </c>
      <c r="E798" t="s">
        <v>1492</v>
      </c>
      <c r="F798" t="s">
        <v>1493</v>
      </c>
    </row>
    <row r="799" spans="1:6" x14ac:dyDescent="0.3">
      <c r="A799">
        <v>798</v>
      </c>
      <c r="B799" t="s">
        <v>313</v>
      </c>
      <c r="C799" t="s">
        <v>7</v>
      </c>
      <c r="D799" t="s">
        <v>37</v>
      </c>
      <c r="E799" t="s">
        <v>1347</v>
      </c>
      <c r="F799" t="s">
        <v>1494</v>
      </c>
    </row>
    <row r="800" spans="1:6" x14ac:dyDescent="0.3">
      <c r="A800">
        <v>799</v>
      </c>
      <c r="B800" t="s">
        <v>33</v>
      </c>
      <c r="C800" t="s">
        <v>26</v>
      </c>
      <c r="D800" t="s">
        <v>27</v>
      </c>
      <c r="E800" t="s">
        <v>1495</v>
      </c>
      <c r="F800" t="s">
        <v>1496</v>
      </c>
    </row>
    <row r="801" spans="1:6" x14ac:dyDescent="0.3">
      <c r="A801">
        <v>800</v>
      </c>
      <c r="B801" t="s">
        <v>71</v>
      </c>
      <c r="C801" t="s">
        <v>7</v>
      </c>
      <c r="D801" t="s">
        <v>27</v>
      </c>
      <c r="E801" t="s">
        <v>1465</v>
      </c>
      <c r="F801" t="s">
        <v>1497</v>
      </c>
    </row>
    <row r="802" spans="1:6" x14ac:dyDescent="0.3">
      <c r="A802">
        <v>801</v>
      </c>
      <c r="B802" t="s">
        <v>127</v>
      </c>
      <c r="C802" t="s">
        <v>7</v>
      </c>
      <c r="D802" t="s">
        <v>72</v>
      </c>
      <c r="E802" t="s">
        <v>852</v>
      </c>
      <c r="F802" t="s">
        <v>1498</v>
      </c>
    </row>
    <row r="803" spans="1:6" x14ac:dyDescent="0.3">
      <c r="A803">
        <v>802</v>
      </c>
      <c r="B803" t="s">
        <v>665</v>
      </c>
      <c r="C803" t="s">
        <v>7</v>
      </c>
      <c r="D803" t="s">
        <v>27</v>
      </c>
      <c r="E803" t="s">
        <v>1423</v>
      </c>
      <c r="F803" t="s">
        <v>1421</v>
      </c>
    </row>
    <row r="804" spans="1:6" x14ac:dyDescent="0.3">
      <c r="A804">
        <v>803</v>
      </c>
      <c r="B804" t="s">
        <v>650</v>
      </c>
      <c r="C804" t="s">
        <v>26</v>
      </c>
      <c r="D804" t="s">
        <v>37</v>
      </c>
      <c r="E804" t="s">
        <v>432</v>
      </c>
      <c r="F804" t="s">
        <v>1499</v>
      </c>
    </row>
    <row r="805" spans="1:6" x14ac:dyDescent="0.3">
      <c r="A805">
        <v>804</v>
      </c>
      <c r="B805" t="s">
        <v>590</v>
      </c>
      <c r="C805" t="s">
        <v>7</v>
      </c>
      <c r="D805" t="s">
        <v>12</v>
      </c>
      <c r="E805" t="s">
        <v>248</v>
      </c>
      <c r="F805" t="s">
        <v>1500</v>
      </c>
    </row>
    <row r="806" spans="1:6" x14ac:dyDescent="0.3">
      <c r="A806">
        <v>805</v>
      </c>
      <c r="B806" t="s">
        <v>270</v>
      </c>
      <c r="C806" t="s">
        <v>26</v>
      </c>
      <c r="D806" t="s">
        <v>27</v>
      </c>
      <c r="E806" t="s">
        <v>1501</v>
      </c>
      <c r="F806" t="s">
        <v>1502</v>
      </c>
    </row>
    <row r="807" spans="1:6" x14ac:dyDescent="0.3">
      <c r="A807">
        <v>806</v>
      </c>
      <c r="B807" t="s">
        <v>112</v>
      </c>
      <c r="C807" t="s">
        <v>7</v>
      </c>
      <c r="D807" t="s">
        <v>8</v>
      </c>
      <c r="E807" t="s">
        <v>1138</v>
      </c>
      <c r="F807" t="s">
        <v>1503</v>
      </c>
    </row>
    <row r="808" spans="1:6" x14ac:dyDescent="0.3">
      <c r="A808">
        <v>807</v>
      </c>
      <c r="B808" t="s">
        <v>218</v>
      </c>
      <c r="C808" t="s">
        <v>26</v>
      </c>
      <c r="D808" t="s">
        <v>27</v>
      </c>
      <c r="E808" t="s">
        <v>549</v>
      </c>
      <c r="F808" t="s">
        <v>1504</v>
      </c>
    </row>
    <row r="809" spans="1:6" x14ac:dyDescent="0.3">
      <c r="A809">
        <v>808</v>
      </c>
      <c r="B809" t="s">
        <v>297</v>
      </c>
      <c r="C809" t="s">
        <v>7</v>
      </c>
      <c r="D809" t="s">
        <v>72</v>
      </c>
      <c r="E809" t="s">
        <v>827</v>
      </c>
      <c r="F809" t="s">
        <v>1505</v>
      </c>
    </row>
    <row r="810" spans="1:6" x14ac:dyDescent="0.3">
      <c r="A810">
        <v>809</v>
      </c>
      <c r="B810" t="s">
        <v>747</v>
      </c>
      <c r="C810" t="s">
        <v>26</v>
      </c>
      <c r="D810" t="s">
        <v>72</v>
      </c>
      <c r="E810" t="s">
        <v>1089</v>
      </c>
      <c r="F810" t="s">
        <v>1506</v>
      </c>
    </row>
    <row r="811" spans="1:6" x14ac:dyDescent="0.3">
      <c r="A811">
        <v>810</v>
      </c>
      <c r="B811" t="s">
        <v>130</v>
      </c>
      <c r="C811" t="s">
        <v>7</v>
      </c>
      <c r="D811" t="s">
        <v>8</v>
      </c>
      <c r="E811" t="s">
        <v>403</v>
      </c>
      <c r="F811" t="s">
        <v>1507</v>
      </c>
    </row>
    <row r="812" spans="1:6" x14ac:dyDescent="0.3">
      <c r="A812">
        <v>811</v>
      </c>
      <c r="B812" t="s">
        <v>450</v>
      </c>
      <c r="C812" t="s">
        <v>26</v>
      </c>
      <c r="D812" t="s">
        <v>22</v>
      </c>
      <c r="E812" t="s">
        <v>1162</v>
      </c>
      <c r="F812" t="s">
        <v>1508</v>
      </c>
    </row>
    <row r="813" spans="1:6" x14ac:dyDescent="0.3">
      <c r="A813">
        <v>812</v>
      </c>
      <c r="B813" t="s">
        <v>554</v>
      </c>
      <c r="C813" t="s">
        <v>26</v>
      </c>
      <c r="D813" t="s">
        <v>37</v>
      </c>
      <c r="E813" t="s">
        <v>657</v>
      </c>
      <c r="F813" t="s">
        <v>1509</v>
      </c>
    </row>
    <row r="814" spans="1:6" x14ac:dyDescent="0.3">
      <c r="A814">
        <v>813</v>
      </c>
      <c r="B814" t="s">
        <v>316</v>
      </c>
      <c r="C814" t="s">
        <v>7</v>
      </c>
      <c r="D814" t="s">
        <v>22</v>
      </c>
      <c r="E814" t="s">
        <v>1044</v>
      </c>
      <c r="F814" t="s">
        <v>1510</v>
      </c>
    </row>
    <row r="815" spans="1:6" x14ac:dyDescent="0.3">
      <c r="A815">
        <v>814</v>
      </c>
      <c r="B815" t="s">
        <v>650</v>
      </c>
      <c r="C815" t="s">
        <v>26</v>
      </c>
      <c r="D815" t="s">
        <v>27</v>
      </c>
      <c r="E815" t="s">
        <v>1511</v>
      </c>
      <c r="F815" t="s">
        <v>1512</v>
      </c>
    </row>
    <row r="816" spans="1:6" x14ac:dyDescent="0.3">
      <c r="A816">
        <v>815</v>
      </c>
      <c r="B816" t="s">
        <v>383</v>
      </c>
      <c r="C816" t="s">
        <v>7</v>
      </c>
      <c r="D816" t="s">
        <v>44</v>
      </c>
      <c r="E816" t="s">
        <v>1513</v>
      </c>
      <c r="F816" t="s">
        <v>1514</v>
      </c>
    </row>
    <row r="817" spans="1:6" x14ac:dyDescent="0.3">
      <c r="A817">
        <v>816</v>
      </c>
      <c r="B817" t="s">
        <v>551</v>
      </c>
      <c r="C817" t="s">
        <v>26</v>
      </c>
      <c r="D817" t="s">
        <v>44</v>
      </c>
      <c r="E817" t="s">
        <v>588</v>
      </c>
      <c r="F817" t="s">
        <v>1515</v>
      </c>
    </row>
    <row r="818" spans="1:6" x14ac:dyDescent="0.3">
      <c r="A818">
        <v>817</v>
      </c>
      <c r="B818" t="s">
        <v>577</v>
      </c>
      <c r="C818" t="s">
        <v>26</v>
      </c>
      <c r="D818" t="s">
        <v>12</v>
      </c>
      <c r="E818" t="s">
        <v>601</v>
      </c>
      <c r="F818" t="s">
        <v>1516</v>
      </c>
    </row>
    <row r="819" spans="1:6" x14ac:dyDescent="0.3">
      <c r="A819">
        <v>818</v>
      </c>
      <c r="B819" t="s">
        <v>81</v>
      </c>
      <c r="C819" t="s">
        <v>7</v>
      </c>
      <c r="D819" t="s">
        <v>27</v>
      </c>
      <c r="E819" t="s">
        <v>104</v>
      </c>
      <c r="F819" t="s">
        <v>1517</v>
      </c>
    </row>
    <row r="820" spans="1:6" x14ac:dyDescent="0.3">
      <c r="A820">
        <v>819</v>
      </c>
      <c r="B820" t="s">
        <v>25</v>
      </c>
      <c r="C820" t="s">
        <v>26</v>
      </c>
      <c r="D820" t="s">
        <v>8</v>
      </c>
      <c r="E820" t="s">
        <v>1040</v>
      </c>
      <c r="F820" t="s">
        <v>1518</v>
      </c>
    </row>
    <row r="821" spans="1:6" x14ac:dyDescent="0.3">
      <c r="A821">
        <v>820</v>
      </c>
      <c r="B821" t="s">
        <v>618</v>
      </c>
      <c r="C821" t="s">
        <v>26</v>
      </c>
      <c r="D821" t="s">
        <v>12</v>
      </c>
      <c r="E821" t="s">
        <v>499</v>
      </c>
      <c r="F821" t="s">
        <v>1519</v>
      </c>
    </row>
    <row r="822" spans="1:6" x14ac:dyDescent="0.3">
      <c r="A822">
        <v>821</v>
      </c>
      <c r="B822" t="s">
        <v>560</v>
      </c>
      <c r="C822" t="s">
        <v>26</v>
      </c>
      <c r="D822" t="s">
        <v>12</v>
      </c>
      <c r="E822" t="s">
        <v>606</v>
      </c>
      <c r="F822" t="s">
        <v>1520</v>
      </c>
    </row>
    <row r="823" spans="1:6" x14ac:dyDescent="0.3">
      <c r="A823">
        <v>822</v>
      </c>
      <c r="B823" t="s">
        <v>1325</v>
      </c>
      <c r="C823" t="s">
        <v>7</v>
      </c>
      <c r="D823" t="s">
        <v>44</v>
      </c>
      <c r="E823" t="s">
        <v>1521</v>
      </c>
      <c r="F823" t="s">
        <v>1522</v>
      </c>
    </row>
    <row r="824" spans="1:6" x14ac:dyDescent="0.3">
      <c r="A824">
        <v>823</v>
      </c>
      <c r="B824" t="s">
        <v>471</v>
      </c>
      <c r="C824" t="s">
        <v>7</v>
      </c>
      <c r="D824" t="s">
        <v>27</v>
      </c>
      <c r="E824" t="s">
        <v>187</v>
      </c>
      <c r="F824" t="s">
        <v>1523</v>
      </c>
    </row>
    <row r="825" spans="1:6" x14ac:dyDescent="0.3">
      <c r="A825">
        <v>824</v>
      </c>
      <c r="B825" t="s">
        <v>396</v>
      </c>
      <c r="C825" t="s">
        <v>26</v>
      </c>
      <c r="D825" t="s">
        <v>37</v>
      </c>
      <c r="E825" t="s">
        <v>1457</v>
      </c>
      <c r="F825" t="s">
        <v>1524</v>
      </c>
    </row>
    <row r="826" spans="1:6" x14ac:dyDescent="0.3">
      <c r="A826">
        <v>825</v>
      </c>
      <c r="B826" t="s">
        <v>728</v>
      </c>
      <c r="C826" t="s">
        <v>7</v>
      </c>
      <c r="D826" t="s">
        <v>8</v>
      </c>
      <c r="E826" t="s">
        <v>561</v>
      </c>
      <c r="F826" t="s">
        <v>1525</v>
      </c>
    </row>
    <row r="827" spans="1:6" x14ac:dyDescent="0.3">
      <c r="A827">
        <v>826</v>
      </c>
      <c r="B827" t="s">
        <v>186</v>
      </c>
      <c r="C827" t="s">
        <v>26</v>
      </c>
      <c r="D827" t="s">
        <v>44</v>
      </c>
      <c r="E827" t="s">
        <v>565</v>
      </c>
      <c r="F827" t="s">
        <v>1526</v>
      </c>
    </row>
    <row r="828" spans="1:6" x14ac:dyDescent="0.3">
      <c r="A828">
        <v>827</v>
      </c>
      <c r="B828" t="s">
        <v>362</v>
      </c>
      <c r="C828" t="s">
        <v>7</v>
      </c>
      <c r="D828" t="s">
        <v>72</v>
      </c>
      <c r="E828" t="s">
        <v>1247</v>
      </c>
      <c r="F828" t="s">
        <v>1527</v>
      </c>
    </row>
    <row r="829" spans="1:6" x14ac:dyDescent="0.3">
      <c r="A829">
        <v>828</v>
      </c>
      <c r="B829" t="s">
        <v>333</v>
      </c>
      <c r="C829" t="s">
        <v>26</v>
      </c>
      <c r="D829" t="s">
        <v>27</v>
      </c>
      <c r="E829" t="s">
        <v>1371</v>
      </c>
      <c r="F829" t="s">
        <v>1528</v>
      </c>
    </row>
    <row r="830" spans="1:6" x14ac:dyDescent="0.3">
      <c r="A830">
        <v>829</v>
      </c>
      <c r="B830" t="s">
        <v>723</v>
      </c>
      <c r="C830" t="s">
        <v>26</v>
      </c>
      <c r="D830" t="s">
        <v>8</v>
      </c>
      <c r="E830" t="s">
        <v>1529</v>
      </c>
      <c r="F830" t="s">
        <v>1530</v>
      </c>
    </row>
    <row r="831" spans="1:6" x14ac:dyDescent="0.3">
      <c r="A831">
        <v>830</v>
      </c>
      <c r="B831" t="s">
        <v>141</v>
      </c>
      <c r="C831" t="s">
        <v>26</v>
      </c>
      <c r="D831" t="s">
        <v>22</v>
      </c>
      <c r="E831" t="s">
        <v>707</v>
      </c>
      <c r="F831" t="s">
        <v>1531</v>
      </c>
    </row>
    <row r="832" spans="1:6" x14ac:dyDescent="0.3">
      <c r="A832">
        <v>831</v>
      </c>
      <c r="B832" t="s">
        <v>407</v>
      </c>
      <c r="C832" t="s">
        <v>7</v>
      </c>
      <c r="D832" t="s">
        <v>22</v>
      </c>
      <c r="E832" t="s">
        <v>759</v>
      </c>
      <c r="F832" t="s">
        <v>1532</v>
      </c>
    </row>
    <row r="833" spans="1:6" x14ac:dyDescent="0.3">
      <c r="A833">
        <v>832</v>
      </c>
      <c r="B833" t="s">
        <v>643</v>
      </c>
      <c r="C833" t="s">
        <v>7</v>
      </c>
      <c r="D833" t="s">
        <v>37</v>
      </c>
      <c r="E833" t="s">
        <v>150</v>
      </c>
      <c r="F833" t="s">
        <v>1533</v>
      </c>
    </row>
    <row r="834" spans="1:6" x14ac:dyDescent="0.3">
      <c r="A834">
        <v>833</v>
      </c>
      <c r="B834" t="s">
        <v>455</v>
      </c>
      <c r="C834" t="s">
        <v>26</v>
      </c>
      <c r="D834" t="s">
        <v>12</v>
      </c>
      <c r="E834" t="s">
        <v>1232</v>
      </c>
      <c r="F834" t="s">
        <v>1534</v>
      </c>
    </row>
    <row r="835" spans="1:6" x14ac:dyDescent="0.3">
      <c r="A835">
        <v>834</v>
      </c>
      <c r="B835" t="s">
        <v>174</v>
      </c>
      <c r="C835" t="s">
        <v>26</v>
      </c>
      <c r="D835" t="s">
        <v>72</v>
      </c>
      <c r="E835" t="s">
        <v>224</v>
      </c>
      <c r="F835" t="s">
        <v>1535</v>
      </c>
    </row>
    <row r="836" spans="1:6" x14ac:dyDescent="0.3">
      <c r="A836">
        <v>835</v>
      </c>
      <c r="B836" t="s">
        <v>127</v>
      </c>
      <c r="C836" t="s">
        <v>7</v>
      </c>
      <c r="D836" t="s">
        <v>22</v>
      </c>
      <c r="E836" t="s">
        <v>420</v>
      </c>
      <c r="F836" t="s">
        <v>1536</v>
      </c>
    </row>
    <row r="837" spans="1:6" x14ac:dyDescent="0.3">
      <c r="A837">
        <v>836</v>
      </c>
      <c r="B837" t="s">
        <v>294</v>
      </c>
      <c r="C837" t="s">
        <v>26</v>
      </c>
      <c r="D837" t="s">
        <v>8</v>
      </c>
      <c r="E837" t="s">
        <v>1537</v>
      </c>
      <c r="F837" t="s">
        <v>1538</v>
      </c>
    </row>
    <row r="838" spans="1:6" x14ac:dyDescent="0.3">
      <c r="A838">
        <v>837</v>
      </c>
      <c r="B838" t="s">
        <v>630</v>
      </c>
      <c r="C838" t="s">
        <v>7</v>
      </c>
      <c r="D838" t="s">
        <v>27</v>
      </c>
      <c r="E838" t="s">
        <v>1047</v>
      </c>
      <c r="F838" t="s">
        <v>1539</v>
      </c>
    </row>
    <row r="839" spans="1:6" x14ac:dyDescent="0.3">
      <c r="A839">
        <v>838</v>
      </c>
      <c r="B839" t="s">
        <v>1540</v>
      </c>
      <c r="C839" t="s">
        <v>26</v>
      </c>
      <c r="D839" t="s">
        <v>72</v>
      </c>
      <c r="E839" t="s">
        <v>1082</v>
      </c>
      <c r="F839" t="s">
        <v>1541</v>
      </c>
    </row>
    <row r="840" spans="1:6" x14ac:dyDescent="0.3">
      <c r="A840">
        <v>839</v>
      </c>
      <c r="B840" t="s">
        <v>255</v>
      </c>
      <c r="C840" t="s">
        <v>7</v>
      </c>
      <c r="D840" t="s">
        <v>22</v>
      </c>
      <c r="E840" t="s">
        <v>1542</v>
      </c>
      <c r="F840" t="s">
        <v>1543</v>
      </c>
    </row>
    <row r="841" spans="1:6" x14ac:dyDescent="0.3">
      <c r="A841">
        <v>840</v>
      </c>
      <c r="B841" t="s">
        <v>357</v>
      </c>
      <c r="C841" t="s">
        <v>26</v>
      </c>
      <c r="D841" t="s">
        <v>27</v>
      </c>
      <c r="E841" t="s">
        <v>604</v>
      </c>
      <c r="F841" t="s">
        <v>1544</v>
      </c>
    </row>
    <row r="842" spans="1:6" x14ac:dyDescent="0.3">
      <c r="A842">
        <v>841</v>
      </c>
      <c r="B842" t="s">
        <v>127</v>
      </c>
      <c r="C842" t="s">
        <v>7</v>
      </c>
      <c r="D842" t="s">
        <v>37</v>
      </c>
      <c r="E842" t="s">
        <v>939</v>
      </c>
      <c r="F842" t="s">
        <v>1545</v>
      </c>
    </row>
    <row r="843" spans="1:6" x14ac:dyDescent="0.3">
      <c r="A843">
        <v>842</v>
      </c>
      <c r="B843" t="s">
        <v>177</v>
      </c>
      <c r="C843" t="s">
        <v>26</v>
      </c>
      <c r="D843" t="s">
        <v>44</v>
      </c>
      <c r="E843" t="s">
        <v>1232</v>
      </c>
      <c r="F843" t="s">
        <v>1546</v>
      </c>
    </row>
    <row r="844" spans="1:6" x14ac:dyDescent="0.3">
      <c r="A844">
        <v>843</v>
      </c>
      <c r="B844" t="s">
        <v>1261</v>
      </c>
      <c r="C844" t="s">
        <v>7</v>
      </c>
      <c r="D844" t="s">
        <v>8</v>
      </c>
      <c r="E844" t="s">
        <v>794</v>
      </c>
      <c r="F844" t="s">
        <v>1547</v>
      </c>
    </row>
    <row r="845" spans="1:6" x14ac:dyDescent="0.3">
      <c r="A845">
        <v>844</v>
      </c>
      <c r="B845" t="s">
        <v>333</v>
      </c>
      <c r="C845" t="s">
        <v>26</v>
      </c>
      <c r="D845" t="s">
        <v>44</v>
      </c>
      <c r="E845" t="s">
        <v>51</v>
      </c>
      <c r="F845" t="s">
        <v>1548</v>
      </c>
    </row>
    <row r="846" spans="1:6" x14ac:dyDescent="0.3">
      <c r="A846">
        <v>845</v>
      </c>
      <c r="B846" t="s">
        <v>6</v>
      </c>
      <c r="C846" t="s">
        <v>7</v>
      </c>
      <c r="D846" t="s">
        <v>72</v>
      </c>
      <c r="E846" t="s">
        <v>1002</v>
      </c>
      <c r="F846" t="s">
        <v>1549</v>
      </c>
    </row>
    <row r="847" spans="1:6" x14ac:dyDescent="0.3">
      <c r="A847">
        <v>846</v>
      </c>
      <c r="B847" t="s">
        <v>1059</v>
      </c>
      <c r="C847" t="s">
        <v>26</v>
      </c>
      <c r="D847" t="s">
        <v>72</v>
      </c>
      <c r="E847" t="s">
        <v>381</v>
      </c>
      <c r="F847" t="s">
        <v>1550</v>
      </c>
    </row>
    <row r="848" spans="1:6" x14ac:dyDescent="0.3">
      <c r="A848">
        <v>847</v>
      </c>
      <c r="B848" t="s">
        <v>1015</v>
      </c>
      <c r="C848" t="s">
        <v>7</v>
      </c>
      <c r="D848" t="s">
        <v>72</v>
      </c>
      <c r="E848" t="s">
        <v>355</v>
      </c>
      <c r="F848" t="s">
        <v>1551</v>
      </c>
    </row>
    <row r="849" spans="1:6" x14ac:dyDescent="0.3">
      <c r="A849">
        <v>848</v>
      </c>
      <c r="B849" t="s">
        <v>1218</v>
      </c>
      <c r="C849" t="s">
        <v>7</v>
      </c>
      <c r="D849" t="s">
        <v>44</v>
      </c>
      <c r="E849" t="s">
        <v>113</v>
      </c>
      <c r="F849" t="s">
        <v>1552</v>
      </c>
    </row>
    <row r="850" spans="1:6" x14ac:dyDescent="0.3">
      <c r="A850">
        <v>849</v>
      </c>
      <c r="B850" t="s">
        <v>112</v>
      </c>
      <c r="C850" t="s">
        <v>7</v>
      </c>
      <c r="D850" t="s">
        <v>44</v>
      </c>
      <c r="E850" t="s">
        <v>96</v>
      </c>
      <c r="F850" t="s">
        <v>1553</v>
      </c>
    </row>
    <row r="851" spans="1:6" x14ac:dyDescent="0.3">
      <c r="A851">
        <v>850</v>
      </c>
      <c r="B851" t="s">
        <v>914</v>
      </c>
      <c r="C851" t="s">
        <v>7</v>
      </c>
      <c r="D851" t="s">
        <v>37</v>
      </c>
      <c r="E851" t="s">
        <v>1554</v>
      </c>
      <c r="F851" t="s">
        <v>1555</v>
      </c>
    </row>
    <row r="852" spans="1:6" x14ac:dyDescent="0.3">
      <c r="A852">
        <v>851</v>
      </c>
      <c r="B852" t="s">
        <v>882</v>
      </c>
      <c r="C852" t="s">
        <v>26</v>
      </c>
      <c r="D852" t="s">
        <v>37</v>
      </c>
      <c r="E852" t="s">
        <v>1556</v>
      </c>
      <c r="F852" t="s">
        <v>1557</v>
      </c>
    </row>
    <row r="853" spans="1:6" x14ac:dyDescent="0.3">
      <c r="A853">
        <v>852</v>
      </c>
      <c r="B853" t="s">
        <v>380</v>
      </c>
      <c r="C853" t="s">
        <v>7</v>
      </c>
      <c r="D853" t="s">
        <v>37</v>
      </c>
      <c r="E853" t="s">
        <v>1170</v>
      </c>
      <c r="F853" t="s">
        <v>1558</v>
      </c>
    </row>
    <row r="854" spans="1:6" x14ac:dyDescent="0.3">
      <c r="A854">
        <v>853</v>
      </c>
      <c r="B854" t="s">
        <v>328</v>
      </c>
      <c r="C854" t="s">
        <v>7</v>
      </c>
      <c r="D854" t="s">
        <v>37</v>
      </c>
      <c r="E854" t="s">
        <v>578</v>
      </c>
      <c r="F854" t="s">
        <v>1559</v>
      </c>
    </row>
    <row r="855" spans="1:6" x14ac:dyDescent="0.3">
      <c r="A855">
        <v>854</v>
      </c>
      <c r="B855" t="s">
        <v>189</v>
      </c>
      <c r="C855" t="s">
        <v>26</v>
      </c>
      <c r="D855" t="s">
        <v>22</v>
      </c>
      <c r="E855" t="s">
        <v>1560</v>
      </c>
      <c r="F855" t="s">
        <v>1561</v>
      </c>
    </row>
    <row r="856" spans="1:6" x14ac:dyDescent="0.3">
      <c r="A856">
        <v>855</v>
      </c>
      <c r="B856" t="s">
        <v>43</v>
      </c>
      <c r="C856" t="s">
        <v>26</v>
      </c>
      <c r="D856" t="s">
        <v>22</v>
      </c>
      <c r="E856" t="s">
        <v>1047</v>
      </c>
      <c r="F856" t="s">
        <v>1562</v>
      </c>
    </row>
    <row r="857" spans="1:6" x14ac:dyDescent="0.3">
      <c r="A857">
        <v>856</v>
      </c>
      <c r="B857" t="s">
        <v>723</v>
      </c>
      <c r="C857" t="s">
        <v>26</v>
      </c>
      <c r="D857" t="s">
        <v>72</v>
      </c>
      <c r="E857" t="s">
        <v>166</v>
      </c>
      <c r="F857" t="s">
        <v>1563</v>
      </c>
    </row>
    <row r="858" spans="1:6" x14ac:dyDescent="0.3">
      <c r="A858">
        <v>857</v>
      </c>
      <c r="B858" t="s">
        <v>300</v>
      </c>
      <c r="C858" t="s">
        <v>7</v>
      </c>
      <c r="D858" t="s">
        <v>72</v>
      </c>
      <c r="E858" t="s">
        <v>499</v>
      </c>
      <c r="F858" t="s">
        <v>1564</v>
      </c>
    </row>
    <row r="859" spans="1:6" x14ac:dyDescent="0.3">
      <c r="A859">
        <v>858</v>
      </c>
      <c r="B859" t="s">
        <v>87</v>
      </c>
      <c r="C859" t="s">
        <v>26</v>
      </c>
      <c r="D859" t="s">
        <v>44</v>
      </c>
      <c r="E859" t="s">
        <v>858</v>
      </c>
      <c r="F859" t="s">
        <v>1565</v>
      </c>
    </row>
    <row r="860" spans="1:6" x14ac:dyDescent="0.3">
      <c r="A860">
        <v>859</v>
      </c>
      <c r="B860" t="s">
        <v>643</v>
      </c>
      <c r="C860" t="s">
        <v>7</v>
      </c>
      <c r="D860" t="s">
        <v>27</v>
      </c>
      <c r="E860" t="s">
        <v>378</v>
      </c>
      <c r="F860" t="s">
        <v>1566</v>
      </c>
    </row>
    <row r="861" spans="1:6" x14ac:dyDescent="0.3">
      <c r="A861">
        <v>860</v>
      </c>
      <c r="B861" t="s">
        <v>511</v>
      </c>
      <c r="C861" t="s">
        <v>26</v>
      </c>
      <c r="D861" t="s">
        <v>8</v>
      </c>
      <c r="E861" t="s">
        <v>802</v>
      </c>
      <c r="F861" t="s">
        <v>1567</v>
      </c>
    </row>
    <row r="862" spans="1:6" x14ac:dyDescent="0.3">
      <c r="A862">
        <v>861</v>
      </c>
      <c r="B862" t="s">
        <v>357</v>
      </c>
      <c r="C862" t="s">
        <v>26</v>
      </c>
      <c r="D862" t="s">
        <v>72</v>
      </c>
      <c r="E862" t="s">
        <v>101</v>
      </c>
      <c r="F862" t="s">
        <v>1568</v>
      </c>
    </row>
    <row r="863" spans="1:6" x14ac:dyDescent="0.3">
      <c r="A863">
        <v>862</v>
      </c>
      <c r="B863" t="s">
        <v>1097</v>
      </c>
      <c r="C863" t="s">
        <v>7</v>
      </c>
      <c r="D863" t="s">
        <v>72</v>
      </c>
      <c r="E863" t="s">
        <v>1569</v>
      </c>
      <c r="F863" t="s">
        <v>1570</v>
      </c>
    </row>
    <row r="864" spans="1:6" x14ac:dyDescent="0.3">
      <c r="A864">
        <v>863</v>
      </c>
      <c r="B864" t="s">
        <v>342</v>
      </c>
      <c r="C864" t="s">
        <v>26</v>
      </c>
      <c r="D864" t="s">
        <v>27</v>
      </c>
      <c r="E864" t="s">
        <v>1571</v>
      </c>
      <c r="F864" t="s">
        <v>1572</v>
      </c>
    </row>
    <row r="865" spans="1:6" x14ac:dyDescent="0.3">
      <c r="A865">
        <v>864</v>
      </c>
      <c r="B865" t="s">
        <v>485</v>
      </c>
      <c r="C865" t="s">
        <v>26</v>
      </c>
      <c r="D865" t="s">
        <v>22</v>
      </c>
      <c r="E865" t="s">
        <v>486</v>
      </c>
      <c r="F865" t="s">
        <v>1573</v>
      </c>
    </row>
    <row r="866" spans="1:6" x14ac:dyDescent="0.3">
      <c r="A866">
        <v>865</v>
      </c>
      <c r="B866" t="s">
        <v>109</v>
      </c>
      <c r="C866" t="s">
        <v>26</v>
      </c>
      <c r="D866" t="s">
        <v>44</v>
      </c>
      <c r="E866" t="s">
        <v>1243</v>
      </c>
      <c r="F866" t="s">
        <v>1574</v>
      </c>
    </row>
    <row r="867" spans="1:6" x14ac:dyDescent="0.3">
      <c r="A867">
        <v>866</v>
      </c>
      <c r="B867" t="s">
        <v>548</v>
      </c>
      <c r="C867" t="s">
        <v>7</v>
      </c>
      <c r="D867" t="s">
        <v>22</v>
      </c>
      <c r="E867" t="s">
        <v>719</v>
      </c>
      <c r="F867" t="s">
        <v>1575</v>
      </c>
    </row>
    <row r="868" spans="1:6" x14ac:dyDescent="0.3">
      <c r="A868">
        <v>867</v>
      </c>
      <c r="B868" t="s">
        <v>157</v>
      </c>
      <c r="C868" t="s">
        <v>7</v>
      </c>
      <c r="D868" t="s">
        <v>44</v>
      </c>
      <c r="E868" t="s">
        <v>1203</v>
      </c>
      <c r="F868" t="s">
        <v>1576</v>
      </c>
    </row>
    <row r="869" spans="1:6" x14ac:dyDescent="0.3">
      <c r="A869">
        <v>868</v>
      </c>
      <c r="B869" t="s">
        <v>569</v>
      </c>
      <c r="C869" t="s">
        <v>7</v>
      </c>
      <c r="D869" t="s">
        <v>37</v>
      </c>
      <c r="E869" t="s">
        <v>271</v>
      </c>
      <c r="F869" t="s">
        <v>1577</v>
      </c>
    </row>
    <row r="870" spans="1:6" x14ac:dyDescent="0.3">
      <c r="A870">
        <v>869</v>
      </c>
      <c r="B870" t="s">
        <v>264</v>
      </c>
      <c r="C870" t="s">
        <v>7</v>
      </c>
      <c r="D870" t="s">
        <v>44</v>
      </c>
      <c r="E870" t="s">
        <v>303</v>
      </c>
      <c r="F870" t="s">
        <v>1578</v>
      </c>
    </row>
    <row r="871" spans="1:6" x14ac:dyDescent="0.3">
      <c r="A871">
        <v>870</v>
      </c>
      <c r="B871" t="s">
        <v>496</v>
      </c>
      <c r="C871" t="s">
        <v>26</v>
      </c>
      <c r="D871" t="s">
        <v>8</v>
      </c>
      <c r="E871" t="s">
        <v>290</v>
      </c>
      <c r="F871" t="s">
        <v>1579</v>
      </c>
    </row>
    <row r="872" spans="1:6" x14ac:dyDescent="0.3">
      <c r="A872">
        <v>871</v>
      </c>
      <c r="B872" t="s">
        <v>1218</v>
      </c>
      <c r="C872" t="s">
        <v>7</v>
      </c>
      <c r="D872" t="s">
        <v>72</v>
      </c>
      <c r="E872" t="s">
        <v>1580</v>
      </c>
      <c r="F872" t="s">
        <v>1581</v>
      </c>
    </row>
    <row r="873" spans="1:6" x14ac:dyDescent="0.3">
      <c r="A873">
        <v>872</v>
      </c>
      <c r="B873" t="s">
        <v>300</v>
      </c>
      <c r="C873" t="s">
        <v>7</v>
      </c>
      <c r="D873" t="s">
        <v>44</v>
      </c>
      <c r="E873" t="s">
        <v>838</v>
      </c>
      <c r="F873" t="s">
        <v>1582</v>
      </c>
    </row>
    <row r="874" spans="1:6" x14ac:dyDescent="0.3">
      <c r="A874">
        <v>873</v>
      </c>
      <c r="B874" t="s">
        <v>548</v>
      </c>
      <c r="C874" t="s">
        <v>7</v>
      </c>
      <c r="D874" t="s">
        <v>12</v>
      </c>
      <c r="E874" t="s">
        <v>1358</v>
      </c>
      <c r="F874" t="s">
        <v>1583</v>
      </c>
    </row>
    <row r="875" spans="1:6" x14ac:dyDescent="0.3">
      <c r="A875">
        <v>874</v>
      </c>
      <c r="B875" t="s">
        <v>53</v>
      </c>
      <c r="C875" t="s">
        <v>26</v>
      </c>
      <c r="D875" t="s">
        <v>12</v>
      </c>
      <c r="E875" t="s">
        <v>28</v>
      </c>
      <c r="F875" t="s">
        <v>1584</v>
      </c>
    </row>
    <row r="876" spans="1:6" x14ac:dyDescent="0.3">
      <c r="A876">
        <v>875</v>
      </c>
      <c r="B876" t="s">
        <v>18</v>
      </c>
      <c r="C876" t="s">
        <v>7</v>
      </c>
      <c r="D876" t="s">
        <v>8</v>
      </c>
      <c r="E876" t="s">
        <v>200</v>
      </c>
      <c r="F876" t="s">
        <v>1585</v>
      </c>
    </row>
    <row r="877" spans="1:6" x14ac:dyDescent="0.3">
      <c r="A877">
        <v>876</v>
      </c>
      <c r="B877" t="s">
        <v>1334</v>
      </c>
      <c r="C877" t="s">
        <v>7</v>
      </c>
      <c r="D877" t="s">
        <v>12</v>
      </c>
      <c r="E877" t="s">
        <v>1586</v>
      </c>
      <c r="F877" t="s">
        <v>1587</v>
      </c>
    </row>
    <row r="878" spans="1:6" x14ac:dyDescent="0.3">
      <c r="A878">
        <v>877</v>
      </c>
      <c r="B878" t="s">
        <v>84</v>
      </c>
      <c r="C878" t="s">
        <v>7</v>
      </c>
      <c r="D878" t="s">
        <v>44</v>
      </c>
      <c r="E878" t="s">
        <v>1588</v>
      </c>
      <c r="F878" t="s">
        <v>1589</v>
      </c>
    </row>
    <row r="879" spans="1:6" x14ac:dyDescent="0.3">
      <c r="A879">
        <v>878</v>
      </c>
      <c r="B879" t="s">
        <v>554</v>
      </c>
      <c r="C879" t="s">
        <v>26</v>
      </c>
      <c r="D879" t="s">
        <v>72</v>
      </c>
      <c r="E879" t="s">
        <v>549</v>
      </c>
      <c r="F879" t="s">
        <v>1590</v>
      </c>
    </row>
    <row r="880" spans="1:6" x14ac:dyDescent="0.3">
      <c r="A880">
        <v>879</v>
      </c>
      <c r="B880" t="s">
        <v>723</v>
      </c>
      <c r="C880" t="s">
        <v>26</v>
      </c>
      <c r="D880" t="s">
        <v>12</v>
      </c>
      <c r="E880" t="s">
        <v>355</v>
      </c>
      <c r="F880" t="s">
        <v>1591</v>
      </c>
    </row>
    <row r="881" spans="1:6" x14ac:dyDescent="0.3">
      <c r="A881">
        <v>880</v>
      </c>
      <c r="B881" t="s">
        <v>115</v>
      </c>
      <c r="C881" t="s">
        <v>26</v>
      </c>
      <c r="D881" t="s">
        <v>72</v>
      </c>
      <c r="E881" t="s">
        <v>555</v>
      </c>
      <c r="F881" t="s">
        <v>1592</v>
      </c>
    </row>
    <row r="882" spans="1:6" x14ac:dyDescent="0.3">
      <c r="A882">
        <v>881</v>
      </c>
      <c r="B882" t="s">
        <v>485</v>
      </c>
      <c r="C882" t="s">
        <v>26</v>
      </c>
      <c r="D882" t="s">
        <v>12</v>
      </c>
      <c r="E882" t="s">
        <v>1593</v>
      </c>
      <c r="F882" t="s">
        <v>1594</v>
      </c>
    </row>
    <row r="883" spans="1:6" x14ac:dyDescent="0.3">
      <c r="A883">
        <v>882</v>
      </c>
      <c r="B883" t="s">
        <v>333</v>
      </c>
      <c r="C883" t="s">
        <v>26</v>
      </c>
      <c r="D883" t="s">
        <v>27</v>
      </c>
      <c r="E883" t="s">
        <v>1457</v>
      </c>
      <c r="F883" t="s">
        <v>1595</v>
      </c>
    </row>
    <row r="884" spans="1:6" x14ac:dyDescent="0.3">
      <c r="A884">
        <v>883</v>
      </c>
      <c r="B884" t="s">
        <v>728</v>
      </c>
      <c r="C884" t="s">
        <v>7</v>
      </c>
      <c r="D884" t="s">
        <v>37</v>
      </c>
      <c r="E884" t="s">
        <v>1061</v>
      </c>
      <c r="F884" t="s">
        <v>1596</v>
      </c>
    </row>
    <row r="885" spans="1:6" x14ac:dyDescent="0.3">
      <c r="A885">
        <v>884</v>
      </c>
      <c r="B885" t="s">
        <v>252</v>
      </c>
      <c r="C885" t="s">
        <v>7</v>
      </c>
      <c r="D885" t="s">
        <v>8</v>
      </c>
      <c r="E885" t="s">
        <v>54</v>
      </c>
      <c r="F885" t="s">
        <v>1597</v>
      </c>
    </row>
    <row r="886" spans="1:6" x14ac:dyDescent="0.3">
      <c r="A886">
        <v>885</v>
      </c>
      <c r="B886" t="s">
        <v>141</v>
      </c>
      <c r="C886" t="s">
        <v>26</v>
      </c>
      <c r="D886" t="s">
        <v>12</v>
      </c>
      <c r="E886" t="s">
        <v>110</v>
      </c>
      <c r="F886" t="s">
        <v>1598</v>
      </c>
    </row>
    <row r="887" spans="1:6" x14ac:dyDescent="0.3">
      <c r="A887">
        <v>886</v>
      </c>
      <c r="B887" t="s">
        <v>1261</v>
      </c>
      <c r="C887" t="s">
        <v>7</v>
      </c>
      <c r="D887" t="s">
        <v>22</v>
      </c>
      <c r="E887" t="s">
        <v>1492</v>
      </c>
      <c r="F887" t="s">
        <v>1599</v>
      </c>
    </row>
    <row r="888" spans="1:6" x14ac:dyDescent="0.3">
      <c r="A888">
        <v>887</v>
      </c>
      <c r="B888" t="s">
        <v>485</v>
      </c>
      <c r="C888" t="s">
        <v>26</v>
      </c>
      <c r="D888" t="s">
        <v>8</v>
      </c>
      <c r="E888" t="s">
        <v>1600</v>
      </c>
      <c r="F888" t="s">
        <v>1601</v>
      </c>
    </row>
    <row r="889" spans="1:6" x14ac:dyDescent="0.3">
      <c r="A889">
        <v>888</v>
      </c>
      <c r="B889" t="s">
        <v>485</v>
      </c>
      <c r="C889" t="s">
        <v>26</v>
      </c>
      <c r="D889" t="s">
        <v>44</v>
      </c>
      <c r="E889" t="s">
        <v>1425</v>
      </c>
      <c r="F889" t="s">
        <v>1602</v>
      </c>
    </row>
    <row r="890" spans="1:6" x14ac:dyDescent="0.3">
      <c r="A890">
        <v>889</v>
      </c>
      <c r="B890" t="s">
        <v>177</v>
      </c>
      <c r="C890" t="s">
        <v>26</v>
      </c>
      <c r="D890" t="s">
        <v>72</v>
      </c>
      <c r="E890" t="s">
        <v>1603</v>
      </c>
      <c r="F890" t="s">
        <v>1604</v>
      </c>
    </row>
    <row r="891" spans="1:6" x14ac:dyDescent="0.3">
      <c r="A891">
        <v>890</v>
      </c>
      <c r="B891" t="s">
        <v>995</v>
      </c>
      <c r="C891" t="s">
        <v>26</v>
      </c>
      <c r="D891" t="s">
        <v>27</v>
      </c>
      <c r="E891" t="s">
        <v>883</v>
      </c>
      <c r="F891" t="s">
        <v>1605</v>
      </c>
    </row>
    <row r="892" spans="1:6" x14ac:dyDescent="0.3">
      <c r="A892">
        <v>891</v>
      </c>
      <c r="B892" t="s">
        <v>613</v>
      </c>
      <c r="C892" t="s">
        <v>26</v>
      </c>
      <c r="D892" t="s">
        <v>72</v>
      </c>
      <c r="E892" t="s">
        <v>99</v>
      </c>
      <c r="F892" t="s">
        <v>1606</v>
      </c>
    </row>
    <row r="893" spans="1:6" x14ac:dyDescent="0.3">
      <c r="A893">
        <v>892</v>
      </c>
      <c r="B893" t="s">
        <v>133</v>
      </c>
      <c r="C893" t="s">
        <v>7</v>
      </c>
      <c r="D893" t="s">
        <v>22</v>
      </c>
      <c r="E893" t="s">
        <v>918</v>
      </c>
      <c r="F893" t="s">
        <v>1607</v>
      </c>
    </row>
    <row r="894" spans="1:6" x14ac:dyDescent="0.3">
      <c r="A894">
        <v>893</v>
      </c>
      <c r="B894" t="s">
        <v>300</v>
      </c>
      <c r="C894" t="s">
        <v>7</v>
      </c>
      <c r="D894" t="s">
        <v>44</v>
      </c>
      <c r="E894" t="s">
        <v>1403</v>
      </c>
      <c r="F894" t="s">
        <v>1608</v>
      </c>
    </row>
    <row r="895" spans="1:6" x14ac:dyDescent="0.3">
      <c r="A895">
        <v>894</v>
      </c>
      <c r="B895" t="s">
        <v>245</v>
      </c>
      <c r="C895" t="s">
        <v>26</v>
      </c>
      <c r="D895" t="s">
        <v>12</v>
      </c>
      <c r="E895" t="s">
        <v>246</v>
      </c>
      <c r="F895" t="s">
        <v>1609</v>
      </c>
    </row>
    <row r="896" spans="1:6" x14ac:dyDescent="0.3">
      <c r="A896">
        <v>895</v>
      </c>
      <c r="B896" t="s">
        <v>957</v>
      </c>
      <c r="C896" t="s">
        <v>26</v>
      </c>
      <c r="D896" t="s">
        <v>8</v>
      </c>
      <c r="E896" t="s">
        <v>946</v>
      </c>
      <c r="F896" t="s">
        <v>1610</v>
      </c>
    </row>
    <row r="897" spans="1:6" x14ac:dyDescent="0.3">
      <c r="A897">
        <v>896</v>
      </c>
      <c r="B897" t="s">
        <v>732</v>
      </c>
      <c r="C897" t="s">
        <v>26</v>
      </c>
      <c r="D897" t="s">
        <v>12</v>
      </c>
      <c r="E897" t="s">
        <v>60</v>
      </c>
      <c r="F897" t="s">
        <v>1611</v>
      </c>
    </row>
    <row r="898" spans="1:6" x14ac:dyDescent="0.3">
      <c r="A898">
        <v>897</v>
      </c>
      <c r="B898" t="s">
        <v>718</v>
      </c>
      <c r="C898" t="s">
        <v>26</v>
      </c>
      <c r="D898" t="s">
        <v>72</v>
      </c>
      <c r="E898" t="s">
        <v>740</v>
      </c>
      <c r="F898" t="s">
        <v>1612</v>
      </c>
    </row>
    <row r="899" spans="1:6" x14ac:dyDescent="0.3">
      <c r="A899">
        <v>898</v>
      </c>
      <c r="B899" t="s">
        <v>840</v>
      </c>
      <c r="C899" t="s">
        <v>26</v>
      </c>
      <c r="D899" t="s">
        <v>27</v>
      </c>
      <c r="E899" t="s">
        <v>480</v>
      </c>
      <c r="F899" t="s">
        <v>1613</v>
      </c>
    </row>
    <row r="900" spans="1:6" x14ac:dyDescent="0.3">
      <c r="A900">
        <v>899</v>
      </c>
      <c r="B900" t="s">
        <v>661</v>
      </c>
      <c r="C900" t="s">
        <v>7</v>
      </c>
      <c r="D900" t="s">
        <v>44</v>
      </c>
      <c r="E900" t="s">
        <v>918</v>
      </c>
      <c r="F900" t="s">
        <v>1614</v>
      </c>
    </row>
    <row r="901" spans="1:6" x14ac:dyDescent="0.3">
      <c r="A901">
        <v>900</v>
      </c>
      <c r="B901" t="s">
        <v>1076</v>
      </c>
      <c r="C901" t="s">
        <v>7</v>
      </c>
      <c r="D901" t="s">
        <v>22</v>
      </c>
      <c r="E901" t="s">
        <v>871</v>
      </c>
      <c r="F901" t="s">
        <v>1615</v>
      </c>
    </row>
    <row r="902" spans="1:6" x14ac:dyDescent="0.3">
      <c r="A902">
        <v>901</v>
      </c>
      <c r="B902" t="s">
        <v>389</v>
      </c>
      <c r="C902" t="s">
        <v>26</v>
      </c>
      <c r="D902" t="s">
        <v>22</v>
      </c>
      <c r="E902" t="s">
        <v>412</v>
      </c>
      <c r="F902" t="s">
        <v>1616</v>
      </c>
    </row>
    <row r="903" spans="1:6" x14ac:dyDescent="0.3">
      <c r="A903">
        <v>902</v>
      </c>
      <c r="B903" t="s">
        <v>194</v>
      </c>
      <c r="C903" t="s">
        <v>7</v>
      </c>
      <c r="D903" t="s">
        <v>22</v>
      </c>
      <c r="E903" t="s">
        <v>959</v>
      </c>
      <c r="F903" t="s">
        <v>1617</v>
      </c>
    </row>
    <row r="904" spans="1:6" x14ac:dyDescent="0.3">
      <c r="A904">
        <v>903</v>
      </c>
      <c r="B904" t="s">
        <v>1150</v>
      </c>
      <c r="C904" t="s">
        <v>7</v>
      </c>
      <c r="D904" t="s">
        <v>72</v>
      </c>
      <c r="E904" t="s">
        <v>369</v>
      </c>
      <c r="F904" t="s">
        <v>1618</v>
      </c>
    </row>
    <row r="905" spans="1:6" x14ac:dyDescent="0.3">
      <c r="A905">
        <v>904</v>
      </c>
      <c r="B905" t="s">
        <v>228</v>
      </c>
      <c r="C905" t="s">
        <v>26</v>
      </c>
      <c r="D905" t="s">
        <v>37</v>
      </c>
      <c r="E905" t="s">
        <v>1064</v>
      </c>
      <c r="F905" t="s">
        <v>1619</v>
      </c>
    </row>
    <row r="906" spans="1:6" x14ac:dyDescent="0.3">
      <c r="A906">
        <v>905</v>
      </c>
      <c r="B906" t="s">
        <v>643</v>
      </c>
      <c r="C906" t="s">
        <v>7</v>
      </c>
      <c r="D906" t="s">
        <v>22</v>
      </c>
      <c r="E906" t="s">
        <v>1542</v>
      </c>
      <c r="F906" t="s">
        <v>1620</v>
      </c>
    </row>
    <row r="907" spans="1:6" x14ac:dyDescent="0.3">
      <c r="A907">
        <v>906</v>
      </c>
      <c r="B907" t="s">
        <v>496</v>
      </c>
      <c r="C907" t="s">
        <v>26</v>
      </c>
      <c r="D907" t="s">
        <v>8</v>
      </c>
      <c r="E907" t="s">
        <v>491</v>
      </c>
      <c r="F907" t="s">
        <v>1621</v>
      </c>
    </row>
    <row r="908" spans="1:6" x14ac:dyDescent="0.3">
      <c r="A908">
        <v>907</v>
      </c>
      <c r="B908" t="s">
        <v>135</v>
      </c>
      <c r="C908" t="s">
        <v>26</v>
      </c>
      <c r="D908" t="s">
        <v>12</v>
      </c>
      <c r="E908" t="s">
        <v>477</v>
      </c>
      <c r="F908" t="s">
        <v>1622</v>
      </c>
    </row>
    <row r="909" spans="1:6" x14ac:dyDescent="0.3">
      <c r="A909">
        <v>908</v>
      </c>
      <c r="B909" t="s">
        <v>65</v>
      </c>
      <c r="C909" t="s">
        <v>7</v>
      </c>
      <c r="D909" t="s">
        <v>44</v>
      </c>
      <c r="E909" t="s">
        <v>623</v>
      </c>
      <c r="F909" t="s">
        <v>1623</v>
      </c>
    </row>
    <row r="910" spans="1:6" x14ac:dyDescent="0.3">
      <c r="A910">
        <v>909</v>
      </c>
      <c r="B910" t="s">
        <v>6</v>
      </c>
      <c r="C910" t="s">
        <v>7</v>
      </c>
      <c r="D910" t="s">
        <v>8</v>
      </c>
      <c r="E910" t="s">
        <v>434</v>
      </c>
      <c r="F910" t="s">
        <v>1624</v>
      </c>
    </row>
    <row r="911" spans="1:6" x14ac:dyDescent="0.3">
      <c r="A911">
        <v>910</v>
      </c>
      <c r="B911" t="s">
        <v>204</v>
      </c>
      <c r="C911" t="s">
        <v>26</v>
      </c>
      <c r="D911" t="s">
        <v>27</v>
      </c>
      <c r="E911" t="s">
        <v>360</v>
      </c>
      <c r="F911" t="s">
        <v>1625</v>
      </c>
    </row>
    <row r="912" spans="1:6" x14ac:dyDescent="0.3">
      <c r="A912">
        <v>911</v>
      </c>
      <c r="B912" t="s">
        <v>1626</v>
      </c>
      <c r="C912" t="s">
        <v>26</v>
      </c>
      <c r="D912" t="s">
        <v>22</v>
      </c>
      <c r="E912" t="s">
        <v>1513</v>
      </c>
      <c r="F912" t="s">
        <v>1627</v>
      </c>
    </row>
    <row r="913" spans="1:6" x14ac:dyDescent="0.3">
      <c r="A913">
        <v>912</v>
      </c>
      <c r="B913" t="s">
        <v>585</v>
      </c>
      <c r="C913" t="s">
        <v>26</v>
      </c>
      <c r="D913" t="s">
        <v>22</v>
      </c>
      <c r="E913" t="s">
        <v>1628</v>
      </c>
      <c r="F913" t="s">
        <v>1629</v>
      </c>
    </row>
    <row r="914" spans="1:6" x14ac:dyDescent="0.3">
      <c r="A914">
        <v>913</v>
      </c>
      <c r="B914" t="s">
        <v>1094</v>
      </c>
      <c r="C914" t="s">
        <v>7</v>
      </c>
      <c r="D914" t="s">
        <v>12</v>
      </c>
      <c r="E914" t="s">
        <v>1630</v>
      </c>
      <c r="F914" t="s">
        <v>1631</v>
      </c>
    </row>
    <row r="915" spans="1:6" x14ac:dyDescent="0.3">
      <c r="A915">
        <v>914</v>
      </c>
      <c r="B915" t="s">
        <v>569</v>
      </c>
      <c r="C915" t="s">
        <v>7</v>
      </c>
      <c r="D915" t="s">
        <v>12</v>
      </c>
      <c r="E915" t="s">
        <v>1406</v>
      </c>
      <c r="F915" t="s">
        <v>1632</v>
      </c>
    </row>
    <row r="916" spans="1:6" x14ac:dyDescent="0.3">
      <c r="A916">
        <v>915</v>
      </c>
      <c r="B916" t="s">
        <v>1046</v>
      </c>
      <c r="C916" t="s">
        <v>26</v>
      </c>
      <c r="D916" t="s">
        <v>22</v>
      </c>
      <c r="E916" t="s">
        <v>298</v>
      </c>
      <c r="F916" t="s">
        <v>1633</v>
      </c>
    </row>
    <row r="917" spans="1:6" x14ac:dyDescent="0.3">
      <c r="A917">
        <v>916</v>
      </c>
      <c r="B917" t="s">
        <v>109</v>
      </c>
      <c r="C917" t="s">
        <v>26</v>
      </c>
      <c r="D917" t="s">
        <v>22</v>
      </c>
      <c r="E917" t="s">
        <v>790</v>
      </c>
      <c r="F917" t="s">
        <v>1634</v>
      </c>
    </row>
    <row r="918" spans="1:6" x14ac:dyDescent="0.3">
      <c r="A918">
        <v>917</v>
      </c>
      <c r="B918" t="s">
        <v>342</v>
      </c>
      <c r="C918" t="s">
        <v>26</v>
      </c>
      <c r="D918" t="s">
        <v>22</v>
      </c>
      <c r="E918" t="s">
        <v>372</v>
      </c>
      <c r="F918" t="s">
        <v>1635</v>
      </c>
    </row>
    <row r="919" spans="1:6" x14ac:dyDescent="0.3">
      <c r="A919">
        <v>918</v>
      </c>
      <c r="B919" t="s">
        <v>228</v>
      </c>
      <c r="C919" t="s">
        <v>26</v>
      </c>
      <c r="D919" t="s">
        <v>44</v>
      </c>
      <c r="E919" t="s">
        <v>446</v>
      </c>
      <c r="F919" t="s">
        <v>1636</v>
      </c>
    </row>
    <row r="920" spans="1:6" x14ac:dyDescent="0.3">
      <c r="A920">
        <v>919</v>
      </c>
      <c r="B920" t="s">
        <v>328</v>
      </c>
      <c r="C920" t="s">
        <v>7</v>
      </c>
      <c r="D920" t="s">
        <v>12</v>
      </c>
      <c r="E920" t="s">
        <v>1637</v>
      </c>
      <c r="F920" t="s">
        <v>1638</v>
      </c>
    </row>
    <row r="921" spans="1:6" x14ac:dyDescent="0.3">
      <c r="A921">
        <v>920</v>
      </c>
      <c r="B921" t="s">
        <v>98</v>
      </c>
      <c r="C921" t="s">
        <v>26</v>
      </c>
      <c r="D921" t="s">
        <v>8</v>
      </c>
      <c r="E921" t="s">
        <v>867</v>
      </c>
      <c r="F921" t="s">
        <v>1639</v>
      </c>
    </row>
    <row r="922" spans="1:6" x14ac:dyDescent="0.3">
      <c r="A922">
        <v>921</v>
      </c>
      <c r="B922" t="s">
        <v>165</v>
      </c>
      <c r="C922" t="s">
        <v>7</v>
      </c>
      <c r="D922" t="s">
        <v>44</v>
      </c>
      <c r="E922" t="s">
        <v>918</v>
      </c>
      <c r="F922" t="s">
        <v>1640</v>
      </c>
    </row>
    <row r="923" spans="1:6" x14ac:dyDescent="0.3">
      <c r="A923">
        <v>922</v>
      </c>
      <c r="B923" t="s">
        <v>1334</v>
      </c>
      <c r="C923" t="s">
        <v>7</v>
      </c>
      <c r="D923" t="s">
        <v>22</v>
      </c>
      <c r="E923" t="s">
        <v>669</v>
      </c>
      <c r="F923" t="s">
        <v>1641</v>
      </c>
    </row>
    <row r="924" spans="1:6" x14ac:dyDescent="0.3">
      <c r="A924">
        <v>923</v>
      </c>
      <c r="B924" t="s">
        <v>81</v>
      </c>
      <c r="C924" t="s">
        <v>7</v>
      </c>
      <c r="D924" t="s">
        <v>72</v>
      </c>
      <c r="E924" t="s">
        <v>654</v>
      </c>
      <c r="F924" t="s">
        <v>1642</v>
      </c>
    </row>
    <row r="925" spans="1:6" x14ac:dyDescent="0.3">
      <c r="A925">
        <v>924</v>
      </c>
      <c r="B925" t="s">
        <v>613</v>
      </c>
      <c r="C925" t="s">
        <v>26</v>
      </c>
      <c r="D925" t="s">
        <v>22</v>
      </c>
      <c r="E925" t="s">
        <v>355</v>
      </c>
      <c r="F925" t="s">
        <v>1643</v>
      </c>
    </row>
    <row r="926" spans="1:6" x14ac:dyDescent="0.3">
      <c r="A926">
        <v>925</v>
      </c>
      <c r="B926" t="s">
        <v>1059</v>
      </c>
      <c r="C926" t="s">
        <v>26</v>
      </c>
      <c r="D926" t="s">
        <v>37</v>
      </c>
      <c r="E926" t="s">
        <v>1644</v>
      </c>
      <c r="F926" t="s">
        <v>1645</v>
      </c>
    </row>
    <row r="927" spans="1:6" x14ac:dyDescent="0.3">
      <c r="A927">
        <v>926</v>
      </c>
      <c r="B927" t="s">
        <v>596</v>
      </c>
      <c r="C927" t="s">
        <v>26</v>
      </c>
      <c r="D927" t="s">
        <v>12</v>
      </c>
      <c r="E927" t="s">
        <v>1646</v>
      </c>
      <c r="F927" t="s">
        <v>1647</v>
      </c>
    </row>
    <row r="928" spans="1:6" x14ac:dyDescent="0.3">
      <c r="A928">
        <v>927</v>
      </c>
      <c r="B928" t="s">
        <v>106</v>
      </c>
      <c r="C928" t="s">
        <v>7</v>
      </c>
      <c r="D928" t="s">
        <v>37</v>
      </c>
      <c r="E928" t="s">
        <v>1450</v>
      </c>
      <c r="F928" t="s">
        <v>1648</v>
      </c>
    </row>
    <row r="929" spans="1:6" x14ac:dyDescent="0.3">
      <c r="A929">
        <v>928</v>
      </c>
      <c r="B929" t="s">
        <v>533</v>
      </c>
      <c r="C929" t="s">
        <v>26</v>
      </c>
      <c r="D929" t="s">
        <v>72</v>
      </c>
      <c r="E929" t="s">
        <v>701</v>
      </c>
      <c r="F929" t="s">
        <v>1649</v>
      </c>
    </row>
    <row r="930" spans="1:6" x14ac:dyDescent="0.3">
      <c r="A930">
        <v>929</v>
      </c>
      <c r="B930" t="s">
        <v>1094</v>
      </c>
      <c r="C930" t="s">
        <v>7</v>
      </c>
      <c r="D930" t="s">
        <v>8</v>
      </c>
      <c r="E930" t="s">
        <v>366</v>
      </c>
      <c r="F930" t="s">
        <v>1650</v>
      </c>
    </row>
    <row r="931" spans="1:6" x14ac:dyDescent="0.3">
      <c r="A931">
        <v>930</v>
      </c>
      <c r="B931" t="s">
        <v>294</v>
      </c>
      <c r="C931" t="s">
        <v>26</v>
      </c>
      <c r="D931" t="s">
        <v>44</v>
      </c>
      <c r="E931" t="s">
        <v>1396</v>
      </c>
      <c r="F931" t="s">
        <v>1651</v>
      </c>
    </row>
    <row r="932" spans="1:6" x14ac:dyDescent="0.3">
      <c r="A932">
        <v>931</v>
      </c>
      <c r="B932" t="s">
        <v>47</v>
      </c>
      <c r="C932" t="s">
        <v>7</v>
      </c>
      <c r="D932" t="s">
        <v>72</v>
      </c>
      <c r="E932" t="s">
        <v>959</v>
      </c>
      <c r="F932" t="s">
        <v>1652</v>
      </c>
    </row>
    <row r="933" spans="1:6" x14ac:dyDescent="0.3">
      <c r="A933">
        <v>932</v>
      </c>
      <c r="B933" t="s">
        <v>124</v>
      </c>
      <c r="C933" t="s">
        <v>26</v>
      </c>
      <c r="D933" t="s">
        <v>27</v>
      </c>
      <c r="E933" t="s">
        <v>1653</v>
      </c>
      <c r="F933" t="s">
        <v>1654</v>
      </c>
    </row>
    <row r="934" spans="1:6" x14ac:dyDescent="0.3">
      <c r="A934">
        <v>933</v>
      </c>
      <c r="B934" t="s">
        <v>115</v>
      </c>
      <c r="C934" t="s">
        <v>26</v>
      </c>
      <c r="D934" t="s">
        <v>12</v>
      </c>
      <c r="E934" t="s">
        <v>458</v>
      </c>
      <c r="F934" t="s">
        <v>1655</v>
      </c>
    </row>
    <row r="935" spans="1:6" x14ac:dyDescent="0.3">
      <c r="A935">
        <v>934</v>
      </c>
      <c r="B935" t="s">
        <v>11</v>
      </c>
      <c r="C935" t="s">
        <v>7</v>
      </c>
      <c r="D935" t="s">
        <v>27</v>
      </c>
      <c r="E935" t="s">
        <v>848</v>
      </c>
      <c r="F935" t="s">
        <v>1656</v>
      </c>
    </row>
    <row r="936" spans="1:6" x14ac:dyDescent="0.3">
      <c r="A936">
        <v>935</v>
      </c>
      <c r="B936" t="s">
        <v>342</v>
      </c>
      <c r="C936" t="s">
        <v>26</v>
      </c>
      <c r="D936" t="s">
        <v>27</v>
      </c>
      <c r="E936" t="s">
        <v>1095</v>
      </c>
      <c r="F936" t="s">
        <v>1657</v>
      </c>
    </row>
    <row r="937" spans="1:6" x14ac:dyDescent="0.3">
      <c r="A937">
        <v>936</v>
      </c>
      <c r="B937" t="s">
        <v>36</v>
      </c>
      <c r="C937" t="s">
        <v>7</v>
      </c>
      <c r="D937" t="s">
        <v>27</v>
      </c>
      <c r="E937" t="s">
        <v>1658</v>
      </c>
      <c r="F937" t="s">
        <v>1659</v>
      </c>
    </row>
    <row r="938" spans="1:6" x14ac:dyDescent="0.3">
      <c r="A938">
        <v>937</v>
      </c>
      <c r="B938" t="s">
        <v>1660</v>
      </c>
      <c r="C938" t="s">
        <v>26</v>
      </c>
      <c r="D938" t="s">
        <v>22</v>
      </c>
      <c r="E938" t="s">
        <v>1501</v>
      </c>
      <c r="F938" t="s">
        <v>1661</v>
      </c>
    </row>
    <row r="939" spans="1:6" x14ac:dyDescent="0.3">
      <c r="A939">
        <v>938</v>
      </c>
      <c r="B939" t="s">
        <v>325</v>
      </c>
      <c r="C939" t="s">
        <v>7</v>
      </c>
      <c r="D939" t="s">
        <v>37</v>
      </c>
      <c r="E939" t="s">
        <v>1662</v>
      </c>
      <c r="F939" t="s">
        <v>1663</v>
      </c>
    </row>
    <row r="940" spans="1:6" x14ac:dyDescent="0.3">
      <c r="A940">
        <v>939</v>
      </c>
      <c r="B940" t="s">
        <v>557</v>
      </c>
      <c r="C940" t="s">
        <v>7</v>
      </c>
      <c r="D940" t="s">
        <v>22</v>
      </c>
      <c r="E940" t="s">
        <v>606</v>
      </c>
      <c r="F940" t="s">
        <v>1664</v>
      </c>
    </row>
    <row r="941" spans="1:6" x14ac:dyDescent="0.3">
      <c r="A941">
        <v>940</v>
      </c>
      <c r="B941" t="s">
        <v>485</v>
      </c>
      <c r="C941" t="s">
        <v>26</v>
      </c>
      <c r="D941" t="s">
        <v>27</v>
      </c>
      <c r="E941" t="s">
        <v>1287</v>
      </c>
      <c r="F941" t="s">
        <v>1665</v>
      </c>
    </row>
    <row r="942" spans="1:6" x14ac:dyDescent="0.3">
      <c r="A942">
        <v>941</v>
      </c>
      <c r="B942" t="s">
        <v>1380</v>
      </c>
      <c r="C942" t="s">
        <v>7</v>
      </c>
      <c r="D942" t="s">
        <v>37</v>
      </c>
      <c r="E942" t="s">
        <v>996</v>
      </c>
      <c r="F942" t="s">
        <v>1666</v>
      </c>
    </row>
    <row r="943" spans="1:6" x14ac:dyDescent="0.3">
      <c r="A943">
        <v>942</v>
      </c>
      <c r="B943" t="s">
        <v>18</v>
      </c>
      <c r="C943" t="s">
        <v>7</v>
      </c>
      <c r="D943" t="s">
        <v>44</v>
      </c>
      <c r="E943" t="s">
        <v>1350</v>
      </c>
      <c r="F943" t="s">
        <v>1667</v>
      </c>
    </row>
    <row r="944" spans="1:6" x14ac:dyDescent="0.3">
      <c r="A944">
        <v>943</v>
      </c>
      <c r="B944" t="s">
        <v>718</v>
      </c>
      <c r="C944" t="s">
        <v>26</v>
      </c>
      <c r="D944" t="s">
        <v>37</v>
      </c>
      <c r="E944" t="s">
        <v>1247</v>
      </c>
      <c r="F944" t="s">
        <v>1668</v>
      </c>
    </row>
    <row r="945" spans="1:6" x14ac:dyDescent="0.3">
      <c r="A945">
        <v>944</v>
      </c>
      <c r="B945" t="s">
        <v>255</v>
      </c>
      <c r="C945" t="s">
        <v>7</v>
      </c>
      <c r="D945" t="s">
        <v>8</v>
      </c>
      <c r="E945" t="s">
        <v>540</v>
      </c>
      <c r="F945" t="s">
        <v>1669</v>
      </c>
    </row>
    <row r="946" spans="1:6" x14ac:dyDescent="0.3">
      <c r="A946">
        <v>945</v>
      </c>
      <c r="B946" t="s">
        <v>450</v>
      </c>
      <c r="C946" t="s">
        <v>26</v>
      </c>
      <c r="D946" t="s">
        <v>44</v>
      </c>
      <c r="E946" t="s">
        <v>552</v>
      </c>
      <c r="F946" t="s">
        <v>1670</v>
      </c>
    </row>
    <row r="947" spans="1:6" x14ac:dyDescent="0.3">
      <c r="A947">
        <v>946</v>
      </c>
      <c r="B947" t="s">
        <v>784</v>
      </c>
      <c r="C947" t="s">
        <v>7</v>
      </c>
      <c r="D947" t="s">
        <v>72</v>
      </c>
      <c r="E947" t="s">
        <v>1554</v>
      </c>
      <c r="F947" t="s">
        <v>1671</v>
      </c>
    </row>
    <row r="948" spans="1:6" x14ac:dyDescent="0.3">
      <c r="A948">
        <v>947</v>
      </c>
      <c r="B948" t="s">
        <v>98</v>
      </c>
      <c r="C948" t="s">
        <v>26</v>
      </c>
      <c r="D948" t="s">
        <v>72</v>
      </c>
      <c r="E948" t="s">
        <v>1672</v>
      </c>
      <c r="F948" t="s">
        <v>1673</v>
      </c>
    </row>
    <row r="949" spans="1:6" x14ac:dyDescent="0.3">
      <c r="A949">
        <v>948</v>
      </c>
      <c r="B949" t="s">
        <v>754</v>
      </c>
      <c r="C949" t="s">
        <v>7</v>
      </c>
      <c r="D949" t="s">
        <v>44</v>
      </c>
      <c r="E949" t="s">
        <v>987</v>
      </c>
      <c r="F949" t="s">
        <v>1674</v>
      </c>
    </row>
    <row r="950" spans="1:6" x14ac:dyDescent="0.3">
      <c r="A950">
        <v>949</v>
      </c>
      <c r="B950" t="s">
        <v>43</v>
      </c>
      <c r="C950" t="s">
        <v>26</v>
      </c>
      <c r="D950" t="s">
        <v>12</v>
      </c>
      <c r="E950" t="s">
        <v>265</v>
      </c>
      <c r="F950" t="s">
        <v>1675</v>
      </c>
    </row>
    <row r="951" spans="1:6" x14ac:dyDescent="0.3">
      <c r="A951">
        <v>950</v>
      </c>
      <c r="B951" t="s">
        <v>162</v>
      </c>
      <c r="C951" t="s">
        <v>26</v>
      </c>
      <c r="D951" t="s">
        <v>72</v>
      </c>
      <c r="E951" t="s">
        <v>931</v>
      </c>
      <c r="F951" t="s">
        <v>1676</v>
      </c>
    </row>
    <row r="952" spans="1:6" x14ac:dyDescent="0.3">
      <c r="A952">
        <v>951</v>
      </c>
      <c r="B952" t="s">
        <v>106</v>
      </c>
      <c r="C952" t="s">
        <v>7</v>
      </c>
      <c r="D952" t="s">
        <v>37</v>
      </c>
      <c r="E952" t="s">
        <v>1677</v>
      </c>
      <c r="F952" t="s">
        <v>1678</v>
      </c>
    </row>
    <row r="953" spans="1:6" x14ac:dyDescent="0.3">
      <c r="A953">
        <v>952</v>
      </c>
      <c r="B953" t="s">
        <v>483</v>
      </c>
      <c r="C953" t="s">
        <v>26</v>
      </c>
      <c r="D953" t="s">
        <v>37</v>
      </c>
      <c r="E953" t="s">
        <v>807</v>
      </c>
      <c r="F953" t="s">
        <v>1679</v>
      </c>
    </row>
    <row r="954" spans="1:6" x14ac:dyDescent="0.3">
      <c r="A954">
        <v>953</v>
      </c>
      <c r="B954" t="s">
        <v>728</v>
      </c>
      <c r="C954" t="s">
        <v>7</v>
      </c>
      <c r="D954" t="s">
        <v>44</v>
      </c>
      <c r="E954" t="s">
        <v>1680</v>
      </c>
      <c r="F954" t="s">
        <v>1681</v>
      </c>
    </row>
    <row r="955" spans="1:6" x14ac:dyDescent="0.3">
      <c r="A955">
        <v>954</v>
      </c>
      <c r="B955" t="s">
        <v>313</v>
      </c>
      <c r="C955" t="s">
        <v>7</v>
      </c>
      <c r="D955" t="s">
        <v>22</v>
      </c>
      <c r="E955" t="s">
        <v>181</v>
      </c>
      <c r="F955" t="s">
        <v>1682</v>
      </c>
    </row>
    <row r="956" spans="1:6" x14ac:dyDescent="0.3">
      <c r="A956">
        <v>955</v>
      </c>
      <c r="B956" t="s">
        <v>115</v>
      </c>
      <c r="C956" t="s">
        <v>26</v>
      </c>
      <c r="D956" t="s">
        <v>72</v>
      </c>
      <c r="E956" t="s">
        <v>669</v>
      </c>
      <c r="F956" t="s">
        <v>1683</v>
      </c>
    </row>
    <row r="957" spans="1:6" x14ac:dyDescent="0.3">
      <c r="A957">
        <v>956</v>
      </c>
      <c r="B957" t="s">
        <v>1135</v>
      </c>
      <c r="C957" t="s">
        <v>7</v>
      </c>
      <c r="D957" t="s">
        <v>8</v>
      </c>
      <c r="E957" t="s">
        <v>1511</v>
      </c>
      <c r="F957" t="s">
        <v>1684</v>
      </c>
    </row>
    <row r="958" spans="1:6" x14ac:dyDescent="0.3">
      <c r="A958">
        <v>957</v>
      </c>
      <c r="B958" t="s">
        <v>718</v>
      </c>
      <c r="C958" t="s">
        <v>26</v>
      </c>
      <c r="D958" t="s">
        <v>12</v>
      </c>
      <c r="E958" t="s">
        <v>1172</v>
      </c>
      <c r="F958" t="s">
        <v>1685</v>
      </c>
    </row>
    <row r="959" spans="1:6" x14ac:dyDescent="0.3">
      <c r="A959">
        <v>958</v>
      </c>
      <c r="B959" t="s">
        <v>144</v>
      </c>
      <c r="C959" t="s">
        <v>7</v>
      </c>
      <c r="D959" t="s">
        <v>44</v>
      </c>
      <c r="E959" t="s">
        <v>778</v>
      </c>
      <c r="F959" t="s">
        <v>1686</v>
      </c>
    </row>
    <row r="960" spans="1:6" x14ac:dyDescent="0.3">
      <c r="A960">
        <v>959</v>
      </c>
      <c r="B960" t="s">
        <v>777</v>
      </c>
      <c r="C960" t="s">
        <v>26</v>
      </c>
      <c r="D960" t="s">
        <v>27</v>
      </c>
      <c r="E960" t="s">
        <v>1336</v>
      </c>
      <c r="F960" t="s">
        <v>1687</v>
      </c>
    </row>
    <row r="961" spans="1:6" x14ac:dyDescent="0.3">
      <c r="A961">
        <v>960</v>
      </c>
      <c r="B961" t="s">
        <v>221</v>
      </c>
      <c r="C961" t="s">
        <v>26</v>
      </c>
      <c r="D961" t="s">
        <v>12</v>
      </c>
      <c r="E961" t="s">
        <v>463</v>
      </c>
      <c r="F961" t="s">
        <v>1688</v>
      </c>
    </row>
    <row r="962" spans="1:6" x14ac:dyDescent="0.3">
      <c r="A962">
        <v>961</v>
      </c>
      <c r="B962" t="s">
        <v>305</v>
      </c>
      <c r="C962" t="s">
        <v>26</v>
      </c>
      <c r="D962" t="s">
        <v>12</v>
      </c>
      <c r="E962" t="s">
        <v>38</v>
      </c>
      <c r="F962" t="s">
        <v>1689</v>
      </c>
    </row>
    <row r="963" spans="1:6" x14ac:dyDescent="0.3">
      <c r="A963">
        <v>962</v>
      </c>
      <c r="B963" t="s">
        <v>103</v>
      </c>
      <c r="C963" t="s">
        <v>7</v>
      </c>
      <c r="D963" t="s">
        <v>37</v>
      </c>
      <c r="E963" t="s">
        <v>1690</v>
      </c>
      <c r="F963" t="s">
        <v>1691</v>
      </c>
    </row>
    <row r="964" spans="1:6" x14ac:dyDescent="0.3">
      <c r="A964">
        <v>963</v>
      </c>
      <c r="B964" t="s">
        <v>264</v>
      </c>
      <c r="C964" t="s">
        <v>7</v>
      </c>
      <c r="D964" t="s">
        <v>27</v>
      </c>
      <c r="E964" t="s">
        <v>489</v>
      </c>
      <c r="F964" t="s">
        <v>1692</v>
      </c>
    </row>
    <row r="965" spans="1:6" x14ac:dyDescent="0.3">
      <c r="A965">
        <v>964</v>
      </c>
      <c r="B965" t="s">
        <v>569</v>
      </c>
      <c r="C965" t="s">
        <v>7</v>
      </c>
      <c r="D965" t="s">
        <v>44</v>
      </c>
      <c r="E965" t="s">
        <v>1693</v>
      </c>
      <c r="F965" t="s">
        <v>1694</v>
      </c>
    </row>
    <row r="966" spans="1:6" x14ac:dyDescent="0.3">
      <c r="A966">
        <v>965</v>
      </c>
      <c r="B966" t="s">
        <v>1540</v>
      </c>
      <c r="C966" t="s">
        <v>26</v>
      </c>
      <c r="D966" t="s">
        <v>12</v>
      </c>
      <c r="E966" t="s">
        <v>1695</v>
      </c>
      <c r="F966" t="s">
        <v>1696</v>
      </c>
    </row>
    <row r="967" spans="1:6" x14ac:dyDescent="0.3">
      <c r="A967">
        <v>966</v>
      </c>
      <c r="B967" t="s">
        <v>590</v>
      </c>
      <c r="C967" t="s">
        <v>7</v>
      </c>
      <c r="D967" t="s">
        <v>27</v>
      </c>
      <c r="E967" t="s">
        <v>1299</v>
      </c>
      <c r="F967" t="s">
        <v>1697</v>
      </c>
    </row>
    <row r="968" spans="1:6" x14ac:dyDescent="0.3">
      <c r="A968">
        <v>967</v>
      </c>
      <c r="B968" t="s">
        <v>336</v>
      </c>
      <c r="C968" t="s">
        <v>7</v>
      </c>
      <c r="D968" t="s">
        <v>72</v>
      </c>
      <c r="E968" t="s">
        <v>614</v>
      </c>
      <c r="F968" t="s">
        <v>1698</v>
      </c>
    </row>
    <row r="969" spans="1:6" x14ac:dyDescent="0.3">
      <c r="A969">
        <v>968</v>
      </c>
      <c r="B969" t="s">
        <v>1128</v>
      </c>
      <c r="C969" t="s">
        <v>26</v>
      </c>
      <c r="D969" t="s">
        <v>27</v>
      </c>
      <c r="E969" t="s">
        <v>1492</v>
      </c>
      <c r="F969" t="s">
        <v>1699</v>
      </c>
    </row>
    <row r="970" spans="1:6" x14ac:dyDescent="0.3">
      <c r="A970">
        <v>969</v>
      </c>
      <c r="B970" t="s">
        <v>681</v>
      </c>
      <c r="C970" t="s">
        <v>26</v>
      </c>
      <c r="D970" t="s">
        <v>44</v>
      </c>
      <c r="E970" t="s">
        <v>1151</v>
      </c>
      <c r="F970" t="s">
        <v>1700</v>
      </c>
    </row>
    <row r="971" spans="1:6" x14ac:dyDescent="0.3">
      <c r="A971">
        <v>970</v>
      </c>
      <c r="B971" t="s">
        <v>141</v>
      </c>
      <c r="C971" t="s">
        <v>26</v>
      </c>
      <c r="D971" t="s">
        <v>37</v>
      </c>
      <c r="E971" t="s">
        <v>1701</v>
      </c>
      <c r="F971" t="s">
        <v>1702</v>
      </c>
    </row>
    <row r="972" spans="1:6" x14ac:dyDescent="0.3">
      <c r="A972">
        <v>971</v>
      </c>
      <c r="B972" t="s">
        <v>483</v>
      </c>
      <c r="C972" t="s">
        <v>26</v>
      </c>
      <c r="D972" t="s">
        <v>8</v>
      </c>
      <c r="E972" t="s">
        <v>1408</v>
      </c>
      <c r="F972" t="s">
        <v>1703</v>
      </c>
    </row>
    <row r="973" spans="1:6" x14ac:dyDescent="0.3">
      <c r="A973">
        <v>972</v>
      </c>
      <c r="B973" t="s">
        <v>78</v>
      </c>
      <c r="C973" t="s">
        <v>26</v>
      </c>
      <c r="D973" t="s">
        <v>12</v>
      </c>
      <c r="E973" t="s">
        <v>290</v>
      </c>
      <c r="F973" t="s">
        <v>1704</v>
      </c>
    </row>
    <row r="974" spans="1:6" x14ac:dyDescent="0.3">
      <c r="A974">
        <v>973</v>
      </c>
      <c r="B974" t="s">
        <v>963</v>
      </c>
      <c r="C974" t="s">
        <v>7</v>
      </c>
      <c r="D974" t="s">
        <v>44</v>
      </c>
      <c r="E974" t="s">
        <v>51</v>
      </c>
      <c r="F974" t="s">
        <v>1705</v>
      </c>
    </row>
    <row r="975" spans="1:6" x14ac:dyDescent="0.3">
      <c r="A975">
        <v>974</v>
      </c>
      <c r="B975" t="s">
        <v>888</v>
      </c>
      <c r="C975" t="s">
        <v>7</v>
      </c>
      <c r="D975" t="s">
        <v>22</v>
      </c>
      <c r="E975" t="s">
        <v>1706</v>
      </c>
      <c r="F975" t="s">
        <v>890</v>
      </c>
    </row>
    <row r="976" spans="1:6" x14ac:dyDescent="0.3">
      <c r="A976">
        <v>975</v>
      </c>
      <c r="B976" t="s">
        <v>228</v>
      </c>
      <c r="C976" t="s">
        <v>26</v>
      </c>
      <c r="D976" t="s">
        <v>22</v>
      </c>
      <c r="E976" t="s">
        <v>1707</v>
      </c>
      <c r="F976" t="s">
        <v>1708</v>
      </c>
    </row>
    <row r="977" spans="1:6" x14ac:dyDescent="0.3">
      <c r="A977">
        <v>976</v>
      </c>
      <c r="B977" t="s">
        <v>396</v>
      </c>
      <c r="C977" t="s">
        <v>26</v>
      </c>
      <c r="D977" t="s">
        <v>72</v>
      </c>
      <c r="E977" t="s">
        <v>410</v>
      </c>
      <c r="F977" t="s">
        <v>1709</v>
      </c>
    </row>
    <row r="978" spans="1:6" x14ac:dyDescent="0.3">
      <c r="A978">
        <v>977</v>
      </c>
      <c r="B978" t="s">
        <v>627</v>
      </c>
      <c r="C978" t="s">
        <v>7</v>
      </c>
      <c r="D978" t="s">
        <v>44</v>
      </c>
      <c r="E978" t="s">
        <v>918</v>
      </c>
      <c r="F978" t="s">
        <v>1710</v>
      </c>
    </row>
    <row r="979" spans="1:6" x14ac:dyDescent="0.3">
      <c r="A979">
        <v>978</v>
      </c>
      <c r="B979" t="s">
        <v>157</v>
      </c>
      <c r="C979" t="s">
        <v>7</v>
      </c>
      <c r="D979" t="s">
        <v>44</v>
      </c>
      <c r="E979" t="s">
        <v>946</v>
      </c>
      <c r="F979" t="s">
        <v>1711</v>
      </c>
    </row>
    <row r="980" spans="1:6" x14ac:dyDescent="0.3">
      <c r="A980">
        <v>979</v>
      </c>
      <c r="B980" t="s">
        <v>112</v>
      </c>
      <c r="C980" t="s">
        <v>7</v>
      </c>
      <c r="D980" t="s">
        <v>44</v>
      </c>
      <c r="E980" t="s">
        <v>1323</v>
      </c>
      <c r="F980" t="s">
        <v>1712</v>
      </c>
    </row>
    <row r="981" spans="1:6" x14ac:dyDescent="0.3">
      <c r="A981">
        <v>980</v>
      </c>
      <c r="B981" t="s">
        <v>995</v>
      </c>
      <c r="C981" t="s">
        <v>26</v>
      </c>
      <c r="D981" t="s">
        <v>72</v>
      </c>
      <c r="E981" t="s">
        <v>1713</v>
      </c>
      <c r="F981" t="s">
        <v>1714</v>
      </c>
    </row>
    <row r="982" spans="1:6" x14ac:dyDescent="0.3">
      <c r="A982">
        <v>981</v>
      </c>
      <c r="B982" t="s">
        <v>157</v>
      </c>
      <c r="C982" t="s">
        <v>7</v>
      </c>
      <c r="D982" t="s">
        <v>72</v>
      </c>
      <c r="E982" t="s">
        <v>460</v>
      </c>
      <c r="F982" t="s">
        <v>1715</v>
      </c>
    </row>
    <row r="983" spans="1:6" x14ac:dyDescent="0.3">
      <c r="A983">
        <v>982</v>
      </c>
      <c r="B983" t="s">
        <v>548</v>
      </c>
      <c r="C983" t="s">
        <v>7</v>
      </c>
      <c r="D983" t="s">
        <v>44</v>
      </c>
      <c r="E983" t="s">
        <v>1172</v>
      </c>
      <c r="F983" t="s">
        <v>1716</v>
      </c>
    </row>
    <row r="984" spans="1:6" x14ac:dyDescent="0.3">
      <c r="A984">
        <v>983</v>
      </c>
      <c r="B984" t="s">
        <v>168</v>
      </c>
      <c r="C984" t="s">
        <v>7</v>
      </c>
      <c r="D984" t="s">
        <v>12</v>
      </c>
      <c r="E984" t="s">
        <v>1717</v>
      </c>
      <c r="F984" t="s">
        <v>1718</v>
      </c>
    </row>
    <row r="985" spans="1:6" x14ac:dyDescent="0.3">
      <c r="A985">
        <v>984</v>
      </c>
      <c r="B985" t="s">
        <v>194</v>
      </c>
      <c r="C985" t="s">
        <v>7</v>
      </c>
      <c r="D985" t="s">
        <v>8</v>
      </c>
      <c r="E985" t="s">
        <v>343</v>
      </c>
      <c r="F985" t="s">
        <v>1719</v>
      </c>
    </row>
    <row r="986" spans="1:6" x14ac:dyDescent="0.3">
      <c r="A986">
        <v>985</v>
      </c>
      <c r="B986" t="s">
        <v>121</v>
      </c>
      <c r="C986" t="s">
        <v>7</v>
      </c>
      <c r="D986" t="s">
        <v>22</v>
      </c>
      <c r="E986" t="s">
        <v>401</v>
      </c>
      <c r="F986" t="s">
        <v>1720</v>
      </c>
    </row>
    <row r="987" spans="1:6" x14ac:dyDescent="0.3">
      <c r="A987">
        <v>986</v>
      </c>
      <c r="B987" t="s">
        <v>728</v>
      </c>
      <c r="C987" t="s">
        <v>7</v>
      </c>
      <c r="D987" t="s">
        <v>8</v>
      </c>
      <c r="E987" t="s">
        <v>45</v>
      </c>
      <c r="F987" t="s">
        <v>1721</v>
      </c>
    </row>
    <row r="988" spans="1:6" x14ac:dyDescent="0.3">
      <c r="A988">
        <v>987</v>
      </c>
      <c r="B988" t="s">
        <v>135</v>
      </c>
      <c r="C988" t="s">
        <v>26</v>
      </c>
      <c r="D988" t="s">
        <v>37</v>
      </c>
      <c r="E988" t="s">
        <v>740</v>
      </c>
      <c r="F988" t="s">
        <v>1722</v>
      </c>
    </row>
    <row r="989" spans="1:6" x14ac:dyDescent="0.3">
      <c r="A989">
        <v>988</v>
      </c>
      <c r="B989" t="s">
        <v>258</v>
      </c>
      <c r="C989" t="s">
        <v>7</v>
      </c>
      <c r="D989" t="s">
        <v>37</v>
      </c>
      <c r="E989" t="s">
        <v>311</v>
      </c>
      <c r="F989" t="s">
        <v>1723</v>
      </c>
    </row>
    <row r="990" spans="1:6" x14ac:dyDescent="0.3">
      <c r="A990">
        <v>989</v>
      </c>
      <c r="B990" t="s">
        <v>383</v>
      </c>
      <c r="C990" t="s">
        <v>7</v>
      </c>
      <c r="D990" t="s">
        <v>44</v>
      </c>
      <c r="E990" t="s">
        <v>1133</v>
      </c>
      <c r="F990" t="s">
        <v>1724</v>
      </c>
    </row>
    <row r="991" spans="1:6" x14ac:dyDescent="0.3">
      <c r="A991">
        <v>990</v>
      </c>
      <c r="B991" t="s">
        <v>310</v>
      </c>
      <c r="C991" t="s">
        <v>26</v>
      </c>
      <c r="D991" t="s">
        <v>44</v>
      </c>
      <c r="E991" t="s">
        <v>390</v>
      </c>
      <c r="F991" t="s">
        <v>1725</v>
      </c>
    </row>
    <row r="992" spans="1:6" x14ac:dyDescent="0.3">
      <c r="A992">
        <v>991</v>
      </c>
      <c r="B992" t="s">
        <v>189</v>
      </c>
      <c r="C992" t="s">
        <v>26</v>
      </c>
      <c r="D992" t="s">
        <v>37</v>
      </c>
      <c r="E992" t="s">
        <v>1726</v>
      </c>
      <c r="F992" t="s">
        <v>1727</v>
      </c>
    </row>
    <row r="993" spans="1:6" x14ac:dyDescent="0.3">
      <c r="A993">
        <v>992</v>
      </c>
      <c r="B993" t="s">
        <v>226</v>
      </c>
      <c r="C993" t="s">
        <v>26</v>
      </c>
      <c r="D993" t="s">
        <v>8</v>
      </c>
      <c r="E993" t="s">
        <v>1272</v>
      </c>
      <c r="F993" t="s">
        <v>1728</v>
      </c>
    </row>
    <row r="994" spans="1:6" x14ac:dyDescent="0.3">
      <c r="A994">
        <v>993</v>
      </c>
      <c r="B994" t="s">
        <v>115</v>
      </c>
      <c r="C994" t="s">
        <v>26</v>
      </c>
      <c r="D994" t="s">
        <v>8</v>
      </c>
      <c r="E994" t="s">
        <v>1729</v>
      </c>
      <c r="F994" t="s">
        <v>1730</v>
      </c>
    </row>
    <row r="995" spans="1:6" x14ac:dyDescent="0.3">
      <c r="A995">
        <v>994</v>
      </c>
      <c r="B995" t="s">
        <v>751</v>
      </c>
      <c r="C995" t="s">
        <v>26</v>
      </c>
      <c r="D995" t="s">
        <v>37</v>
      </c>
      <c r="E995" t="s">
        <v>234</v>
      </c>
      <c r="F995" t="s">
        <v>1731</v>
      </c>
    </row>
    <row r="996" spans="1:6" x14ac:dyDescent="0.3">
      <c r="A996">
        <v>995</v>
      </c>
      <c r="B996" t="s">
        <v>305</v>
      </c>
      <c r="C996" t="s">
        <v>26</v>
      </c>
      <c r="D996" t="s">
        <v>22</v>
      </c>
      <c r="E996" t="s">
        <v>1732</v>
      </c>
      <c r="F996" t="s">
        <v>1733</v>
      </c>
    </row>
    <row r="997" spans="1:6" x14ac:dyDescent="0.3">
      <c r="A997">
        <v>996</v>
      </c>
      <c r="B997" t="s">
        <v>11</v>
      </c>
      <c r="C997" t="s">
        <v>7</v>
      </c>
      <c r="D997" t="s">
        <v>27</v>
      </c>
      <c r="E997" t="s">
        <v>166</v>
      </c>
      <c r="F997" t="s">
        <v>1734</v>
      </c>
    </row>
    <row r="998" spans="1:6" x14ac:dyDescent="0.3">
      <c r="A998">
        <v>997</v>
      </c>
      <c r="B998" t="s">
        <v>171</v>
      </c>
      <c r="C998" t="s">
        <v>7</v>
      </c>
      <c r="D998" t="s">
        <v>27</v>
      </c>
      <c r="E998" t="s">
        <v>1123</v>
      </c>
      <c r="F998" t="s">
        <v>1735</v>
      </c>
    </row>
    <row r="999" spans="1:6" x14ac:dyDescent="0.3">
      <c r="A999">
        <v>998</v>
      </c>
      <c r="B999" t="s">
        <v>147</v>
      </c>
      <c r="C999" t="s">
        <v>7</v>
      </c>
      <c r="D999" t="s">
        <v>12</v>
      </c>
      <c r="E999" t="s">
        <v>611</v>
      </c>
      <c r="F999" t="s">
        <v>1736</v>
      </c>
    </row>
    <row r="1000" spans="1:6" x14ac:dyDescent="0.3">
      <c r="A1000">
        <v>999</v>
      </c>
      <c r="B1000" t="s">
        <v>152</v>
      </c>
      <c r="C1000" t="s">
        <v>7</v>
      </c>
      <c r="D1000" t="s">
        <v>72</v>
      </c>
      <c r="E1000" t="s">
        <v>1529</v>
      </c>
      <c r="F1000" t="s">
        <v>1737</v>
      </c>
    </row>
    <row r="1001" spans="1:6" x14ac:dyDescent="0.3">
      <c r="A1001">
        <v>1000</v>
      </c>
      <c r="B1001" t="s">
        <v>840</v>
      </c>
      <c r="C1001" t="s">
        <v>26</v>
      </c>
      <c r="D1001" t="s">
        <v>8</v>
      </c>
      <c r="E1001" t="s">
        <v>274</v>
      </c>
      <c r="F1001" t="s">
        <v>1738</v>
      </c>
    </row>
    <row r="1002" spans="1:6" x14ac:dyDescent="0.3">
      <c r="A1002">
        <v>1001</v>
      </c>
      <c r="B1002" t="s">
        <v>43</v>
      </c>
      <c r="C1002" t="s">
        <v>26</v>
      </c>
      <c r="D1002" t="s">
        <v>12</v>
      </c>
      <c r="E1002" t="s">
        <v>878</v>
      </c>
      <c r="F1002" t="s">
        <v>1739</v>
      </c>
    </row>
    <row r="1003" spans="1:6" x14ac:dyDescent="0.3">
      <c r="A1003">
        <v>1002</v>
      </c>
      <c r="B1003" t="s">
        <v>439</v>
      </c>
      <c r="C1003" t="s">
        <v>7</v>
      </c>
      <c r="D1003" t="s">
        <v>22</v>
      </c>
      <c r="E1003" t="s">
        <v>1740</v>
      </c>
      <c r="F1003" t="s">
        <v>1741</v>
      </c>
    </row>
    <row r="1004" spans="1:6" x14ac:dyDescent="0.3">
      <c r="A1004">
        <v>1003</v>
      </c>
      <c r="B1004" t="s">
        <v>264</v>
      </c>
      <c r="C1004" t="s">
        <v>7</v>
      </c>
      <c r="D1004" t="s">
        <v>22</v>
      </c>
      <c r="E1004" t="s">
        <v>1742</v>
      </c>
      <c r="F1004" t="s">
        <v>1743</v>
      </c>
    </row>
    <row r="1005" spans="1:6" x14ac:dyDescent="0.3">
      <c r="A1005">
        <v>1004</v>
      </c>
      <c r="B1005" t="s">
        <v>322</v>
      </c>
      <c r="C1005" t="s">
        <v>7</v>
      </c>
      <c r="D1005" t="s">
        <v>72</v>
      </c>
      <c r="E1005" t="s">
        <v>712</v>
      </c>
      <c r="F1005" t="s">
        <v>1744</v>
      </c>
    </row>
    <row r="1006" spans="1:6" x14ac:dyDescent="0.3">
      <c r="A1006">
        <v>1005</v>
      </c>
      <c r="B1006" t="s">
        <v>255</v>
      </c>
      <c r="C1006" t="s">
        <v>7</v>
      </c>
      <c r="D1006" t="s">
        <v>27</v>
      </c>
      <c r="E1006" t="s">
        <v>1745</v>
      </c>
      <c r="F1006" t="s">
        <v>1746</v>
      </c>
    </row>
    <row r="1007" spans="1:6" x14ac:dyDescent="0.3">
      <c r="A1007">
        <v>1006</v>
      </c>
      <c r="B1007" t="s">
        <v>186</v>
      </c>
      <c r="C1007" t="s">
        <v>26</v>
      </c>
      <c r="D1007" t="s">
        <v>44</v>
      </c>
      <c r="E1007" t="s">
        <v>1747</v>
      </c>
      <c r="F1007" t="s">
        <v>1748</v>
      </c>
    </row>
    <row r="1008" spans="1:6" x14ac:dyDescent="0.3">
      <c r="A1008">
        <v>1007</v>
      </c>
      <c r="B1008" t="s">
        <v>389</v>
      </c>
      <c r="C1008" t="s">
        <v>26</v>
      </c>
      <c r="D1008" t="s">
        <v>37</v>
      </c>
      <c r="E1008" t="s">
        <v>1207</v>
      </c>
      <c r="F1008" t="s">
        <v>1749</v>
      </c>
    </row>
    <row r="1009" spans="1:6" x14ac:dyDescent="0.3">
      <c r="A1009">
        <v>1008</v>
      </c>
      <c r="B1009" t="s">
        <v>474</v>
      </c>
      <c r="C1009" t="s">
        <v>26</v>
      </c>
      <c r="D1009" t="s">
        <v>37</v>
      </c>
      <c r="E1009" t="s">
        <v>1750</v>
      </c>
      <c r="F1009" t="s">
        <v>1751</v>
      </c>
    </row>
    <row r="1010" spans="1:6" x14ac:dyDescent="0.3">
      <c r="A1010">
        <v>1009</v>
      </c>
      <c r="B1010" t="s">
        <v>665</v>
      </c>
      <c r="C1010" t="s">
        <v>7</v>
      </c>
      <c r="D1010" t="s">
        <v>37</v>
      </c>
      <c r="E1010" t="s">
        <v>1693</v>
      </c>
      <c r="F1010" t="s">
        <v>1752</v>
      </c>
    </row>
    <row r="1011" spans="1:6" x14ac:dyDescent="0.3">
      <c r="A1011">
        <v>1010</v>
      </c>
      <c r="B1011" t="s">
        <v>59</v>
      </c>
      <c r="C1011" t="s">
        <v>26</v>
      </c>
      <c r="D1011" t="s">
        <v>44</v>
      </c>
      <c r="E1011" t="s">
        <v>423</v>
      </c>
      <c r="F1011" t="s">
        <v>1753</v>
      </c>
    </row>
    <row r="1012" spans="1:6" x14ac:dyDescent="0.3">
      <c r="A1012">
        <v>1011</v>
      </c>
      <c r="B1012" t="s">
        <v>613</v>
      </c>
      <c r="C1012" t="s">
        <v>26</v>
      </c>
      <c r="D1012" t="s">
        <v>12</v>
      </c>
      <c r="E1012" t="s">
        <v>570</v>
      </c>
      <c r="F1012" t="s">
        <v>1754</v>
      </c>
    </row>
    <row r="1013" spans="1:6" x14ac:dyDescent="0.3">
      <c r="A1013">
        <v>1012</v>
      </c>
      <c r="B1013" t="s">
        <v>1059</v>
      </c>
      <c r="C1013" t="s">
        <v>26</v>
      </c>
      <c r="D1013" t="s">
        <v>12</v>
      </c>
      <c r="E1013" t="s">
        <v>237</v>
      </c>
      <c r="F1013" t="s">
        <v>1755</v>
      </c>
    </row>
    <row r="1014" spans="1:6" x14ac:dyDescent="0.3">
      <c r="A1014">
        <v>1013</v>
      </c>
      <c r="B1014" t="s">
        <v>194</v>
      </c>
      <c r="C1014" t="s">
        <v>7</v>
      </c>
      <c r="D1014" t="s">
        <v>8</v>
      </c>
      <c r="E1014" t="s">
        <v>69</v>
      </c>
      <c r="F1014" t="s">
        <v>1756</v>
      </c>
    </row>
    <row r="1015" spans="1:6" x14ac:dyDescent="0.3">
      <c r="A1015">
        <v>1014</v>
      </c>
      <c r="B1015" t="s">
        <v>47</v>
      </c>
      <c r="C1015" t="s">
        <v>7</v>
      </c>
      <c r="D1015" t="s">
        <v>44</v>
      </c>
      <c r="E1015" t="s">
        <v>648</v>
      </c>
      <c r="F1015" t="s">
        <v>1757</v>
      </c>
    </row>
    <row r="1016" spans="1:6" x14ac:dyDescent="0.3">
      <c r="A1016">
        <v>1015</v>
      </c>
      <c r="B1016" t="s">
        <v>130</v>
      </c>
      <c r="C1016" t="s">
        <v>7</v>
      </c>
      <c r="D1016" t="s">
        <v>72</v>
      </c>
      <c r="E1016" t="s">
        <v>1758</v>
      </c>
      <c r="F1016" t="s">
        <v>1759</v>
      </c>
    </row>
    <row r="1017" spans="1:6" x14ac:dyDescent="0.3">
      <c r="A1017">
        <v>1016</v>
      </c>
      <c r="B1017" t="s">
        <v>902</v>
      </c>
      <c r="C1017" t="s">
        <v>7</v>
      </c>
      <c r="D1017" t="s">
        <v>27</v>
      </c>
      <c r="E1017" t="s">
        <v>405</v>
      </c>
      <c r="F1017" t="s">
        <v>1760</v>
      </c>
    </row>
    <row r="1018" spans="1:6" x14ac:dyDescent="0.3">
      <c r="A1018">
        <v>1017</v>
      </c>
      <c r="B1018" t="s">
        <v>747</v>
      </c>
      <c r="C1018" t="s">
        <v>26</v>
      </c>
      <c r="D1018" t="s">
        <v>27</v>
      </c>
      <c r="E1018" t="s">
        <v>1761</v>
      </c>
      <c r="F1018" t="s">
        <v>1762</v>
      </c>
    </row>
    <row r="1019" spans="1:6" x14ac:dyDescent="0.3">
      <c r="A1019">
        <v>1018</v>
      </c>
      <c r="B1019" t="s">
        <v>109</v>
      </c>
      <c r="C1019" t="s">
        <v>26</v>
      </c>
      <c r="D1019" t="s">
        <v>22</v>
      </c>
      <c r="E1019" t="s">
        <v>1432</v>
      </c>
      <c r="F1019" t="s">
        <v>1763</v>
      </c>
    </row>
    <row r="1020" spans="1:6" x14ac:dyDescent="0.3">
      <c r="A1020">
        <v>1019</v>
      </c>
      <c r="B1020" t="s">
        <v>519</v>
      </c>
      <c r="C1020" t="s">
        <v>26</v>
      </c>
      <c r="D1020" t="s">
        <v>12</v>
      </c>
      <c r="E1020" t="s">
        <v>410</v>
      </c>
      <c r="F1020" t="s">
        <v>1764</v>
      </c>
    </row>
    <row r="1021" spans="1:6" x14ac:dyDescent="0.3">
      <c r="A1021">
        <v>1020</v>
      </c>
      <c r="B1021" t="s">
        <v>693</v>
      </c>
      <c r="C1021" t="s">
        <v>7</v>
      </c>
      <c r="D1021" t="s">
        <v>44</v>
      </c>
      <c r="E1021" t="s">
        <v>1580</v>
      </c>
      <c r="F1021" t="s">
        <v>1765</v>
      </c>
    </row>
    <row r="1022" spans="1:6" x14ac:dyDescent="0.3">
      <c r="A1022">
        <v>1021</v>
      </c>
      <c r="B1022" t="s">
        <v>98</v>
      </c>
      <c r="C1022" t="s">
        <v>26</v>
      </c>
      <c r="D1022" t="s">
        <v>37</v>
      </c>
      <c r="E1022" t="s">
        <v>150</v>
      </c>
      <c r="F1022" t="s">
        <v>1766</v>
      </c>
    </row>
    <row r="1023" spans="1:6" x14ac:dyDescent="0.3">
      <c r="A1023">
        <v>1022</v>
      </c>
      <c r="B1023" t="s">
        <v>393</v>
      </c>
      <c r="C1023" t="s">
        <v>7</v>
      </c>
      <c r="D1023" t="s">
        <v>44</v>
      </c>
      <c r="E1023" t="s">
        <v>555</v>
      </c>
      <c r="F1023" t="s">
        <v>1767</v>
      </c>
    </row>
    <row r="1024" spans="1:6" x14ac:dyDescent="0.3">
      <c r="A1024">
        <v>1023</v>
      </c>
      <c r="B1024" t="s">
        <v>732</v>
      </c>
      <c r="C1024" t="s">
        <v>26</v>
      </c>
      <c r="D1024" t="s">
        <v>22</v>
      </c>
      <c r="E1024" t="s">
        <v>814</v>
      </c>
      <c r="F1024" t="s">
        <v>1768</v>
      </c>
    </row>
    <row r="1025" spans="1:6" x14ac:dyDescent="0.3">
      <c r="A1025">
        <v>1024</v>
      </c>
      <c r="B1025" t="s">
        <v>135</v>
      </c>
      <c r="C1025" t="s">
        <v>26</v>
      </c>
      <c r="D1025" t="s">
        <v>12</v>
      </c>
      <c r="E1025" t="s">
        <v>775</v>
      </c>
      <c r="F1025" t="s">
        <v>1769</v>
      </c>
    </row>
    <row r="1026" spans="1:6" x14ac:dyDescent="0.3">
      <c r="A1026">
        <v>1025</v>
      </c>
      <c r="B1026" t="s">
        <v>709</v>
      </c>
      <c r="C1026" t="s">
        <v>26</v>
      </c>
      <c r="D1026" t="s">
        <v>37</v>
      </c>
      <c r="E1026" t="s">
        <v>633</v>
      </c>
      <c r="F1026" t="s">
        <v>1770</v>
      </c>
    </row>
    <row r="1027" spans="1:6" x14ac:dyDescent="0.3">
      <c r="A1027">
        <v>1026</v>
      </c>
      <c r="B1027" t="s">
        <v>30</v>
      </c>
      <c r="C1027" t="s">
        <v>26</v>
      </c>
      <c r="D1027" t="s">
        <v>12</v>
      </c>
      <c r="E1027" t="s">
        <v>1274</v>
      </c>
      <c r="F1027" t="s">
        <v>1771</v>
      </c>
    </row>
    <row r="1028" spans="1:6" x14ac:dyDescent="0.3">
      <c r="A1028">
        <v>1027</v>
      </c>
      <c r="B1028" t="s">
        <v>732</v>
      </c>
      <c r="C1028" t="s">
        <v>26</v>
      </c>
      <c r="D1028" t="s">
        <v>22</v>
      </c>
      <c r="E1028" t="s">
        <v>1628</v>
      </c>
      <c r="F1028" t="s">
        <v>734</v>
      </c>
    </row>
    <row r="1029" spans="1:6" x14ac:dyDescent="0.3">
      <c r="A1029">
        <v>1028</v>
      </c>
      <c r="B1029" t="s">
        <v>168</v>
      </c>
      <c r="C1029" t="s">
        <v>7</v>
      </c>
      <c r="D1029" t="s">
        <v>8</v>
      </c>
      <c r="E1029" t="s">
        <v>1026</v>
      </c>
      <c r="F1029" t="s">
        <v>1772</v>
      </c>
    </row>
    <row r="1030" spans="1:6" x14ac:dyDescent="0.3">
      <c r="A1030">
        <v>1029</v>
      </c>
      <c r="B1030" t="s">
        <v>204</v>
      </c>
      <c r="C1030" t="s">
        <v>26</v>
      </c>
      <c r="D1030" t="s">
        <v>12</v>
      </c>
      <c r="E1030" t="s">
        <v>1423</v>
      </c>
      <c r="F1030" t="s">
        <v>1773</v>
      </c>
    </row>
    <row r="1031" spans="1:6" x14ac:dyDescent="0.3">
      <c r="A1031">
        <v>1030</v>
      </c>
      <c r="B1031" t="s">
        <v>316</v>
      </c>
      <c r="C1031" t="s">
        <v>7</v>
      </c>
      <c r="D1031" t="s">
        <v>72</v>
      </c>
      <c r="E1031" t="s">
        <v>1164</v>
      </c>
      <c r="F1031" t="s">
        <v>482</v>
      </c>
    </row>
    <row r="1032" spans="1:6" x14ac:dyDescent="0.3">
      <c r="A1032">
        <v>1031</v>
      </c>
      <c r="B1032" t="s">
        <v>439</v>
      </c>
      <c r="C1032" t="s">
        <v>7</v>
      </c>
      <c r="D1032" t="s">
        <v>72</v>
      </c>
      <c r="E1032" t="s">
        <v>93</v>
      </c>
      <c r="F1032" t="s">
        <v>1774</v>
      </c>
    </row>
    <row r="1033" spans="1:6" x14ac:dyDescent="0.3">
      <c r="A1033">
        <v>1032</v>
      </c>
      <c r="B1033" t="s">
        <v>635</v>
      </c>
      <c r="C1033" t="s">
        <v>7</v>
      </c>
      <c r="D1033" t="s">
        <v>72</v>
      </c>
      <c r="E1033" t="s">
        <v>1775</v>
      </c>
      <c r="F1033" t="s">
        <v>1776</v>
      </c>
    </row>
    <row r="1034" spans="1:6" x14ac:dyDescent="0.3">
      <c r="A1034">
        <v>1033</v>
      </c>
      <c r="B1034" t="s">
        <v>278</v>
      </c>
      <c r="C1034" t="s">
        <v>26</v>
      </c>
      <c r="D1034" t="s">
        <v>44</v>
      </c>
      <c r="E1034" t="s">
        <v>1317</v>
      </c>
      <c r="F1034" t="s">
        <v>1777</v>
      </c>
    </row>
    <row r="1035" spans="1:6" x14ac:dyDescent="0.3">
      <c r="A1035">
        <v>1034</v>
      </c>
      <c r="B1035" t="s">
        <v>416</v>
      </c>
      <c r="C1035" t="s">
        <v>26</v>
      </c>
      <c r="D1035" t="s">
        <v>72</v>
      </c>
      <c r="E1035" t="s">
        <v>1189</v>
      </c>
      <c r="F1035" t="s">
        <v>1778</v>
      </c>
    </row>
    <row r="1036" spans="1:6" x14ac:dyDescent="0.3">
      <c r="A1036">
        <v>1035</v>
      </c>
      <c r="B1036" t="s">
        <v>56</v>
      </c>
      <c r="C1036" t="s">
        <v>26</v>
      </c>
      <c r="D1036" t="s">
        <v>22</v>
      </c>
      <c r="E1036" t="s">
        <v>987</v>
      </c>
      <c r="F1036" t="s">
        <v>1779</v>
      </c>
    </row>
    <row r="1037" spans="1:6" x14ac:dyDescent="0.3">
      <c r="A1037">
        <v>1036</v>
      </c>
      <c r="B1037" t="s">
        <v>557</v>
      </c>
      <c r="C1037" t="s">
        <v>7</v>
      </c>
      <c r="D1037" t="s">
        <v>27</v>
      </c>
      <c r="E1037" t="s">
        <v>1000</v>
      </c>
      <c r="F1037" t="s">
        <v>1780</v>
      </c>
    </row>
    <row r="1038" spans="1:6" x14ac:dyDescent="0.3">
      <c r="A1038">
        <v>1037</v>
      </c>
      <c r="B1038" t="s">
        <v>416</v>
      </c>
      <c r="C1038" t="s">
        <v>26</v>
      </c>
      <c r="D1038" t="s">
        <v>72</v>
      </c>
      <c r="E1038" t="s">
        <v>19</v>
      </c>
      <c r="F1038" t="s">
        <v>1781</v>
      </c>
    </row>
    <row r="1039" spans="1:6" x14ac:dyDescent="0.3">
      <c r="A1039">
        <v>1038</v>
      </c>
      <c r="B1039" t="s">
        <v>396</v>
      </c>
      <c r="C1039" t="s">
        <v>26</v>
      </c>
      <c r="D1039" t="s">
        <v>37</v>
      </c>
      <c r="E1039" t="s">
        <v>1745</v>
      </c>
      <c r="F1039" t="s">
        <v>1782</v>
      </c>
    </row>
    <row r="1040" spans="1:6" x14ac:dyDescent="0.3">
      <c r="A1040">
        <v>1039</v>
      </c>
      <c r="B1040" t="s">
        <v>777</v>
      </c>
      <c r="C1040" t="s">
        <v>26</v>
      </c>
      <c r="D1040" t="s">
        <v>22</v>
      </c>
      <c r="E1040" t="s">
        <v>48</v>
      </c>
      <c r="F1040" t="s">
        <v>1783</v>
      </c>
    </row>
    <row r="1041" spans="1:6" x14ac:dyDescent="0.3">
      <c r="A1041">
        <v>1040</v>
      </c>
      <c r="B1041" t="s">
        <v>59</v>
      </c>
      <c r="C1041" t="s">
        <v>26</v>
      </c>
      <c r="D1041" t="s">
        <v>27</v>
      </c>
      <c r="E1041" t="s">
        <v>145</v>
      </c>
      <c r="F1041" t="s">
        <v>1784</v>
      </c>
    </row>
    <row r="1042" spans="1:6" x14ac:dyDescent="0.3">
      <c r="A1042">
        <v>1041</v>
      </c>
      <c r="B1042" t="s">
        <v>665</v>
      </c>
      <c r="C1042" t="s">
        <v>7</v>
      </c>
      <c r="D1042" t="s">
        <v>44</v>
      </c>
      <c r="E1042" t="s">
        <v>549</v>
      </c>
      <c r="F1042" t="s">
        <v>1785</v>
      </c>
    </row>
    <row r="1043" spans="1:6" x14ac:dyDescent="0.3">
      <c r="A1043">
        <v>1042</v>
      </c>
      <c r="B1043" t="s">
        <v>103</v>
      </c>
      <c r="C1043" t="s">
        <v>7</v>
      </c>
      <c r="D1043" t="s">
        <v>37</v>
      </c>
      <c r="E1043" t="s">
        <v>192</v>
      </c>
      <c r="F1043" t="s">
        <v>1786</v>
      </c>
    </row>
    <row r="1044" spans="1:6" x14ac:dyDescent="0.3">
      <c r="A1044">
        <v>1043</v>
      </c>
      <c r="B1044" t="s">
        <v>316</v>
      </c>
      <c r="C1044" t="s">
        <v>7</v>
      </c>
      <c r="D1044" t="s">
        <v>8</v>
      </c>
      <c r="E1044" t="s">
        <v>565</v>
      </c>
      <c r="F1044" t="s">
        <v>1787</v>
      </c>
    </row>
    <row r="1045" spans="1:6" x14ac:dyDescent="0.3">
      <c r="A1045">
        <v>1044</v>
      </c>
      <c r="B1045" t="s">
        <v>784</v>
      </c>
      <c r="C1045" t="s">
        <v>7</v>
      </c>
      <c r="D1045" t="s">
        <v>37</v>
      </c>
      <c r="E1045" t="s">
        <v>142</v>
      </c>
      <c r="F1045" t="s">
        <v>1788</v>
      </c>
    </row>
    <row r="1046" spans="1:6" x14ac:dyDescent="0.3">
      <c r="A1046">
        <v>1045</v>
      </c>
      <c r="B1046" t="s">
        <v>716</v>
      </c>
      <c r="C1046" t="s">
        <v>7</v>
      </c>
      <c r="D1046" t="s">
        <v>44</v>
      </c>
      <c r="E1046" t="s">
        <v>1092</v>
      </c>
      <c r="F1046" t="s">
        <v>1789</v>
      </c>
    </row>
    <row r="1047" spans="1:6" x14ac:dyDescent="0.3">
      <c r="A1047">
        <v>1046</v>
      </c>
      <c r="B1047" t="s">
        <v>65</v>
      </c>
      <c r="C1047" t="s">
        <v>7</v>
      </c>
      <c r="D1047" t="s">
        <v>72</v>
      </c>
      <c r="E1047" t="s">
        <v>1571</v>
      </c>
      <c r="F1047" t="s">
        <v>1790</v>
      </c>
    </row>
    <row r="1048" spans="1:6" x14ac:dyDescent="0.3">
      <c r="A1048">
        <v>1047</v>
      </c>
      <c r="B1048" t="s">
        <v>168</v>
      </c>
      <c r="C1048" t="s">
        <v>7</v>
      </c>
      <c r="D1048" t="s">
        <v>27</v>
      </c>
      <c r="E1048" t="s">
        <v>360</v>
      </c>
      <c r="F1048" t="s">
        <v>1791</v>
      </c>
    </row>
    <row r="1049" spans="1:6" x14ac:dyDescent="0.3">
      <c r="A1049">
        <v>1048</v>
      </c>
      <c r="B1049" t="s">
        <v>957</v>
      </c>
      <c r="C1049" t="s">
        <v>26</v>
      </c>
      <c r="D1049" t="s">
        <v>44</v>
      </c>
      <c r="E1049" t="s">
        <v>163</v>
      </c>
      <c r="F1049" t="s">
        <v>1792</v>
      </c>
    </row>
    <row r="1050" spans="1:6" x14ac:dyDescent="0.3">
      <c r="A1050">
        <v>1049</v>
      </c>
      <c r="B1050" t="s">
        <v>228</v>
      </c>
      <c r="C1050" t="s">
        <v>26</v>
      </c>
      <c r="D1050" t="s">
        <v>22</v>
      </c>
      <c r="E1050" t="s">
        <v>790</v>
      </c>
      <c r="F1050" t="s">
        <v>1793</v>
      </c>
    </row>
    <row r="1051" spans="1:6" x14ac:dyDescent="0.3">
      <c r="A1051">
        <v>1050</v>
      </c>
      <c r="B1051" t="s">
        <v>416</v>
      </c>
      <c r="C1051" t="s">
        <v>26</v>
      </c>
      <c r="D1051" t="s">
        <v>72</v>
      </c>
      <c r="E1051" t="s">
        <v>57</v>
      </c>
      <c r="F1051" t="s">
        <v>1794</v>
      </c>
    </row>
    <row r="1052" spans="1:6" x14ac:dyDescent="0.3">
      <c r="A1052">
        <v>1051</v>
      </c>
      <c r="B1052" t="s">
        <v>888</v>
      </c>
      <c r="C1052" t="s">
        <v>7</v>
      </c>
      <c r="D1052" t="s">
        <v>12</v>
      </c>
      <c r="E1052" t="s">
        <v>752</v>
      </c>
      <c r="F1052" t="s">
        <v>1795</v>
      </c>
    </row>
    <row r="1053" spans="1:6" x14ac:dyDescent="0.3">
      <c r="A1053">
        <v>1052</v>
      </c>
      <c r="B1053" t="s">
        <v>554</v>
      </c>
      <c r="C1053" t="s">
        <v>26</v>
      </c>
      <c r="D1053" t="s">
        <v>12</v>
      </c>
      <c r="E1053" t="s">
        <v>1796</v>
      </c>
      <c r="F1053" t="s">
        <v>1797</v>
      </c>
    </row>
    <row r="1054" spans="1:6" x14ac:dyDescent="0.3">
      <c r="A1054">
        <v>1053</v>
      </c>
      <c r="B1054" t="s">
        <v>1097</v>
      </c>
      <c r="C1054" t="s">
        <v>7</v>
      </c>
      <c r="D1054" t="s">
        <v>37</v>
      </c>
      <c r="E1054" t="s">
        <v>1798</v>
      </c>
      <c r="F1054" t="s">
        <v>1799</v>
      </c>
    </row>
    <row r="1055" spans="1:6" x14ac:dyDescent="0.3">
      <c r="A1055">
        <v>1054</v>
      </c>
      <c r="B1055" t="s">
        <v>751</v>
      </c>
      <c r="C1055" t="s">
        <v>26</v>
      </c>
      <c r="D1055" t="s">
        <v>27</v>
      </c>
      <c r="E1055" t="s">
        <v>770</v>
      </c>
      <c r="F1055" t="s">
        <v>1800</v>
      </c>
    </row>
    <row r="1056" spans="1:6" x14ac:dyDescent="0.3">
      <c r="A1056">
        <v>1055</v>
      </c>
      <c r="B1056" t="s">
        <v>118</v>
      </c>
      <c r="C1056" t="s">
        <v>7</v>
      </c>
      <c r="D1056" t="s">
        <v>22</v>
      </c>
      <c r="E1056" t="s">
        <v>1801</v>
      </c>
      <c r="F1056" t="s">
        <v>1802</v>
      </c>
    </row>
    <row r="1057" spans="1:6" x14ac:dyDescent="0.3">
      <c r="A1057">
        <v>1056</v>
      </c>
      <c r="B1057" t="s">
        <v>732</v>
      </c>
      <c r="C1057" t="s">
        <v>26</v>
      </c>
      <c r="D1057" t="s">
        <v>12</v>
      </c>
      <c r="E1057" t="s">
        <v>1803</v>
      </c>
      <c r="F1057" t="s">
        <v>1804</v>
      </c>
    </row>
    <row r="1058" spans="1:6" x14ac:dyDescent="0.3">
      <c r="A1058">
        <v>1057</v>
      </c>
      <c r="B1058" t="s">
        <v>90</v>
      </c>
      <c r="C1058" t="s">
        <v>26</v>
      </c>
      <c r="D1058" t="s">
        <v>8</v>
      </c>
      <c r="E1058" t="s">
        <v>76</v>
      </c>
      <c r="F1058" t="s">
        <v>1805</v>
      </c>
    </row>
    <row r="1059" spans="1:6" x14ac:dyDescent="0.3">
      <c r="A1059">
        <v>1058</v>
      </c>
      <c r="B1059" t="s">
        <v>43</v>
      </c>
      <c r="C1059" t="s">
        <v>26</v>
      </c>
      <c r="D1059" t="s">
        <v>12</v>
      </c>
      <c r="E1059" t="s">
        <v>1013</v>
      </c>
      <c r="F1059" t="s">
        <v>1806</v>
      </c>
    </row>
    <row r="1060" spans="1:6" x14ac:dyDescent="0.3">
      <c r="A1060">
        <v>1059</v>
      </c>
      <c r="B1060" t="s">
        <v>952</v>
      </c>
      <c r="C1060" t="s">
        <v>26</v>
      </c>
      <c r="D1060" t="s">
        <v>44</v>
      </c>
      <c r="E1060" t="s">
        <v>678</v>
      </c>
      <c r="F1060" t="s">
        <v>1807</v>
      </c>
    </row>
    <row r="1061" spans="1:6" x14ac:dyDescent="0.3">
      <c r="A1061">
        <v>1060</v>
      </c>
      <c r="B1061" t="s">
        <v>426</v>
      </c>
      <c r="C1061" t="s">
        <v>26</v>
      </c>
      <c r="D1061" t="s">
        <v>72</v>
      </c>
      <c r="E1061" t="s">
        <v>1387</v>
      </c>
      <c r="F1061" t="s">
        <v>1808</v>
      </c>
    </row>
    <row r="1062" spans="1:6" x14ac:dyDescent="0.3">
      <c r="A1062">
        <v>1061</v>
      </c>
      <c r="B1062" t="s">
        <v>854</v>
      </c>
      <c r="C1062" t="s">
        <v>7</v>
      </c>
      <c r="D1062" t="s">
        <v>27</v>
      </c>
      <c r="E1062" t="s">
        <v>360</v>
      </c>
      <c r="F1062" t="s">
        <v>1809</v>
      </c>
    </row>
    <row r="1063" spans="1:6" x14ac:dyDescent="0.3">
      <c r="A1063">
        <v>1062</v>
      </c>
      <c r="B1063" t="s">
        <v>431</v>
      </c>
      <c r="C1063" t="s">
        <v>26</v>
      </c>
      <c r="D1063" t="s">
        <v>27</v>
      </c>
      <c r="E1063" t="s">
        <v>561</v>
      </c>
      <c r="F1063" t="s">
        <v>1810</v>
      </c>
    </row>
    <row r="1064" spans="1:6" x14ac:dyDescent="0.3">
      <c r="A1064">
        <v>1063</v>
      </c>
      <c r="B1064" t="s">
        <v>239</v>
      </c>
      <c r="C1064" t="s">
        <v>7</v>
      </c>
      <c r="D1064" t="s">
        <v>8</v>
      </c>
      <c r="E1064" t="s">
        <v>1811</v>
      </c>
      <c r="F1064" t="s">
        <v>1812</v>
      </c>
    </row>
    <row r="1065" spans="1:6" x14ac:dyDescent="0.3">
      <c r="A1065">
        <v>1064</v>
      </c>
      <c r="B1065" t="s">
        <v>112</v>
      </c>
      <c r="C1065" t="s">
        <v>7</v>
      </c>
      <c r="D1065" t="s">
        <v>37</v>
      </c>
      <c r="E1065" t="s">
        <v>1371</v>
      </c>
      <c r="F1065" t="s">
        <v>1813</v>
      </c>
    </row>
    <row r="1066" spans="1:6" x14ac:dyDescent="0.3">
      <c r="A1066">
        <v>1065</v>
      </c>
      <c r="B1066" t="s">
        <v>135</v>
      </c>
      <c r="C1066" t="s">
        <v>26</v>
      </c>
      <c r="D1066" t="s">
        <v>37</v>
      </c>
      <c r="E1066" t="s">
        <v>425</v>
      </c>
      <c r="F1066" t="s">
        <v>1814</v>
      </c>
    </row>
    <row r="1067" spans="1:6" x14ac:dyDescent="0.3">
      <c r="A1067">
        <v>1066</v>
      </c>
      <c r="B1067" t="s">
        <v>210</v>
      </c>
      <c r="C1067" t="s">
        <v>26</v>
      </c>
      <c r="D1067" t="s">
        <v>37</v>
      </c>
      <c r="E1067" t="s">
        <v>570</v>
      </c>
      <c r="F1067" t="s">
        <v>1815</v>
      </c>
    </row>
    <row r="1068" spans="1:6" x14ac:dyDescent="0.3">
      <c r="A1068">
        <v>1067</v>
      </c>
      <c r="B1068" t="s">
        <v>78</v>
      </c>
      <c r="C1068" t="s">
        <v>26</v>
      </c>
      <c r="D1068" t="s">
        <v>44</v>
      </c>
      <c r="E1068" t="s">
        <v>1816</v>
      </c>
      <c r="F1068" t="s">
        <v>1817</v>
      </c>
    </row>
    <row r="1069" spans="1:6" x14ac:dyDescent="0.3">
      <c r="A1069">
        <v>1068</v>
      </c>
      <c r="B1069" t="s">
        <v>47</v>
      </c>
      <c r="C1069" t="s">
        <v>7</v>
      </c>
      <c r="D1069" t="s">
        <v>44</v>
      </c>
      <c r="E1069" t="s">
        <v>85</v>
      </c>
      <c r="F1069" t="s">
        <v>1818</v>
      </c>
    </row>
    <row r="1070" spans="1:6" x14ac:dyDescent="0.3">
      <c r="A1070">
        <v>1069</v>
      </c>
      <c r="B1070" t="s">
        <v>471</v>
      </c>
      <c r="C1070" t="s">
        <v>7</v>
      </c>
      <c r="D1070" t="s">
        <v>37</v>
      </c>
      <c r="E1070" t="s">
        <v>1004</v>
      </c>
      <c r="F1070" t="s">
        <v>1819</v>
      </c>
    </row>
    <row r="1071" spans="1:6" x14ac:dyDescent="0.3">
      <c r="A1071">
        <v>1070</v>
      </c>
      <c r="B1071" t="s">
        <v>426</v>
      </c>
      <c r="C1071" t="s">
        <v>26</v>
      </c>
      <c r="D1071" t="s">
        <v>12</v>
      </c>
      <c r="E1071" t="s">
        <v>1247</v>
      </c>
      <c r="F1071" t="s">
        <v>1820</v>
      </c>
    </row>
    <row r="1072" spans="1:6" x14ac:dyDescent="0.3">
      <c r="A1072">
        <v>1071</v>
      </c>
      <c r="B1072" t="s">
        <v>407</v>
      </c>
      <c r="C1072" t="s">
        <v>7</v>
      </c>
      <c r="D1072" t="s">
        <v>12</v>
      </c>
      <c r="E1072" t="s">
        <v>1026</v>
      </c>
      <c r="F1072" t="s">
        <v>1821</v>
      </c>
    </row>
    <row r="1073" spans="1:6" x14ac:dyDescent="0.3">
      <c r="A1073">
        <v>1072</v>
      </c>
      <c r="B1073" t="s">
        <v>380</v>
      </c>
      <c r="C1073" t="s">
        <v>7</v>
      </c>
      <c r="D1073" t="s">
        <v>72</v>
      </c>
      <c r="E1073" t="s">
        <v>1303</v>
      </c>
      <c r="F1073" t="s">
        <v>1822</v>
      </c>
    </row>
    <row r="1074" spans="1:6" x14ac:dyDescent="0.3">
      <c r="A1074">
        <v>1073</v>
      </c>
      <c r="B1074" t="s">
        <v>138</v>
      </c>
      <c r="C1074" t="s">
        <v>7</v>
      </c>
      <c r="D1074" t="s">
        <v>8</v>
      </c>
      <c r="E1074" t="s">
        <v>893</v>
      </c>
      <c r="F1074" t="s">
        <v>1823</v>
      </c>
    </row>
    <row r="1075" spans="1:6" x14ac:dyDescent="0.3">
      <c r="A1075">
        <v>1074</v>
      </c>
      <c r="B1075" t="s">
        <v>616</v>
      </c>
      <c r="C1075" t="s">
        <v>7</v>
      </c>
      <c r="D1075" t="s">
        <v>37</v>
      </c>
      <c r="E1075" t="s">
        <v>343</v>
      </c>
      <c r="F1075" t="s">
        <v>1824</v>
      </c>
    </row>
    <row r="1076" spans="1:6" x14ac:dyDescent="0.3">
      <c r="A1076">
        <v>1075</v>
      </c>
      <c r="B1076" t="s">
        <v>300</v>
      </c>
      <c r="C1076" t="s">
        <v>7</v>
      </c>
      <c r="D1076" t="s">
        <v>8</v>
      </c>
      <c r="E1076" t="s">
        <v>1825</v>
      </c>
      <c r="F1076" t="s">
        <v>1826</v>
      </c>
    </row>
    <row r="1077" spans="1:6" x14ac:dyDescent="0.3">
      <c r="A1077">
        <v>1076</v>
      </c>
      <c r="B1077" t="s">
        <v>744</v>
      </c>
      <c r="C1077" t="s">
        <v>7</v>
      </c>
      <c r="D1077" t="s">
        <v>72</v>
      </c>
      <c r="E1077" t="s">
        <v>1032</v>
      </c>
      <c r="F1077" t="s">
        <v>1827</v>
      </c>
    </row>
    <row r="1078" spans="1:6" x14ac:dyDescent="0.3">
      <c r="A1078">
        <v>1077</v>
      </c>
      <c r="B1078" t="s">
        <v>1261</v>
      </c>
      <c r="C1078" t="s">
        <v>7</v>
      </c>
      <c r="D1078" t="s">
        <v>37</v>
      </c>
      <c r="E1078" t="s">
        <v>265</v>
      </c>
      <c r="F1078" t="s">
        <v>1828</v>
      </c>
    </row>
    <row r="1079" spans="1:6" x14ac:dyDescent="0.3">
      <c r="A1079">
        <v>1078</v>
      </c>
      <c r="B1079" t="s">
        <v>548</v>
      </c>
      <c r="C1079" t="s">
        <v>7</v>
      </c>
      <c r="D1079" t="s">
        <v>27</v>
      </c>
      <c r="E1079" t="s">
        <v>987</v>
      </c>
      <c r="F1079" t="s">
        <v>1829</v>
      </c>
    </row>
    <row r="1080" spans="1:6" x14ac:dyDescent="0.3">
      <c r="A1080">
        <v>1079</v>
      </c>
      <c r="B1080" t="s">
        <v>165</v>
      </c>
      <c r="C1080" t="s">
        <v>7</v>
      </c>
      <c r="D1080" t="s">
        <v>12</v>
      </c>
      <c r="E1080" t="s">
        <v>606</v>
      </c>
      <c r="F1080" t="s">
        <v>1830</v>
      </c>
    </row>
    <row r="1081" spans="1:6" x14ac:dyDescent="0.3">
      <c r="A1081">
        <v>1080</v>
      </c>
      <c r="B1081" t="s">
        <v>462</v>
      </c>
      <c r="C1081" t="s">
        <v>7</v>
      </c>
      <c r="D1081" t="s">
        <v>12</v>
      </c>
      <c r="E1081" t="s">
        <v>549</v>
      </c>
      <c r="F1081" t="s">
        <v>1831</v>
      </c>
    </row>
    <row r="1082" spans="1:6" x14ac:dyDescent="0.3">
      <c r="A1082">
        <v>1081</v>
      </c>
      <c r="B1082" t="s">
        <v>963</v>
      </c>
      <c r="C1082" t="s">
        <v>7</v>
      </c>
      <c r="D1082" t="s">
        <v>27</v>
      </c>
      <c r="E1082" t="s">
        <v>1832</v>
      </c>
      <c r="F1082" t="s">
        <v>1833</v>
      </c>
    </row>
    <row r="1083" spans="1:6" x14ac:dyDescent="0.3">
      <c r="A1083">
        <v>1082</v>
      </c>
      <c r="B1083" t="s">
        <v>157</v>
      </c>
      <c r="C1083" t="s">
        <v>7</v>
      </c>
      <c r="D1083" t="s">
        <v>37</v>
      </c>
      <c r="E1083" t="s">
        <v>1305</v>
      </c>
      <c r="F1083" t="s">
        <v>1834</v>
      </c>
    </row>
    <row r="1084" spans="1:6" x14ac:dyDescent="0.3">
      <c r="A1084">
        <v>1083</v>
      </c>
      <c r="B1084" t="s">
        <v>888</v>
      </c>
      <c r="C1084" t="s">
        <v>7</v>
      </c>
      <c r="D1084" t="s">
        <v>22</v>
      </c>
      <c r="E1084" t="s">
        <v>651</v>
      </c>
      <c r="F1084" t="s">
        <v>1835</v>
      </c>
    </row>
    <row r="1085" spans="1:6" x14ac:dyDescent="0.3">
      <c r="A1085">
        <v>1084</v>
      </c>
      <c r="B1085" t="s">
        <v>325</v>
      </c>
      <c r="C1085" t="s">
        <v>7</v>
      </c>
      <c r="D1085" t="s">
        <v>8</v>
      </c>
      <c r="E1085" t="s">
        <v>1417</v>
      </c>
      <c r="F1085" t="s">
        <v>1836</v>
      </c>
    </row>
    <row r="1086" spans="1:6" x14ac:dyDescent="0.3">
      <c r="A1086">
        <v>1085</v>
      </c>
      <c r="B1086" t="s">
        <v>818</v>
      </c>
      <c r="C1086" t="s">
        <v>7</v>
      </c>
      <c r="D1086" t="s">
        <v>8</v>
      </c>
      <c r="E1086" t="s">
        <v>1837</v>
      </c>
      <c r="F1086" t="s">
        <v>1838</v>
      </c>
    </row>
    <row r="1087" spans="1:6" x14ac:dyDescent="0.3">
      <c r="A1087">
        <v>1086</v>
      </c>
      <c r="B1087" t="s">
        <v>204</v>
      </c>
      <c r="C1087" t="s">
        <v>26</v>
      </c>
      <c r="D1087" t="s">
        <v>44</v>
      </c>
      <c r="E1087" t="s">
        <v>1839</v>
      </c>
      <c r="F1087" t="s">
        <v>1840</v>
      </c>
    </row>
    <row r="1088" spans="1:6" x14ac:dyDescent="0.3">
      <c r="A1088">
        <v>1087</v>
      </c>
      <c r="B1088" t="s">
        <v>1261</v>
      </c>
      <c r="C1088" t="s">
        <v>7</v>
      </c>
      <c r="D1088" t="s">
        <v>12</v>
      </c>
      <c r="E1088" t="s">
        <v>1189</v>
      </c>
      <c r="F1088" t="s">
        <v>1841</v>
      </c>
    </row>
    <row r="1089" spans="1:6" x14ac:dyDescent="0.3">
      <c r="A1089">
        <v>1088</v>
      </c>
      <c r="B1089" t="s">
        <v>596</v>
      </c>
      <c r="C1089" t="s">
        <v>26</v>
      </c>
      <c r="D1089" t="s">
        <v>22</v>
      </c>
      <c r="E1089" t="s">
        <v>1138</v>
      </c>
      <c r="F1089" t="s">
        <v>1842</v>
      </c>
    </row>
    <row r="1090" spans="1:6" x14ac:dyDescent="0.3">
      <c r="A1090">
        <v>1089</v>
      </c>
      <c r="B1090" t="s">
        <v>436</v>
      </c>
      <c r="C1090" t="s">
        <v>26</v>
      </c>
      <c r="D1090" t="s">
        <v>22</v>
      </c>
      <c r="E1090" t="s">
        <v>780</v>
      </c>
      <c r="F1090" t="s">
        <v>1843</v>
      </c>
    </row>
    <row r="1091" spans="1:6" x14ac:dyDescent="0.3">
      <c r="A1091">
        <v>1090</v>
      </c>
      <c r="B1091" t="s">
        <v>422</v>
      </c>
      <c r="C1091" t="s">
        <v>26</v>
      </c>
      <c r="D1091" t="s">
        <v>8</v>
      </c>
      <c r="E1091" t="s">
        <v>705</v>
      </c>
      <c r="F1091" t="s">
        <v>1844</v>
      </c>
    </row>
    <row r="1092" spans="1:6" x14ac:dyDescent="0.3">
      <c r="A1092">
        <v>1091</v>
      </c>
      <c r="B1092" t="s">
        <v>210</v>
      </c>
      <c r="C1092" t="s">
        <v>26</v>
      </c>
      <c r="D1092" t="s">
        <v>8</v>
      </c>
      <c r="E1092" t="s">
        <v>1845</v>
      </c>
      <c r="F1092" t="s">
        <v>1846</v>
      </c>
    </row>
    <row r="1093" spans="1:6" x14ac:dyDescent="0.3">
      <c r="A1093">
        <v>1092</v>
      </c>
      <c r="B1093" t="s">
        <v>380</v>
      </c>
      <c r="C1093" t="s">
        <v>7</v>
      </c>
      <c r="D1093" t="s">
        <v>8</v>
      </c>
      <c r="E1093" t="s">
        <v>1630</v>
      </c>
      <c r="F1093" t="s">
        <v>1847</v>
      </c>
    </row>
    <row r="1094" spans="1:6" x14ac:dyDescent="0.3">
      <c r="A1094">
        <v>1093</v>
      </c>
      <c r="B1094" t="s">
        <v>501</v>
      </c>
      <c r="C1094" t="s">
        <v>26</v>
      </c>
      <c r="D1094" t="s">
        <v>22</v>
      </c>
      <c r="E1094" t="s">
        <v>219</v>
      </c>
      <c r="F1094" t="s">
        <v>1848</v>
      </c>
    </row>
    <row r="1095" spans="1:6" x14ac:dyDescent="0.3">
      <c r="A1095">
        <v>1094</v>
      </c>
      <c r="B1095" t="s">
        <v>194</v>
      </c>
      <c r="C1095" t="s">
        <v>7</v>
      </c>
      <c r="D1095" t="s">
        <v>37</v>
      </c>
      <c r="E1095" t="s">
        <v>1690</v>
      </c>
      <c r="F1095" t="s">
        <v>1849</v>
      </c>
    </row>
    <row r="1096" spans="1:6" x14ac:dyDescent="0.3">
      <c r="A1096">
        <v>1095</v>
      </c>
      <c r="B1096" t="s">
        <v>152</v>
      </c>
      <c r="C1096" t="s">
        <v>7</v>
      </c>
      <c r="D1096" t="s">
        <v>22</v>
      </c>
      <c r="E1096" t="s">
        <v>1758</v>
      </c>
      <c r="F1096" t="s">
        <v>1850</v>
      </c>
    </row>
    <row r="1097" spans="1:6" x14ac:dyDescent="0.3">
      <c r="A1097">
        <v>1096</v>
      </c>
      <c r="B1097" t="s">
        <v>138</v>
      </c>
      <c r="C1097" t="s">
        <v>7</v>
      </c>
      <c r="D1097" t="s">
        <v>72</v>
      </c>
      <c r="E1097" t="s">
        <v>863</v>
      </c>
      <c r="F1097" t="s">
        <v>1851</v>
      </c>
    </row>
    <row r="1098" spans="1:6" x14ac:dyDescent="0.3">
      <c r="A1098">
        <v>1097</v>
      </c>
      <c r="B1098" t="s">
        <v>511</v>
      </c>
      <c r="C1098" t="s">
        <v>26</v>
      </c>
      <c r="D1098" t="s">
        <v>27</v>
      </c>
      <c r="E1098" t="s">
        <v>1852</v>
      </c>
      <c r="F1098" t="s">
        <v>1853</v>
      </c>
    </row>
    <row r="1099" spans="1:6" x14ac:dyDescent="0.3">
      <c r="A1099">
        <v>1098</v>
      </c>
      <c r="B1099" t="s">
        <v>186</v>
      </c>
      <c r="C1099" t="s">
        <v>26</v>
      </c>
      <c r="D1099" t="s">
        <v>22</v>
      </c>
      <c r="E1099" t="s">
        <v>927</v>
      </c>
      <c r="F1099" t="s">
        <v>1854</v>
      </c>
    </row>
    <row r="1100" spans="1:6" x14ac:dyDescent="0.3">
      <c r="A1100">
        <v>1099</v>
      </c>
      <c r="B1100" t="s">
        <v>462</v>
      </c>
      <c r="C1100" t="s">
        <v>7</v>
      </c>
      <c r="D1100" t="s">
        <v>27</v>
      </c>
      <c r="E1100" t="s">
        <v>671</v>
      </c>
      <c r="F1100" t="s">
        <v>1855</v>
      </c>
    </row>
    <row r="1101" spans="1:6" x14ac:dyDescent="0.3">
      <c r="A1101">
        <v>1100</v>
      </c>
      <c r="B1101" t="s">
        <v>833</v>
      </c>
      <c r="C1101" t="s">
        <v>7</v>
      </c>
      <c r="D1101" t="s">
        <v>27</v>
      </c>
      <c r="E1101" t="s">
        <v>673</v>
      </c>
      <c r="F1101" t="s">
        <v>1856</v>
      </c>
    </row>
    <row r="1102" spans="1:6" x14ac:dyDescent="0.3">
      <c r="A1102">
        <v>1101</v>
      </c>
      <c r="B1102" t="s">
        <v>124</v>
      </c>
      <c r="C1102" t="s">
        <v>26</v>
      </c>
      <c r="D1102" t="s">
        <v>37</v>
      </c>
      <c r="E1102" t="s">
        <v>1586</v>
      </c>
      <c r="F1102" t="s">
        <v>1857</v>
      </c>
    </row>
    <row r="1103" spans="1:6" x14ac:dyDescent="0.3">
      <c r="A1103">
        <v>1102</v>
      </c>
      <c r="B1103" t="s">
        <v>747</v>
      </c>
      <c r="C1103" t="s">
        <v>26</v>
      </c>
      <c r="D1103" t="s">
        <v>22</v>
      </c>
      <c r="E1103" t="s">
        <v>1858</v>
      </c>
      <c r="F1103" t="s">
        <v>1859</v>
      </c>
    </row>
    <row r="1104" spans="1:6" x14ac:dyDescent="0.3">
      <c r="A1104">
        <v>1103</v>
      </c>
      <c r="B1104" t="s">
        <v>1261</v>
      </c>
      <c r="C1104" t="s">
        <v>7</v>
      </c>
      <c r="D1104" t="s">
        <v>44</v>
      </c>
      <c r="E1104" t="s">
        <v>1406</v>
      </c>
      <c r="F1104" t="s">
        <v>1860</v>
      </c>
    </row>
    <row r="1105" spans="1:6" x14ac:dyDescent="0.3">
      <c r="A1105">
        <v>1104</v>
      </c>
      <c r="B1105" t="s">
        <v>596</v>
      </c>
      <c r="C1105" t="s">
        <v>26</v>
      </c>
      <c r="D1105" t="s">
        <v>37</v>
      </c>
      <c r="E1105" t="s">
        <v>502</v>
      </c>
      <c r="F1105" t="s">
        <v>1861</v>
      </c>
    </row>
    <row r="1106" spans="1:6" x14ac:dyDescent="0.3">
      <c r="A1106">
        <v>1105</v>
      </c>
      <c r="B1106" t="s">
        <v>1441</v>
      </c>
      <c r="C1106" t="s">
        <v>26</v>
      </c>
      <c r="D1106" t="s">
        <v>44</v>
      </c>
      <c r="E1106" t="s">
        <v>1223</v>
      </c>
      <c r="F1106" t="s">
        <v>1862</v>
      </c>
    </row>
    <row r="1107" spans="1:6" x14ac:dyDescent="0.3">
      <c r="A1107">
        <v>1106</v>
      </c>
      <c r="B1107" t="s">
        <v>258</v>
      </c>
      <c r="C1107" t="s">
        <v>7</v>
      </c>
      <c r="D1107" t="s">
        <v>44</v>
      </c>
      <c r="E1107" t="s">
        <v>889</v>
      </c>
      <c r="F1107" t="s">
        <v>1863</v>
      </c>
    </row>
    <row r="1108" spans="1:6" x14ac:dyDescent="0.3">
      <c r="A1108">
        <v>1107</v>
      </c>
      <c r="B1108" t="s">
        <v>218</v>
      </c>
      <c r="C1108" t="s">
        <v>26</v>
      </c>
      <c r="D1108" t="s">
        <v>44</v>
      </c>
      <c r="E1108" t="s">
        <v>1501</v>
      </c>
      <c r="F1108" t="s">
        <v>1864</v>
      </c>
    </row>
    <row r="1109" spans="1:6" x14ac:dyDescent="0.3">
      <c r="A1109">
        <v>1108</v>
      </c>
      <c r="B1109" t="s">
        <v>144</v>
      </c>
      <c r="C1109" t="s">
        <v>7</v>
      </c>
      <c r="D1109" t="s">
        <v>22</v>
      </c>
      <c r="E1109" t="s">
        <v>1865</v>
      </c>
      <c r="F1109" t="s">
        <v>1866</v>
      </c>
    </row>
    <row r="1110" spans="1:6" x14ac:dyDescent="0.3">
      <c r="A1110">
        <v>1109</v>
      </c>
      <c r="B1110" t="s">
        <v>204</v>
      </c>
      <c r="C1110" t="s">
        <v>26</v>
      </c>
      <c r="D1110" t="s">
        <v>27</v>
      </c>
      <c r="E1110" t="s">
        <v>759</v>
      </c>
      <c r="F1110" t="s">
        <v>1867</v>
      </c>
    </row>
    <row r="1111" spans="1:6" x14ac:dyDescent="0.3">
      <c r="A1111">
        <v>1110</v>
      </c>
      <c r="B1111" t="s">
        <v>590</v>
      </c>
      <c r="C1111" t="s">
        <v>7</v>
      </c>
      <c r="D1111" t="s">
        <v>8</v>
      </c>
      <c r="E1111" t="s">
        <v>408</v>
      </c>
      <c r="F1111" t="s">
        <v>1868</v>
      </c>
    </row>
    <row r="1112" spans="1:6" x14ac:dyDescent="0.3">
      <c r="A1112">
        <v>1111</v>
      </c>
      <c r="B1112" t="s">
        <v>95</v>
      </c>
      <c r="C1112" t="s">
        <v>7</v>
      </c>
      <c r="D1112" t="s">
        <v>8</v>
      </c>
      <c r="E1112" t="s">
        <v>1869</v>
      </c>
      <c r="F1112" t="s">
        <v>1870</v>
      </c>
    </row>
    <row r="1113" spans="1:6" x14ac:dyDescent="0.3">
      <c r="A1113">
        <v>1112</v>
      </c>
      <c r="B1113" t="s">
        <v>313</v>
      </c>
      <c r="C1113" t="s">
        <v>7</v>
      </c>
      <c r="D1113" t="s">
        <v>72</v>
      </c>
      <c r="E1113" t="s">
        <v>1172</v>
      </c>
      <c r="F1113" t="s">
        <v>1871</v>
      </c>
    </row>
    <row r="1114" spans="1:6" x14ac:dyDescent="0.3">
      <c r="A1114">
        <v>1113</v>
      </c>
      <c r="B1114" t="s">
        <v>590</v>
      </c>
      <c r="C1114" t="s">
        <v>7</v>
      </c>
      <c r="D1114" t="s">
        <v>22</v>
      </c>
      <c r="E1114" t="s">
        <v>1872</v>
      </c>
      <c r="F1114" t="s">
        <v>1873</v>
      </c>
    </row>
    <row r="1115" spans="1:6" x14ac:dyDescent="0.3">
      <c r="A1115">
        <v>1114</v>
      </c>
      <c r="B1115" t="s">
        <v>204</v>
      </c>
      <c r="C1115" t="s">
        <v>26</v>
      </c>
      <c r="D1115" t="s">
        <v>22</v>
      </c>
      <c r="E1115" t="s">
        <v>207</v>
      </c>
      <c r="F1115" t="s">
        <v>1874</v>
      </c>
    </row>
    <row r="1116" spans="1:6" x14ac:dyDescent="0.3">
      <c r="A1116">
        <v>1115</v>
      </c>
      <c r="B1116" t="s">
        <v>902</v>
      </c>
      <c r="C1116" t="s">
        <v>7</v>
      </c>
      <c r="D1116" t="s">
        <v>44</v>
      </c>
      <c r="E1116" t="s">
        <v>575</v>
      </c>
      <c r="F1116" t="s">
        <v>1875</v>
      </c>
    </row>
    <row r="1117" spans="1:6" x14ac:dyDescent="0.3">
      <c r="A1117">
        <v>1116</v>
      </c>
      <c r="B1117" t="s">
        <v>53</v>
      </c>
      <c r="C1117" t="s">
        <v>26</v>
      </c>
      <c r="D1117" t="s">
        <v>27</v>
      </c>
      <c r="E1117" t="s">
        <v>1713</v>
      </c>
      <c r="F1117" t="s">
        <v>1876</v>
      </c>
    </row>
    <row r="1118" spans="1:6" x14ac:dyDescent="0.3">
      <c r="A1118">
        <v>1117</v>
      </c>
      <c r="B1118" t="s">
        <v>630</v>
      </c>
      <c r="C1118" t="s">
        <v>7</v>
      </c>
      <c r="D1118" t="s">
        <v>37</v>
      </c>
      <c r="E1118" t="s">
        <v>990</v>
      </c>
      <c r="F1118" t="s">
        <v>1877</v>
      </c>
    </row>
    <row r="1119" spans="1:6" x14ac:dyDescent="0.3">
      <c r="A1119">
        <v>1118</v>
      </c>
      <c r="B1119" t="s">
        <v>439</v>
      </c>
      <c r="C1119" t="s">
        <v>7</v>
      </c>
      <c r="D1119" t="s">
        <v>72</v>
      </c>
      <c r="E1119" t="s">
        <v>1878</v>
      </c>
      <c r="F1119" t="s">
        <v>1879</v>
      </c>
    </row>
    <row r="1120" spans="1:6" x14ac:dyDescent="0.3">
      <c r="A1120">
        <v>1119</v>
      </c>
      <c r="B1120" t="s">
        <v>1076</v>
      </c>
      <c r="C1120" t="s">
        <v>7</v>
      </c>
      <c r="D1120" t="s">
        <v>44</v>
      </c>
      <c r="E1120" t="s">
        <v>1347</v>
      </c>
      <c r="F1120" t="s">
        <v>1880</v>
      </c>
    </row>
    <row r="1121" spans="1:6" x14ac:dyDescent="0.3">
      <c r="A1121">
        <v>1120</v>
      </c>
      <c r="B1121" t="s">
        <v>56</v>
      </c>
      <c r="C1121" t="s">
        <v>26</v>
      </c>
      <c r="D1121" t="s">
        <v>44</v>
      </c>
      <c r="E1121" t="s">
        <v>499</v>
      </c>
      <c r="F1121" t="s">
        <v>1881</v>
      </c>
    </row>
    <row r="1122" spans="1:6" x14ac:dyDescent="0.3">
      <c r="A1122">
        <v>1121</v>
      </c>
      <c r="B1122" t="s">
        <v>466</v>
      </c>
      <c r="C1122" t="s">
        <v>7</v>
      </c>
      <c r="D1122" t="s">
        <v>72</v>
      </c>
      <c r="E1122" t="s">
        <v>448</v>
      </c>
      <c r="F1122" t="s">
        <v>1882</v>
      </c>
    </row>
    <row r="1123" spans="1:6" x14ac:dyDescent="0.3">
      <c r="A1123">
        <v>1122</v>
      </c>
      <c r="B1123" t="s">
        <v>236</v>
      </c>
      <c r="C1123" t="s">
        <v>26</v>
      </c>
      <c r="D1123" t="s">
        <v>22</v>
      </c>
      <c r="E1123" t="s">
        <v>1467</v>
      </c>
      <c r="F1123" t="s">
        <v>1883</v>
      </c>
    </row>
    <row r="1124" spans="1:6" x14ac:dyDescent="0.3">
      <c r="A1124">
        <v>1123</v>
      </c>
      <c r="B1124" t="s">
        <v>162</v>
      </c>
      <c r="C1124" t="s">
        <v>26</v>
      </c>
      <c r="D1124" t="s">
        <v>72</v>
      </c>
      <c r="E1124" t="s">
        <v>1884</v>
      </c>
      <c r="F1124" t="s">
        <v>1885</v>
      </c>
    </row>
    <row r="1125" spans="1:6" x14ac:dyDescent="0.3">
      <c r="A1125">
        <v>1124</v>
      </c>
      <c r="B1125" t="s">
        <v>189</v>
      </c>
      <c r="C1125" t="s">
        <v>26</v>
      </c>
      <c r="D1125" t="s">
        <v>72</v>
      </c>
      <c r="E1125" t="s">
        <v>334</v>
      </c>
      <c r="F1125" t="s">
        <v>1886</v>
      </c>
    </row>
    <row r="1126" spans="1:6" x14ac:dyDescent="0.3">
      <c r="A1126">
        <v>1125</v>
      </c>
      <c r="B1126" t="s">
        <v>316</v>
      </c>
      <c r="C1126" t="s">
        <v>7</v>
      </c>
      <c r="D1126" t="s">
        <v>22</v>
      </c>
      <c r="E1126" t="s">
        <v>63</v>
      </c>
      <c r="F1126" t="s">
        <v>1887</v>
      </c>
    </row>
    <row r="1127" spans="1:6" x14ac:dyDescent="0.3">
      <c r="A1127">
        <v>1126</v>
      </c>
      <c r="B1127" t="s">
        <v>305</v>
      </c>
      <c r="C1127" t="s">
        <v>26</v>
      </c>
      <c r="D1127" t="s">
        <v>12</v>
      </c>
      <c r="E1127" t="s">
        <v>1434</v>
      </c>
      <c r="F1127" t="s">
        <v>1888</v>
      </c>
    </row>
    <row r="1128" spans="1:6" x14ac:dyDescent="0.3">
      <c r="A1128">
        <v>1127</v>
      </c>
      <c r="B1128" t="s">
        <v>574</v>
      </c>
      <c r="C1128" t="s">
        <v>26</v>
      </c>
      <c r="D1128" t="s">
        <v>72</v>
      </c>
      <c r="E1128" t="s">
        <v>1556</v>
      </c>
      <c r="F1128" t="s">
        <v>1889</v>
      </c>
    </row>
    <row r="1129" spans="1:6" x14ac:dyDescent="0.3">
      <c r="A1129">
        <v>1128</v>
      </c>
      <c r="B1129" t="s">
        <v>466</v>
      </c>
      <c r="C1129" t="s">
        <v>7</v>
      </c>
      <c r="D1129" t="s">
        <v>22</v>
      </c>
      <c r="E1129" t="s">
        <v>1495</v>
      </c>
      <c r="F1129" t="s">
        <v>1890</v>
      </c>
    </row>
    <row r="1130" spans="1:6" x14ac:dyDescent="0.3">
      <c r="A1130">
        <v>1129</v>
      </c>
      <c r="B1130" t="s">
        <v>533</v>
      </c>
      <c r="C1130" t="s">
        <v>26</v>
      </c>
      <c r="D1130" t="s">
        <v>8</v>
      </c>
      <c r="E1130" t="s">
        <v>1162</v>
      </c>
      <c r="F1130" t="s">
        <v>1891</v>
      </c>
    </row>
    <row r="1131" spans="1:6" x14ac:dyDescent="0.3">
      <c r="A1131">
        <v>1130</v>
      </c>
      <c r="B1131" t="s">
        <v>533</v>
      </c>
      <c r="C1131" t="s">
        <v>26</v>
      </c>
      <c r="D1131" t="s">
        <v>22</v>
      </c>
      <c r="E1131" t="s">
        <v>19</v>
      </c>
      <c r="F1131" t="s">
        <v>1892</v>
      </c>
    </row>
    <row r="1132" spans="1:6" x14ac:dyDescent="0.3">
      <c r="A1132">
        <v>1131</v>
      </c>
      <c r="B1132" t="s">
        <v>1626</v>
      </c>
      <c r="C1132" t="s">
        <v>26</v>
      </c>
      <c r="D1132" t="s">
        <v>27</v>
      </c>
      <c r="E1132" t="s">
        <v>1893</v>
      </c>
      <c r="F1132" t="s">
        <v>1894</v>
      </c>
    </row>
    <row r="1133" spans="1:6" x14ac:dyDescent="0.3">
      <c r="A1133">
        <v>1132</v>
      </c>
      <c r="B1133" t="s">
        <v>533</v>
      </c>
      <c r="C1133" t="s">
        <v>26</v>
      </c>
      <c r="D1133" t="s">
        <v>37</v>
      </c>
      <c r="E1133" t="s">
        <v>268</v>
      </c>
      <c r="F1133" t="s">
        <v>1895</v>
      </c>
    </row>
    <row r="1134" spans="1:6" x14ac:dyDescent="0.3">
      <c r="A1134">
        <v>1133</v>
      </c>
      <c r="B1134" t="s">
        <v>450</v>
      </c>
      <c r="C1134" t="s">
        <v>26</v>
      </c>
      <c r="D1134" t="s">
        <v>72</v>
      </c>
      <c r="E1134" t="s">
        <v>1896</v>
      </c>
      <c r="F1134" t="s">
        <v>1897</v>
      </c>
    </row>
    <row r="1135" spans="1:6" x14ac:dyDescent="0.3">
      <c r="A1135">
        <v>1134</v>
      </c>
      <c r="B1135" t="s">
        <v>483</v>
      </c>
      <c r="C1135" t="s">
        <v>26</v>
      </c>
      <c r="D1135" t="s">
        <v>44</v>
      </c>
      <c r="E1135" t="s">
        <v>673</v>
      </c>
      <c r="F1135" t="s">
        <v>1898</v>
      </c>
    </row>
    <row r="1136" spans="1:6" x14ac:dyDescent="0.3">
      <c r="A1136">
        <v>1135</v>
      </c>
      <c r="B1136" t="s">
        <v>643</v>
      </c>
      <c r="C1136" t="s">
        <v>7</v>
      </c>
      <c r="D1136" t="s">
        <v>27</v>
      </c>
      <c r="E1136" t="s">
        <v>434</v>
      </c>
      <c r="F1136" t="s">
        <v>1899</v>
      </c>
    </row>
    <row r="1137" spans="1:6" x14ac:dyDescent="0.3">
      <c r="A1137">
        <v>1136</v>
      </c>
      <c r="B1137" t="s">
        <v>431</v>
      </c>
      <c r="C1137" t="s">
        <v>26</v>
      </c>
      <c r="D1137" t="s">
        <v>37</v>
      </c>
      <c r="E1137" t="s">
        <v>1900</v>
      </c>
      <c r="F1137" t="s">
        <v>1901</v>
      </c>
    </row>
    <row r="1138" spans="1:6" x14ac:dyDescent="0.3">
      <c r="A1138">
        <v>1137</v>
      </c>
      <c r="B1138" t="s">
        <v>252</v>
      </c>
      <c r="C1138" t="s">
        <v>7</v>
      </c>
      <c r="D1138" t="s">
        <v>37</v>
      </c>
      <c r="E1138" t="s">
        <v>646</v>
      </c>
      <c r="F1138" t="s">
        <v>1902</v>
      </c>
    </row>
    <row r="1139" spans="1:6" x14ac:dyDescent="0.3">
      <c r="A1139">
        <v>1138</v>
      </c>
      <c r="B1139" t="s">
        <v>18</v>
      </c>
      <c r="C1139" t="s">
        <v>7</v>
      </c>
      <c r="D1139" t="s">
        <v>8</v>
      </c>
      <c r="E1139" t="s">
        <v>1803</v>
      </c>
      <c r="F1139" t="s">
        <v>1903</v>
      </c>
    </row>
    <row r="1140" spans="1:6" x14ac:dyDescent="0.3">
      <c r="A1140">
        <v>1139</v>
      </c>
      <c r="B1140" t="s">
        <v>213</v>
      </c>
      <c r="C1140" t="s">
        <v>7</v>
      </c>
      <c r="D1140" t="s">
        <v>8</v>
      </c>
      <c r="E1140" t="s">
        <v>178</v>
      </c>
      <c r="F1140" t="s">
        <v>1904</v>
      </c>
    </row>
    <row r="1141" spans="1:6" x14ac:dyDescent="0.3">
      <c r="A1141">
        <v>1140</v>
      </c>
      <c r="B1141" t="s">
        <v>416</v>
      </c>
      <c r="C1141" t="s">
        <v>26</v>
      </c>
      <c r="D1141" t="s">
        <v>22</v>
      </c>
      <c r="E1141" t="s">
        <v>1905</v>
      </c>
      <c r="F1141" t="s">
        <v>1906</v>
      </c>
    </row>
    <row r="1142" spans="1:6" x14ac:dyDescent="0.3">
      <c r="A1142">
        <v>1141</v>
      </c>
      <c r="B1142" t="s">
        <v>1218</v>
      </c>
      <c r="C1142" t="s">
        <v>7</v>
      </c>
      <c r="D1142" t="s">
        <v>44</v>
      </c>
      <c r="E1142" t="s">
        <v>838</v>
      </c>
      <c r="F1142" t="s">
        <v>1907</v>
      </c>
    </row>
    <row r="1143" spans="1:6" x14ac:dyDescent="0.3">
      <c r="A1143">
        <v>1142</v>
      </c>
      <c r="B1143" t="s">
        <v>557</v>
      </c>
      <c r="C1143" t="s">
        <v>7</v>
      </c>
      <c r="D1143" t="s">
        <v>8</v>
      </c>
      <c r="E1143" t="s">
        <v>453</v>
      </c>
      <c r="F1143" t="s">
        <v>1908</v>
      </c>
    </row>
    <row r="1144" spans="1:6" x14ac:dyDescent="0.3">
      <c r="A1144">
        <v>1143</v>
      </c>
      <c r="B1144" t="s">
        <v>36</v>
      </c>
      <c r="C1144" t="s">
        <v>7</v>
      </c>
      <c r="D1144" t="s">
        <v>27</v>
      </c>
      <c r="E1144" t="s">
        <v>1909</v>
      </c>
      <c r="F1144" t="s">
        <v>1910</v>
      </c>
    </row>
    <row r="1145" spans="1:6" x14ac:dyDescent="0.3">
      <c r="A1145">
        <v>1144</v>
      </c>
      <c r="B1145" t="s">
        <v>1626</v>
      </c>
      <c r="C1145" t="s">
        <v>26</v>
      </c>
      <c r="D1145" t="s">
        <v>27</v>
      </c>
      <c r="E1145" t="s">
        <v>1911</v>
      </c>
      <c r="F1145" t="s">
        <v>1912</v>
      </c>
    </row>
    <row r="1146" spans="1:6" x14ac:dyDescent="0.3">
      <c r="A1146">
        <v>1145</v>
      </c>
      <c r="B1146" t="s">
        <v>62</v>
      </c>
      <c r="C1146" t="s">
        <v>7</v>
      </c>
      <c r="D1146" t="s">
        <v>44</v>
      </c>
      <c r="E1146" t="s">
        <v>1110</v>
      </c>
      <c r="F1146" t="s">
        <v>1913</v>
      </c>
    </row>
    <row r="1147" spans="1:6" x14ac:dyDescent="0.3">
      <c r="A1147">
        <v>1146</v>
      </c>
      <c r="B1147" t="s">
        <v>21</v>
      </c>
      <c r="C1147" t="s">
        <v>7</v>
      </c>
      <c r="D1147" t="s">
        <v>22</v>
      </c>
      <c r="E1147" t="s">
        <v>101</v>
      </c>
      <c r="F1147" t="s">
        <v>1914</v>
      </c>
    </row>
    <row r="1148" spans="1:6" x14ac:dyDescent="0.3">
      <c r="A1148">
        <v>1147</v>
      </c>
      <c r="B1148" t="s">
        <v>777</v>
      </c>
      <c r="C1148" t="s">
        <v>26</v>
      </c>
      <c r="D1148" t="s">
        <v>27</v>
      </c>
      <c r="E1148" t="s">
        <v>1476</v>
      </c>
      <c r="F1148" t="s">
        <v>1915</v>
      </c>
    </row>
    <row r="1149" spans="1:6" x14ac:dyDescent="0.3">
      <c r="A1149">
        <v>1148</v>
      </c>
      <c r="B1149" t="s">
        <v>233</v>
      </c>
      <c r="C1149" t="s">
        <v>7</v>
      </c>
      <c r="D1149" t="s">
        <v>8</v>
      </c>
      <c r="E1149" t="s">
        <v>1000</v>
      </c>
      <c r="F1149" t="s">
        <v>1916</v>
      </c>
    </row>
    <row r="1150" spans="1:6" x14ac:dyDescent="0.3">
      <c r="A1150">
        <v>1149</v>
      </c>
      <c r="B1150" t="s">
        <v>202</v>
      </c>
      <c r="C1150" t="s">
        <v>26</v>
      </c>
      <c r="D1150" t="s">
        <v>27</v>
      </c>
      <c r="E1150" t="s">
        <v>1459</v>
      </c>
      <c r="F1150" t="s">
        <v>1917</v>
      </c>
    </row>
    <row r="1151" spans="1:6" x14ac:dyDescent="0.3">
      <c r="A1151">
        <v>1150</v>
      </c>
      <c r="B1151" t="s">
        <v>103</v>
      </c>
      <c r="C1151" t="s">
        <v>7</v>
      </c>
      <c r="D1151" t="s">
        <v>72</v>
      </c>
      <c r="E1151" t="s">
        <v>507</v>
      </c>
      <c r="F1151" t="s">
        <v>1918</v>
      </c>
    </row>
    <row r="1152" spans="1:6" x14ac:dyDescent="0.3">
      <c r="A1152">
        <v>1151</v>
      </c>
      <c r="B1152" t="s">
        <v>365</v>
      </c>
      <c r="C1152" t="s">
        <v>26</v>
      </c>
      <c r="D1152" t="s">
        <v>12</v>
      </c>
      <c r="E1152" t="s">
        <v>1919</v>
      </c>
      <c r="F1152" t="s">
        <v>1920</v>
      </c>
    </row>
    <row r="1153" spans="1:6" x14ac:dyDescent="0.3">
      <c r="A1153">
        <v>1152</v>
      </c>
      <c r="B1153" t="s">
        <v>431</v>
      </c>
      <c r="C1153" t="s">
        <v>26</v>
      </c>
      <c r="D1153" t="s">
        <v>12</v>
      </c>
      <c r="E1153" t="s">
        <v>871</v>
      </c>
      <c r="F1153" t="s">
        <v>1921</v>
      </c>
    </row>
    <row r="1154" spans="1:6" x14ac:dyDescent="0.3">
      <c r="A1154">
        <v>1153</v>
      </c>
      <c r="B1154" t="s">
        <v>462</v>
      </c>
      <c r="C1154" t="s">
        <v>7</v>
      </c>
      <c r="D1154" t="s">
        <v>8</v>
      </c>
      <c r="E1154" t="s">
        <v>1922</v>
      </c>
      <c r="F1154" t="s">
        <v>1923</v>
      </c>
    </row>
    <row r="1155" spans="1:6" x14ac:dyDescent="0.3">
      <c r="A1155">
        <v>1154</v>
      </c>
      <c r="B1155" t="s">
        <v>587</v>
      </c>
      <c r="C1155" t="s">
        <v>7</v>
      </c>
      <c r="D1155" t="s">
        <v>37</v>
      </c>
      <c r="E1155" t="s">
        <v>820</v>
      </c>
      <c r="F1155" t="s">
        <v>1924</v>
      </c>
    </row>
    <row r="1156" spans="1:6" x14ac:dyDescent="0.3">
      <c r="A1156">
        <v>1155</v>
      </c>
      <c r="B1156" t="s">
        <v>416</v>
      </c>
      <c r="C1156" t="s">
        <v>26</v>
      </c>
      <c r="D1156" t="s">
        <v>22</v>
      </c>
      <c r="E1156" t="s">
        <v>1925</v>
      </c>
      <c r="F1156" t="s">
        <v>1926</v>
      </c>
    </row>
    <row r="1157" spans="1:6" x14ac:dyDescent="0.3">
      <c r="A1157">
        <v>1156</v>
      </c>
      <c r="B1157" t="s">
        <v>744</v>
      </c>
      <c r="C1157" t="s">
        <v>7</v>
      </c>
      <c r="D1157" t="s">
        <v>12</v>
      </c>
      <c r="E1157" t="s">
        <v>1170</v>
      </c>
      <c r="F1157" t="s">
        <v>1927</v>
      </c>
    </row>
    <row r="1158" spans="1:6" x14ac:dyDescent="0.3">
      <c r="A1158">
        <v>1157</v>
      </c>
      <c r="B1158" t="s">
        <v>618</v>
      </c>
      <c r="C1158" t="s">
        <v>26</v>
      </c>
      <c r="D1158" t="s">
        <v>44</v>
      </c>
      <c r="E1158" t="s">
        <v>625</v>
      </c>
      <c r="F1158" t="s">
        <v>1928</v>
      </c>
    </row>
    <row r="1159" spans="1:6" x14ac:dyDescent="0.3">
      <c r="A1159">
        <v>1158</v>
      </c>
      <c r="B1159" t="s">
        <v>1046</v>
      </c>
      <c r="C1159" t="s">
        <v>26</v>
      </c>
      <c r="D1159" t="s">
        <v>8</v>
      </c>
      <c r="E1159" t="s">
        <v>1061</v>
      </c>
      <c r="F1159" t="s">
        <v>1929</v>
      </c>
    </row>
    <row r="1160" spans="1:6" x14ac:dyDescent="0.3">
      <c r="A1160">
        <v>1159</v>
      </c>
      <c r="B1160" t="s">
        <v>389</v>
      </c>
      <c r="C1160" t="s">
        <v>26</v>
      </c>
      <c r="D1160" t="s">
        <v>8</v>
      </c>
      <c r="E1160" t="s">
        <v>1930</v>
      </c>
      <c r="F1160" t="s">
        <v>1931</v>
      </c>
    </row>
    <row r="1161" spans="1:6" x14ac:dyDescent="0.3">
      <c r="A1161">
        <v>1160</v>
      </c>
      <c r="B1161" t="s">
        <v>121</v>
      </c>
      <c r="C1161" t="s">
        <v>7</v>
      </c>
      <c r="D1161" t="s">
        <v>12</v>
      </c>
      <c r="E1161" t="s">
        <v>427</v>
      </c>
      <c r="F1161" t="s">
        <v>1932</v>
      </c>
    </row>
    <row r="1162" spans="1:6" x14ac:dyDescent="0.3">
      <c r="A1162">
        <v>1161</v>
      </c>
      <c r="B1162" t="s">
        <v>130</v>
      </c>
      <c r="C1162" t="s">
        <v>7</v>
      </c>
      <c r="D1162" t="s">
        <v>37</v>
      </c>
      <c r="E1162" t="s">
        <v>1481</v>
      </c>
      <c r="F1162" t="s">
        <v>1933</v>
      </c>
    </row>
    <row r="1163" spans="1:6" x14ac:dyDescent="0.3">
      <c r="A1163">
        <v>1162</v>
      </c>
      <c r="B1163" t="s">
        <v>319</v>
      </c>
      <c r="C1163" t="s">
        <v>26</v>
      </c>
      <c r="D1163" t="s">
        <v>44</v>
      </c>
      <c r="E1163" t="s">
        <v>625</v>
      </c>
      <c r="F1163" t="s">
        <v>1934</v>
      </c>
    </row>
    <row r="1164" spans="1:6" x14ac:dyDescent="0.3">
      <c r="A1164">
        <v>1163</v>
      </c>
      <c r="B1164" t="s">
        <v>474</v>
      </c>
      <c r="C1164" t="s">
        <v>26</v>
      </c>
      <c r="D1164" t="s">
        <v>37</v>
      </c>
      <c r="E1164" t="s">
        <v>831</v>
      </c>
      <c r="F1164" t="s">
        <v>1935</v>
      </c>
    </row>
    <row r="1165" spans="1:6" x14ac:dyDescent="0.3">
      <c r="A1165">
        <v>1164</v>
      </c>
      <c r="B1165" t="s">
        <v>36</v>
      </c>
      <c r="C1165" t="s">
        <v>7</v>
      </c>
      <c r="D1165" t="s">
        <v>8</v>
      </c>
      <c r="E1165" t="s">
        <v>1172</v>
      </c>
      <c r="F1165" t="s">
        <v>1936</v>
      </c>
    </row>
    <row r="1166" spans="1:6" x14ac:dyDescent="0.3">
      <c r="A1166">
        <v>1165</v>
      </c>
      <c r="B1166" t="s">
        <v>25</v>
      </c>
      <c r="C1166" t="s">
        <v>26</v>
      </c>
      <c r="D1166" t="s">
        <v>37</v>
      </c>
      <c r="E1166" t="s">
        <v>308</v>
      </c>
      <c r="F1166" t="s">
        <v>1937</v>
      </c>
    </row>
    <row r="1167" spans="1:6" x14ac:dyDescent="0.3">
      <c r="A1167">
        <v>1166</v>
      </c>
      <c r="B1167" t="s">
        <v>891</v>
      </c>
      <c r="C1167" t="s">
        <v>7</v>
      </c>
      <c r="D1167" t="s">
        <v>37</v>
      </c>
      <c r="E1167" t="s">
        <v>912</v>
      </c>
      <c r="F1167" t="s">
        <v>1938</v>
      </c>
    </row>
    <row r="1168" spans="1:6" x14ac:dyDescent="0.3">
      <c r="A1168">
        <v>1167</v>
      </c>
      <c r="B1168" t="s">
        <v>393</v>
      </c>
      <c r="C1168" t="s">
        <v>7</v>
      </c>
      <c r="D1168" t="s">
        <v>22</v>
      </c>
      <c r="E1168" t="s">
        <v>1107</v>
      </c>
      <c r="F1168" t="s">
        <v>1939</v>
      </c>
    </row>
    <row r="1169" spans="1:6" x14ac:dyDescent="0.3">
      <c r="A1169">
        <v>1168</v>
      </c>
      <c r="B1169" t="s">
        <v>1380</v>
      </c>
      <c r="C1169" t="s">
        <v>7</v>
      </c>
      <c r="D1169" t="s">
        <v>12</v>
      </c>
      <c r="E1169" t="s">
        <v>1183</v>
      </c>
      <c r="F1169" t="s">
        <v>1940</v>
      </c>
    </row>
    <row r="1170" spans="1:6" x14ac:dyDescent="0.3">
      <c r="A1170">
        <v>1169</v>
      </c>
      <c r="B1170" t="s">
        <v>50</v>
      </c>
      <c r="C1170" t="s">
        <v>7</v>
      </c>
      <c r="D1170" t="s">
        <v>37</v>
      </c>
      <c r="E1170" t="s">
        <v>654</v>
      </c>
      <c r="F1170" t="s">
        <v>1941</v>
      </c>
    </row>
    <row r="1171" spans="1:6" x14ac:dyDescent="0.3">
      <c r="A1171">
        <v>1170</v>
      </c>
      <c r="B1171" t="s">
        <v>533</v>
      </c>
      <c r="C1171" t="s">
        <v>26</v>
      </c>
      <c r="D1171" t="s">
        <v>72</v>
      </c>
      <c r="E1171" t="s">
        <v>1662</v>
      </c>
      <c r="F1171" t="s">
        <v>1942</v>
      </c>
    </row>
    <row r="1172" spans="1:6" x14ac:dyDescent="0.3">
      <c r="A1172">
        <v>1171</v>
      </c>
      <c r="B1172" t="s">
        <v>661</v>
      </c>
      <c r="C1172" t="s">
        <v>7</v>
      </c>
      <c r="D1172" t="s">
        <v>37</v>
      </c>
      <c r="E1172" t="s">
        <v>1943</v>
      </c>
      <c r="F1172" t="s">
        <v>1944</v>
      </c>
    </row>
    <row r="1173" spans="1:6" x14ac:dyDescent="0.3">
      <c r="A1173">
        <v>1172</v>
      </c>
      <c r="B1173" t="s">
        <v>36</v>
      </c>
      <c r="C1173" t="s">
        <v>7</v>
      </c>
      <c r="D1173" t="s">
        <v>8</v>
      </c>
      <c r="E1173" t="s">
        <v>491</v>
      </c>
      <c r="F1173" t="s">
        <v>1945</v>
      </c>
    </row>
    <row r="1174" spans="1:6" x14ac:dyDescent="0.3">
      <c r="A1174">
        <v>1173</v>
      </c>
      <c r="B1174" t="s">
        <v>121</v>
      </c>
      <c r="C1174" t="s">
        <v>7</v>
      </c>
      <c r="D1174" t="s">
        <v>72</v>
      </c>
      <c r="E1174" t="s">
        <v>234</v>
      </c>
      <c r="F1174" t="s">
        <v>1946</v>
      </c>
    </row>
    <row r="1175" spans="1:6" x14ac:dyDescent="0.3">
      <c r="A1175">
        <v>1174</v>
      </c>
      <c r="B1175" t="s">
        <v>393</v>
      </c>
      <c r="C1175" t="s">
        <v>7</v>
      </c>
      <c r="D1175" t="s">
        <v>8</v>
      </c>
      <c r="E1175" t="s">
        <v>1250</v>
      </c>
      <c r="F1175" t="s">
        <v>1947</v>
      </c>
    </row>
    <row r="1176" spans="1:6" x14ac:dyDescent="0.3">
      <c r="A1176">
        <v>1175</v>
      </c>
      <c r="B1176" t="s">
        <v>95</v>
      </c>
      <c r="C1176" t="s">
        <v>7</v>
      </c>
      <c r="D1176" t="s">
        <v>27</v>
      </c>
      <c r="E1176" t="s">
        <v>865</v>
      </c>
      <c r="F1176" t="s">
        <v>1948</v>
      </c>
    </row>
    <row r="1177" spans="1:6" x14ac:dyDescent="0.3">
      <c r="A1177">
        <v>1176</v>
      </c>
      <c r="B1177" t="s">
        <v>393</v>
      </c>
      <c r="C1177" t="s">
        <v>7</v>
      </c>
      <c r="D1177" t="s">
        <v>12</v>
      </c>
      <c r="E1177" t="s">
        <v>1160</v>
      </c>
      <c r="F1177" t="s">
        <v>1949</v>
      </c>
    </row>
    <row r="1178" spans="1:6" x14ac:dyDescent="0.3">
      <c r="A1178">
        <v>1177</v>
      </c>
      <c r="B1178" t="s">
        <v>396</v>
      </c>
      <c r="C1178" t="s">
        <v>26</v>
      </c>
      <c r="D1178" t="s">
        <v>37</v>
      </c>
      <c r="E1178" t="s">
        <v>748</v>
      </c>
      <c r="F1178" t="s">
        <v>1950</v>
      </c>
    </row>
    <row r="1179" spans="1:6" x14ac:dyDescent="0.3">
      <c r="A1179">
        <v>1178</v>
      </c>
      <c r="B1179" t="s">
        <v>455</v>
      </c>
      <c r="C1179" t="s">
        <v>26</v>
      </c>
      <c r="D1179" t="s">
        <v>12</v>
      </c>
      <c r="E1179" t="s">
        <v>96</v>
      </c>
      <c r="F1179" t="s">
        <v>1951</v>
      </c>
    </row>
    <row r="1180" spans="1:6" x14ac:dyDescent="0.3">
      <c r="A1180">
        <v>1179</v>
      </c>
      <c r="B1180" t="s">
        <v>18</v>
      </c>
      <c r="C1180" t="s">
        <v>7</v>
      </c>
      <c r="D1180" t="s">
        <v>22</v>
      </c>
      <c r="E1180" t="s">
        <v>1952</v>
      </c>
      <c r="F1180" t="s">
        <v>1953</v>
      </c>
    </row>
    <row r="1181" spans="1:6" x14ac:dyDescent="0.3">
      <c r="A1181">
        <v>1180</v>
      </c>
      <c r="B1181" t="s">
        <v>533</v>
      </c>
      <c r="C1181" t="s">
        <v>26</v>
      </c>
      <c r="D1181" t="s">
        <v>37</v>
      </c>
      <c r="E1181" t="s">
        <v>432</v>
      </c>
      <c r="F1181" t="s">
        <v>1954</v>
      </c>
    </row>
    <row r="1182" spans="1:6" x14ac:dyDescent="0.3">
      <c r="A1182">
        <v>1181</v>
      </c>
      <c r="B1182" t="s">
        <v>130</v>
      </c>
      <c r="C1182" t="s">
        <v>7</v>
      </c>
      <c r="D1182" t="s">
        <v>12</v>
      </c>
      <c r="E1182" t="s">
        <v>460</v>
      </c>
      <c r="F1182" t="s">
        <v>1955</v>
      </c>
    </row>
    <row r="1183" spans="1:6" x14ac:dyDescent="0.3">
      <c r="A1183">
        <v>1182</v>
      </c>
      <c r="B1183" t="s">
        <v>21</v>
      </c>
      <c r="C1183" t="s">
        <v>7</v>
      </c>
      <c r="D1183" t="s">
        <v>27</v>
      </c>
      <c r="E1183" t="s">
        <v>1411</v>
      </c>
      <c r="F1183" t="s">
        <v>1956</v>
      </c>
    </row>
    <row r="1184" spans="1:6" x14ac:dyDescent="0.3">
      <c r="A1184">
        <v>1183</v>
      </c>
      <c r="B1184" t="s">
        <v>950</v>
      </c>
      <c r="C1184" t="s">
        <v>7</v>
      </c>
      <c r="D1184" t="s">
        <v>8</v>
      </c>
      <c r="E1184" t="s">
        <v>614</v>
      </c>
      <c r="F1184" t="s">
        <v>1957</v>
      </c>
    </row>
    <row r="1185" spans="1:6" x14ac:dyDescent="0.3">
      <c r="A1185">
        <v>1184</v>
      </c>
      <c r="B1185" t="s">
        <v>53</v>
      </c>
      <c r="C1185" t="s">
        <v>26</v>
      </c>
      <c r="D1185" t="s">
        <v>72</v>
      </c>
      <c r="E1185" t="s">
        <v>1958</v>
      </c>
      <c r="F1185" t="s">
        <v>1959</v>
      </c>
    </row>
    <row r="1186" spans="1:6" x14ac:dyDescent="0.3">
      <c r="A1186">
        <v>1185</v>
      </c>
      <c r="B1186" t="s">
        <v>596</v>
      </c>
      <c r="C1186" t="s">
        <v>26</v>
      </c>
      <c r="D1186" t="s">
        <v>22</v>
      </c>
      <c r="E1186" t="s">
        <v>1960</v>
      </c>
      <c r="F1186" t="s">
        <v>1961</v>
      </c>
    </row>
    <row r="1187" spans="1:6" x14ac:dyDescent="0.3">
      <c r="A1187">
        <v>1186</v>
      </c>
      <c r="B1187" t="s">
        <v>59</v>
      </c>
      <c r="C1187" t="s">
        <v>26</v>
      </c>
      <c r="D1187" t="s">
        <v>27</v>
      </c>
      <c r="E1187" t="s">
        <v>1350</v>
      </c>
      <c r="F1187" t="s">
        <v>1962</v>
      </c>
    </row>
    <row r="1188" spans="1:6" x14ac:dyDescent="0.3">
      <c r="A1188">
        <v>1187</v>
      </c>
      <c r="B1188" t="s">
        <v>25</v>
      </c>
      <c r="C1188" t="s">
        <v>26</v>
      </c>
      <c r="D1188" t="s">
        <v>22</v>
      </c>
      <c r="E1188" t="s">
        <v>303</v>
      </c>
      <c r="F1188" t="s">
        <v>1963</v>
      </c>
    </row>
    <row r="1189" spans="1:6" x14ac:dyDescent="0.3">
      <c r="A1189">
        <v>1188</v>
      </c>
      <c r="B1189" t="s">
        <v>103</v>
      </c>
      <c r="C1189" t="s">
        <v>7</v>
      </c>
      <c r="D1189" t="s">
        <v>44</v>
      </c>
      <c r="E1189" t="s">
        <v>651</v>
      </c>
      <c r="F1189" t="s">
        <v>1964</v>
      </c>
    </row>
    <row r="1190" spans="1:6" x14ac:dyDescent="0.3">
      <c r="A1190">
        <v>1189</v>
      </c>
      <c r="B1190" t="s">
        <v>21</v>
      </c>
      <c r="C1190" t="s">
        <v>7</v>
      </c>
      <c r="D1190" t="s">
        <v>12</v>
      </c>
      <c r="E1190" t="s">
        <v>691</v>
      </c>
      <c r="F1190" t="s">
        <v>1965</v>
      </c>
    </row>
    <row r="1191" spans="1:6" x14ac:dyDescent="0.3">
      <c r="A1191">
        <v>1190</v>
      </c>
      <c r="B1191" t="s">
        <v>596</v>
      </c>
      <c r="C1191" t="s">
        <v>26</v>
      </c>
      <c r="D1191" t="s">
        <v>37</v>
      </c>
      <c r="E1191" t="s">
        <v>697</v>
      </c>
      <c r="F1191" t="s">
        <v>1966</v>
      </c>
    </row>
    <row r="1192" spans="1:6" x14ac:dyDescent="0.3">
      <c r="A1192">
        <v>1191</v>
      </c>
      <c r="B1192" t="s">
        <v>124</v>
      </c>
      <c r="C1192" t="s">
        <v>26</v>
      </c>
      <c r="D1192" t="s">
        <v>22</v>
      </c>
      <c r="E1192" t="s">
        <v>301</v>
      </c>
      <c r="F1192" t="s">
        <v>1967</v>
      </c>
    </row>
    <row r="1193" spans="1:6" x14ac:dyDescent="0.3">
      <c r="A1193">
        <v>1192</v>
      </c>
      <c r="B1193" t="s">
        <v>479</v>
      </c>
      <c r="C1193" t="s">
        <v>26</v>
      </c>
      <c r="D1193" t="s">
        <v>72</v>
      </c>
      <c r="E1193" t="s">
        <v>1371</v>
      </c>
      <c r="F1193" t="s">
        <v>1968</v>
      </c>
    </row>
    <row r="1194" spans="1:6" x14ac:dyDescent="0.3">
      <c r="A1194">
        <v>1193</v>
      </c>
      <c r="B1194" t="s">
        <v>371</v>
      </c>
      <c r="C1194" t="s">
        <v>7</v>
      </c>
      <c r="D1194" t="s">
        <v>27</v>
      </c>
      <c r="E1194" t="s">
        <v>996</v>
      </c>
      <c r="F1194" t="s">
        <v>1969</v>
      </c>
    </row>
    <row r="1195" spans="1:6" x14ac:dyDescent="0.3">
      <c r="A1195">
        <v>1194</v>
      </c>
      <c r="B1195" t="s">
        <v>751</v>
      </c>
      <c r="C1195" t="s">
        <v>26</v>
      </c>
      <c r="D1195" t="s">
        <v>37</v>
      </c>
      <c r="E1195" t="s">
        <v>1155</v>
      </c>
      <c r="F1195" t="s">
        <v>1970</v>
      </c>
    </row>
    <row r="1196" spans="1:6" x14ac:dyDescent="0.3">
      <c r="A1196">
        <v>1195</v>
      </c>
      <c r="B1196" t="s">
        <v>177</v>
      </c>
      <c r="C1196" t="s">
        <v>26</v>
      </c>
      <c r="D1196" t="s">
        <v>27</v>
      </c>
      <c r="E1196" t="s">
        <v>880</v>
      </c>
      <c r="F1196" t="s">
        <v>1971</v>
      </c>
    </row>
    <row r="1197" spans="1:6" x14ac:dyDescent="0.3">
      <c r="A1197">
        <v>1196</v>
      </c>
      <c r="B1197" t="s">
        <v>368</v>
      </c>
      <c r="C1197" t="s">
        <v>26</v>
      </c>
      <c r="D1197" t="s">
        <v>12</v>
      </c>
      <c r="E1197" t="s">
        <v>145</v>
      </c>
      <c r="F1197" t="s">
        <v>1972</v>
      </c>
    </row>
    <row r="1198" spans="1:6" x14ac:dyDescent="0.3">
      <c r="A1198">
        <v>1197</v>
      </c>
      <c r="B1198" t="s">
        <v>98</v>
      </c>
      <c r="C1198" t="s">
        <v>26</v>
      </c>
      <c r="D1198" t="s">
        <v>72</v>
      </c>
      <c r="E1198" t="s">
        <v>363</v>
      </c>
      <c r="F1198" t="s">
        <v>1973</v>
      </c>
    </row>
    <row r="1199" spans="1:6" x14ac:dyDescent="0.3">
      <c r="A1199">
        <v>1198</v>
      </c>
      <c r="B1199" t="s">
        <v>455</v>
      </c>
      <c r="C1199" t="s">
        <v>26</v>
      </c>
      <c r="D1199" t="s">
        <v>12</v>
      </c>
      <c r="E1199" t="s">
        <v>858</v>
      </c>
      <c r="F1199" t="s">
        <v>1974</v>
      </c>
    </row>
    <row r="1200" spans="1:6" x14ac:dyDescent="0.3">
      <c r="A1200">
        <v>1199</v>
      </c>
      <c r="B1200" t="s">
        <v>289</v>
      </c>
      <c r="C1200" t="s">
        <v>26</v>
      </c>
      <c r="D1200" t="s">
        <v>37</v>
      </c>
      <c r="E1200" t="s">
        <v>1484</v>
      </c>
      <c r="F1200" t="s">
        <v>1975</v>
      </c>
    </row>
    <row r="1201" spans="1:6" x14ac:dyDescent="0.3">
      <c r="A1201">
        <v>1200</v>
      </c>
      <c r="B1201" t="s">
        <v>590</v>
      </c>
      <c r="C1201" t="s">
        <v>7</v>
      </c>
      <c r="D1201" t="s">
        <v>72</v>
      </c>
      <c r="E1201" t="s">
        <v>1976</v>
      </c>
      <c r="F1201" t="s">
        <v>1977</v>
      </c>
    </row>
  </sheetData>
  <autoFilter ref="A1:F1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>
      <selection activeCell="B8" sqref="B8"/>
    </sheetView>
  </sheetViews>
  <sheetFormatPr defaultRowHeight="14.4" x14ac:dyDescent="0.3"/>
  <cols>
    <col min="1" max="1" width="9.109375" bestFit="1" customWidth="1"/>
    <col min="2" max="2" width="17.5546875" bestFit="1" customWidth="1"/>
    <col min="3" max="3" width="9.88671875" bestFit="1" customWidth="1"/>
    <col min="4" max="4" width="8" bestFit="1" customWidth="1"/>
  </cols>
  <sheetData>
    <row r="1" spans="1:4" x14ac:dyDescent="0.3">
      <c r="A1" t="s">
        <v>1978</v>
      </c>
      <c r="B1" t="s">
        <v>1979</v>
      </c>
      <c r="C1" t="s">
        <v>1980</v>
      </c>
      <c r="D1" t="s">
        <v>1981</v>
      </c>
    </row>
    <row r="2" spans="1:4" x14ac:dyDescent="0.3">
      <c r="A2">
        <v>1</v>
      </c>
      <c r="B2" t="s">
        <v>1982</v>
      </c>
      <c r="C2" t="s">
        <v>1983</v>
      </c>
      <c r="D2">
        <v>469.08</v>
      </c>
    </row>
    <row r="3" spans="1:4" x14ac:dyDescent="0.3">
      <c r="A3">
        <v>2</v>
      </c>
      <c r="B3" t="s">
        <v>1984</v>
      </c>
      <c r="C3" t="s">
        <v>1985</v>
      </c>
      <c r="D3">
        <v>427.27</v>
      </c>
    </row>
    <row r="4" spans="1:4" x14ac:dyDescent="0.3">
      <c r="A4">
        <v>3</v>
      </c>
      <c r="B4" t="s">
        <v>1986</v>
      </c>
      <c r="C4" t="s">
        <v>1983</v>
      </c>
      <c r="D4">
        <v>506.08</v>
      </c>
    </row>
    <row r="5" spans="1:4" x14ac:dyDescent="0.3">
      <c r="A5">
        <v>4</v>
      </c>
      <c r="B5" t="s">
        <v>1987</v>
      </c>
      <c r="C5" t="s">
        <v>1988</v>
      </c>
      <c r="D5">
        <v>800.26</v>
      </c>
    </row>
    <row r="6" spans="1:4" x14ac:dyDescent="0.3">
      <c r="A6">
        <v>5</v>
      </c>
      <c r="B6" t="s">
        <v>1989</v>
      </c>
      <c r="C6" t="s">
        <v>1983</v>
      </c>
      <c r="D6">
        <v>296.85000000000002</v>
      </c>
    </row>
    <row r="7" spans="1:4" x14ac:dyDescent="0.3">
      <c r="A7">
        <v>6</v>
      </c>
      <c r="B7" t="s">
        <v>1990</v>
      </c>
      <c r="C7" t="s">
        <v>1983</v>
      </c>
      <c r="D7">
        <v>719.19</v>
      </c>
    </row>
    <row r="8" spans="1:4" x14ac:dyDescent="0.3">
      <c r="A8">
        <v>7</v>
      </c>
      <c r="B8" t="s">
        <v>1991</v>
      </c>
      <c r="C8" t="s">
        <v>1992</v>
      </c>
      <c r="D8">
        <v>97.29</v>
      </c>
    </row>
    <row r="9" spans="1:4" x14ac:dyDescent="0.3">
      <c r="A9">
        <v>8</v>
      </c>
      <c r="B9" t="s">
        <v>1990</v>
      </c>
      <c r="C9" t="s">
        <v>1983</v>
      </c>
      <c r="D9">
        <v>155.08000000000001</v>
      </c>
    </row>
    <row r="10" spans="1:4" x14ac:dyDescent="0.3">
      <c r="A10">
        <v>9</v>
      </c>
      <c r="B10" t="s">
        <v>1993</v>
      </c>
      <c r="C10" t="s">
        <v>1988</v>
      </c>
      <c r="D10">
        <v>43.26</v>
      </c>
    </row>
    <row r="11" spans="1:4" x14ac:dyDescent="0.3">
      <c r="A11">
        <v>10</v>
      </c>
      <c r="B11" t="s">
        <v>1982</v>
      </c>
      <c r="C11" t="s">
        <v>1983</v>
      </c>
      <c r="D11">
        <v>64.11</v>
      </c>
    </row>
    <row r="12" spans="1:4" x14ac:dyDescent="0.3">
      <c r="A12">
        <v>11</v>
      </c>
      <c r="B12" t="s">
        <v>1994</v>
      </c>
      <c r="C12" t="s">
        <v>1992</v>
      </c>
      <c r="D12">
        <v>1038.77</v>
      </c>
    </row>
    <row r="13" spans="1:4" x14ac:dyDescent="0.3">
      <c r="A13">
        <v>12</v>
      </c>
      <c r="B13" t="s">
        <v>1995</v>
      </c>
      <c r="C13" t="s">
        <v>1992</v>
      </c>
      <c r="D13">
        <v>627.41999999999996</v>
      </c>
    </row>
    <row r="14" spans="1:4" x14ac:dyDescent="0.3">
      <c r="A14">
        <v>13</v>
      </c>
      <c r="B14" t="s">
        <v>1984</v>
      </c>
      <c r="C14" t="s">
        <v>1985</v>
      </c>
      <c r="D14">
        <v>334.61</v>
      </c>
    </row>
    <row r="15" spans="1:4" x14ac:dyDescent="0.3">
      <c r="A15">
        <v>14</v>
      </c>
      <c r="B15" t="s">
        <v>1991</v>
      </c>
      <c r="C15" t="s">
        <v>1992</v>
      </c>
      <c r="D15">
        <v>574.25</v>
      </c>
    </row>
    <row r="16" spans="1:4" x14ac:dyDescent="0.3">
      <c r="A16">
        <v>15</v>
      </c>
      <c r="B16" t="s">
        <v>1996</v>
      </c>
      <c r="C16" t="s">
        <v>1988</v>
      </c>
      <c r="D16">
        <v>1183.2</v>
      </c>
    </row>
    <row r="17" spans="1:4" x14ac:dyDescent="0.3">
      <c r="A17">
        <v>16</v>
      </c>
      <c r="B17" t="s">
        <v>1997</v>
      </c>
      <c r="C17" t="s">
        <v>1985</v>
      </c>
      <c r="D17">
        <v>693.02</v>
      </c>
    </row>
    <row r="18" spans="1:4" x14ac:dyDescent="0.3">
      <c r="A18">
        <v>17</v>
      </c>
      <c r="B18" t="s">
        <v>1982</v>
      </c>
      <c r="C18" t="s">
        <v>1983</v>
      </c>
      <c r="D18">
        <v>695.6</v>
      </c>
    </row>
    <row r="19" spans="1:4" x14ac:dyDescent="0.3">
      <c r="A19">
        <v>18</v>
      </c>
      <c r="B19" t="s">
        <v>1998</v>
      </c>
      <c r="C19" t="s">
        <v>1985</v>
      </c>
      <c r="D19">
        <v>138.07</v>
      </c>
    </row>
    <row r="20" spans="1:4" x14ac:dyDescent="0.3">
      <c r="A20">
        <v>19</v>
      </c>
      <c r="B20" t="s">
        <v>1994</v>
      </c>
      <c r="C20" t="s">
        <v>1992</v>
      </c>
      <c r="D20">
        <v>262.97000000000003</v>
      </c>
    </row>
    <row r="21" spans="1:4" x14ac:dyDescent="0.3">
      <c r="A21">
        <v>20</v>
      </c>
      <c r="B21" t="s">
        <v>1998</v>
      </c>
      <c r="C21" t="s">
        <v>1985</v>
      </c>
      <c r="D21">
        <v>613.27</v>
      </c>
    </row>
    <row r="22" spans="1:4" x14ac:dyDescent="0.3">
      <c r="A22">
        <v>21</v>
      </c>
      <c r="B22" t="s">
        <v>1994</v>
      </c>
      <c r="C22" t="s">
        <v>1992</v>
      </c>
      <c r="D22">
        <v>420.66</v>
      </c>
    </row>
    <row r="23" spans="1:4" x14ac:dyDescent="0.3">
      <c r="A23">
        <v>22</v>
      </c>
      <c r="B23" t="s">
        <v>1999</v>
      </c>
      <c r="C23" t="s">
        <v>1992</v>
      </c>
      <c r="D23">
        <v>373.43</v>
      </c>
    </row>
    <row r="24" spans="1:4" x14ac:dyDescent="0.3">
      <c r="A24">
        <v>23</v>
      </c>
      <c r="B24" t="s">
        <v>1984</v>
      </c>
      <c r="C24" t="s">
        <v>1985</v>
      </c>
      <c r="D24">
        <v>258.08</v>
      </c>
    </row>
    <row r="25" spans="1:4" x14ac:dyDescent="0.3">
      <c r="A25">
        <v>24</v>
      </c>
      <c r="B25" t="s">
        <v>2000</v>
      </c>
      <c r="C25" t="s">
        <v>1992</v>
      </c>
      <c r="D25">
        <v>1019.85</v>
      </c>
    </row>
    <row r="26" spans="1:4" x14ac:dyDescent="0.3">
      <c r="A26">
        <v>25</v>
      </c>
      <c r="B26" t="s">
        <v>2001</v>
      </c>
      <c r="C26" t="s">
        <v>1988</v>
      </c>
      <c r="D26">
        <v>1011.65</v>
      </c>
    </row>
    <row r="27" spans="1:4" x14ac:dyDescent="0.3">
      <c r="A27">
        <v>26</v>
      </c>
      <c r="B27" t="s">
        <v>2002</v>
      </c>
      <c r="C27" t="s">
        <v>1985</v>
      </c>
      <c r="D27">
        <v>272.61</v>
      </c>
    </row>
    <row r="28" spans="1:4" x14ac:dyDescent="0.3">
      <c r="A28">
        <v>27</v>
      </c>
      <c r="B28" t="s">
        <v>2003</v>
      </c>
      <c r="C28" t="s">
        <v>1983</v>
      </c>
      <c r="D28">
        <v>76.09</v>
      </c>
    </row>
    <row r="29" spans="1:4" x14ac:dyDescent="0.3">
      <c r="A29">
        <v>28</v>
      </c>
      <c r="B29" t="s">
        <v>1995</v>
      </c>
      <c r="C29" t="s">
        <v>1992</v>
      </c>
      <c r="D29">
        <v>494.39</v>
      </c>
    </row>
    <row r="30" spans="1:4" x14ac:dyDescent="0.3">
      <c r="A30">
        <v>29</v>
      </c>
      <c r="B30" t="s">
        <v>1989</v>
      </c>
      <c r="C30" t="s">
        <v>1983</v>
      </c>
      <c r="D30">
        <v>757</v>
      </c>
    </row>
    <row r="31" spans="1:4" x14ac:dyDescent="0.3">
      <c r="A31">
        <v>30</v>
      </c>
      <c r="B31" t="s">
        <v>2001</v>
      </c>
      <c r="C31" t="s">
        <v>1988</v>
      </c>
      <c r="D31">
        <v>866.89</v>
      </c>
    </row>
    <row r="32" spans="1:4" x14ac:dyDescent="0.3">
      <c r="A32">
        <v>31</v>
      </c>
      <c r="B32" t="s">
        <v>1995</v>
      </c>
      <c r="C32" t="s">
        <v>1992</v>
      </c>
      <c r="D32">
        <v>131.79</v>
      </c>
    </row>
    <row r="33" spans="1:4" x14ac:dyDescent="0.3">
      <c r="A33">
        <v>32</v>
      </c>
      <c r="B33" t="s">
        <v>1982</v>
      </c>
      <c r="C33" t="s">
        <v>1983</v>
      </c>
      <c r="D33">
        <v>342.57</v>
      </c>
    </row>
    <row r="34" spans="1:4" x14ac:dyDescent="0.3">
      <c r="A34">
        <v>33</v>
      </c>
      <c r="B34" t="s">
        <v>1995</v>
      </c>
      <c r="C34" t="s">
        <v>1992</v>
      </c>
      <c r="D34">
        <v>965.4</v>
      </c>
    </row>
    <row r="35" spans="1:4" x14ac:dyDescent="0.3">
      <c r="A35">
        <v>34</v>
      </c>
      <c r="B35" t="s">
        <v>1998</v>
      </c>
      <c r="C35" t="s">
        <v>1985</v>
      </c>
      <c r="D35">
        <v>523.98</v>
      </c>
    </row>
    <row r="36" spans="1:4" x14ac:dyDescent="0.3">
      <c r="A36">
        <v>35</v>
      </c>
      <c r="B36" t="s">
        <v>1986</v>
      </c>
      <c r="C36" t="s">
        <v>1983</v>
      </c>
      <c r="D36">
        <v>958.87</v>
      </c>
    </row>
    <row r="37" spans="1:4" x14ac:dyDescent="0.3">
      <c r="A37">
        <v>36</v>
      </c>
      <c r="B37" t="s">
        <v>2000</v>
      </c>
      <c r="C37" t="s">
        <v>1992</v>
      </c>
      <c r="D37">
        <v>992.01</v>
      </c>
    </row>
    <row r="38" spans="1:4" x14ac:dyDescent="0.3">
      <c r="A38">
        <v>37</v>
      </c>
      <c r="B38" t="s">
        <v>2004</v>
      </c>
      <c r="C38" t="s">
        <v>1985</v>
      </c>
      <c r="D38">
        <v>968.87</v>
      </c>
    </row>
    <row r="39" spans="1:4" x14ac:dyDescent="0.3">
      <c r="A39">
        <v>38</v>
      </c>
      <c r="B39" t="s">
        <v>1984</v>
      </c>
      <c r="C39" t="s">
        <v>1985</v>
      </c>
      <c r="D39">
        <v>802.88</v>
      </c>
    </row>
    <row r="40" spans="1:4" x14ac:dyDescent="0.3">
      <c r="A40">
        <v>39</v>
      </c>
      <c r="B40" t="s">
        <v>1982</v>
      </c>
      <c r="C40" t="s">
        <v>1983</v>
      </c>
      <c r="D40">
        <v>256.08999999999997</v>
      </c>
    </row>
    <row r="41" spans="1:4" x14ac:dyDescent="0.3">
      <c r="A41">
        <v>40</v>
      </c>
      <c r="B41" t="s">
        <v>1997</v>
      </c>
      <c r="C41" t="s">
        <v>1985</v>
      </c>
      <c r="D41">
        <v>316.49</v>
      </c>
    </row>
    <row r="42" spans="1:4" x14ac:dyDescent="0.3">
      <c r="A42">
        <v>41</v>
      </c>
      <c r="B42" t="s">
        <v>2004</v>
      </c>
      <c r="C42" t="s">
        <v>1985</v>
      </c>
      <c r="D42">
        <v>554.80999999999995</v>
      </c>
    </row>
    <row r="43" spans="1:4" x14ac:dyDescent="0.3">
      <c r="A43">
        <v>42</v>
      </c>
      <c r="B43" t="s">
        <v>2002</v>
      </c>
      <c r="C43" t="s">
        <v>1985</v>
      </c>
      <c r="D43">
        <v>233.11</v>
      </c>
    </row>
    <row r="44" spans="1:4" x14ac:dyDescent="0.3">
      <c r="A44">
        <v>43</v>
      </c>
      <c r="B44" t="s">
        <v>1996</v>
      </c>
      <c r="C44" t="s">
        <v>1988</v>
      </c>
      <c r="D44">
        <v>760.86</v>
      </c>
    </row>
    <row r="45" spans="1:4" x14ac:dyDescent="0.3">
      <c r="A45">
        <v>44</v>
      </c>
      <c r="B45" t="s">
        <v>2004</v>
      </c>
      <c r="C45" t="s">
        <v>1985</v>
      </c>
      <c r="D45">
        <v>1038</v>
      </c>
    </row>
    <row r="46" spans="1:4" x14ac:dyDescent="0.3">
      <c r="A46">
        <v>45</v>
      </c>
      <c r="B46" t="s">
        <v>1995</v>
      </c>
      <c r="C46" t="s">
        <v>1992</v>
      </c>
      <c r="D46">
        <v>609.05999999999995</v>
      </c>
    </row>
    <row r="47" spans="1:4" x14ac:dyDescent="0.3">
      <c r="A47">
        <v>46</v>
      </c>
      <c r="B47" t="s">
        <v>1994</v>
      </c>
      <c r="C47" t="s">
        <v>1992</v>
      </c>
      <c r="D47">
        <v>1155.3</v>
      </c>
    </row>
    <row r="48" spans="1:4" x14ac:dyDescent="0.3">
      <c r="A48">
        <v>47</v>
      </c>
      <c r="B48" t="s">
        <v>2005</v>
      </c>
      <c r="C48" t="s">
        <v>1992</v>
      </c>
      <c r="D48">
        <v>1126.96</v>
      </c>
    </row>
    <row r="49" spans="1:4" x14ac:dyDescent="0.3">
      <c r="A49">
        <v>48</v>
      </c>
      <c r="B49" t="s">
        <v>2003</v>
      </c>
      <c r="C49" t="s">
        <v>1983</v>
      </c>
      <c r="D49">
        <v>1125.8499999999999</v>
      </c>
    </row>
    <row r="50" spans="1:4" x14ac:dyDescent="0.3">
      <c r="A50">
        <v>49</v>
      </c>
      <c r="B50" t="s">
        <v>2002</v>
      </c>
      <c r="C50" t="s">
        <v>1985</v>
      </c>
      <c r="D50">
        <v>974.54</v>
      </c>
    </row>
    <row r="51" spans="1:4" x14ac:dyDescent="0.3">
      <c r="A51">
        <v>50</v>
      </c>
      <c r="B51" t="s">
        <v>1984</v>
      </c>
      <c r="C51" t="s">
        <v>1985</v>
      </c>
      <c r="D51">
        <v>1122.8699999999999</v>
      </c>
    </row>
    <row r="52" spans="1:4" x14ac:dyDescent="0.3">
      <c r="A52">
        <v>51</v>
      </c>
      <c r="B52" t="s">
        <v>2005</v>
      </c>
      <c r="C52" t="s">
        <v>1992</v>
      </c>
      <c r="D52">
        <v>759.57</v>
      </c>
    </row>
    <row r="53" spans="1:4" x14ac:dyDescent="0.3">
      <c r="A53">
        <v>52</v>
      </c>
      <c r="B53" t="s">
        <v>2004</v>
      </c>
      <c r="C53" t="s">
        <v>1985</v>
      </c>
      <c r="D53">
        <v>256.76</v>
      </c>
    </row>
    <row r="54" spans="1:4" x14ac:dyDescent="0.3">
      <c r="A54">
        <v>53</v>
      </c>
      <c r="B54" t="s">
        <v>2006</v>
      </c>
      <c r="C54" t="s">
        <v>1985</v>
      </c>
      <c r="D54">
        <v>194.34</v>
      </c>
    </row>
    <row r="55" spans="1:4" x14ac:dyDescent="0.3">
      <c r="A55">
        <v>54</v>
      </c>
      <c r="B55" t="s">
        <v>2007</v>
      </c>
      <c r="C55" t="s">
        <v>1988</v>
      </c>
      <c r="D55">
        <v>900.79</v>
      </c>
    </row>
    <row r="56" spans="1:4" x14ac:dyDescent="0.3">
      <c r="A56">
        <v>55</v>
      </c>
      <c r="B56" t="s">
        <v>1990</v>
      </c>
      <c r="C56" t="s">
        <v>1983</v>
      </c>
      <c r="D56">
        <v>1016.06</v>
      </c>
    </row>
    <row r="57" spans="1:4" x14ac:dyDescent="0.3">
      <c r="A57">
        <v>56</v>
      </c>
      <c r="B57" t="s">
        <v>1984</v>
      </c>
      <c r="C57" t="s">
        <v>1985</v>
      </c>
      <c r="D57">
        <v>396.01</v>
      </c>
    </row>
    <row r="58" spans="1:4" x14ac:dyDescent="0.3">
      <c r="A58">
        <v>57</v>
      </c>
      <c r="B58" t="s">
        <v>2001</v>
      </c>
      <c r="C58" t="s">
        <v>1988</v>
      </c>
      <c r="D58">
        <v>768.03</v>
      </c>
    </row>
    <row r="59" spans="1:4" x14ac:dyDescent="0.3">
      <c r="A59">
        <v>58</v>
      </c>
      <c r="B59" t="s">
        <v>1984</v>
      </c>
      <c r="C59" t="s">
        <v>1985</v>
      </c>
      <c r="D59">
        <v>334.98</v>
      </c>
    </row>
    <row r="60" spans="1:4" x14ac:dyDescent="0.3">
      <c r="A60">
        <v>59</v>
      </c>
      <c r="B60" t="s">
        <v>1990</v>
      </c>
      <c r="C60" t="s">
        <v>1983</v>
      </c>
      <c r="D60">
        <v>782.33</v>
      </c>
    </row>
    <row r="61" spans="1:4" x14ac:dyDescent="0.3">
      <c r="A61">
        <v>60</v>
      </c>
      <c r="B61" t="s">
        <v>2003</v>
      </c>
      <c r="C61" t="s">
        <v>1983</v>
      </c>
      <c r="D61">
        <v>830.49</v>
      </c>
    </row>
    <row r="62" spans="1:4" x14ac:dyDescent="0.3">
      <c r="A62">
        <v>61</v>
      </c>
      <c r="B62" t="s">
        <v>1989</v>
      </c>
      <c r="C62" t="s">
        <v>1983</v>
      </c>
      <c r="D62">
        <v>498.92</v>
      </c>
    </row>
    <row r="63" spans="1:4" x14ac:dyDescent="0.3">
      <c r="A63">
        <v>62</v>
      </c>
      <c r="B63" t="s">
        <v>2008</v>
      </c>
      <c r="C63" t="s">
        <v>1988</v>
      </c>
      <c r="D63">
        <v>196.96</v>
      </c>
    </row>
    <row r="64" spans="1:4" x14ac:dyDescent="0.3">
      <c r="A64">
        <v>63</v>
      </c>
      <c r="B64" t="s">
        <v>1996</v>
      </c>
      <c r="C64" t="s">
        <v>1988</v>
      </c>
      <c r="D64">
        <v>309.79000000000002</v>
      </c>
    </row>
    <row r="65" spans="1:4" x14ac:dyDescent="0.3">
      <c r="A65">
        <v>64</v>
      </c>
      <c r="B65" t="s">
        <v>1990</v>
      </c>
      <c r="C65" t="s">
        <v>1983</v>
      </c>
      <c r="D65">
        <v>567.71</v>
      </c>
    </row>
    <row r="66" spans="1:4" x14ac:dyDescent="0.3">
      <c r="A66">
        <v>65</v>
      </c>
      <c r="B66" t="s">
        <v>2002</v>
      </c>
      <c r="C66" t="s">
        <v>1985</v>
      </c>
      <c r="D66">
        <v>1189.73</v>
      </c>
    </row>
    <row r="67" spans="1:4" x14ac:dyDescent="0.3">
      <c r="A67">
        <v>66</v>
      </c>
      <c r="B67" t="s">
        <v>1984</v>
      </c>
      <c r="C67" t="s">
        <v>1985</v>
      </c>
      <c r="D67">
        <v>783.37</v>
      </c>
    </row>
    <row r="68" spans="1:4" x14ac:dyDescent="0.3">
      <c r="A68">
        <v>67</v>
      </c>
      <c r="B68" t="s">
        <v>1987</v>
      </c>
      <c r="C68" t="s">
        <v>1988</v>
      </c>
      <c r="D68">
        <v>258.35000000000002</v>
      </c>
    </row>
    <row r="69" spans="1:4" x14ac:dyDescent="0.3">
      <c r="A69">
        <v>68</v>
      </c>
      <c r="B69" t="s">
        <v>2003</v>
      </c>
      <c r="C69" t="s">
        <v>1983</v>
      </c>
      <c r="D69">
        <v>180.99</v>
      </c>
    </row>
    <row r="70" spans="1:4" x14ac:dyDescent="0.3">
      <c r="A70">
        <v>69</v>
      </c>
      <c r="B70" t="s">
        <v>2003</v>
      </c>
      <c r="C70" t="s">
        <v>1983</v>
      </c>
      <c r="D70">
        <v>951.81</v>
      </c>
    </row>
    <row r="71" spans="1:4" x14ac:dyDescent="0.3">
      <c r="A71">
        <v>70</v>
      </c>
      <c r="B71" t="s">
        <v>2003</v>
      </c>
      <c r="C71" t="s">
        <v>1983</v>
      </c>
      <c r="D71">
        <v>797.23</v>
      </c>
    </row>
    <row r="72" spans="1:4" x14ac:dyDescent="0.3">
      <c r="A72">
        <v>71</v>
      </c>
      <c r="B72" t="s">
        <v>1993</v>
      </c>
      <c r="C72" t="s">
        <v>1988</v>
      </c>
      <c r="D72">
        <v>780.27</v>
      </c>
    </row>
    <row r="73" spans="1:4" x14ac:dyDescent="0.3">
      <c r="A73">
        <v>72</v>
      </c>
      <c r="B73" t="s">
        <v>1987</v>
      </c>
      <c r="C73" t="s">
        <v>1988</v>
      </c>
      <c r="D73">
        <v>1157.27</v>
      </c>
    </row>
    <row r="74" spans="1:4" x14ac:dyDescent="0.3">
      <c r="A74">
        <v>73</v>
      </c>
      <c r="B74" t="s">
        <v>1998</v>
      </c>
      <c r="C74" t="s">
        <v>1985</v>
      </c>
      <c r="D74">
        <v>943.04</v>
      </c>
    </row>
    <row r="75" spans="1:4" x14ac:dyDescent="0.3">
      <c r="A75">
        <v>74</v>
      </c>
      <c r="B75" t="s">
        <v>1987</v>
      </c>
      <c r="C75" t="s">
        <v>1988</v>
      </c>
      <c r="D75">
        <v>1034.31</v>
      </c>
    </row>
    <row r="76" spans="1:4" x14ac:dyDescent="0.3">
      <c r="A76">
        <v>75</v>
      </c>
      <c r="B76" t="s">
        <v>2001</v>
      </c>
      <c r="C76" t="s">
        <v>1988</v>
      </c>
      <c r="D76">
        <v>390.41</v>
      </c>
    </row>
    <row r="77" spans="1:4" x14ac:dyDescent="0.3">
      <c r="A77">
        <v>76</v>
      </c>
      <c r="B77" t="s">
        <v>1990</v>
      </c>
      <c r="C77" t="s">
        <v>1983</v>
      </c>
      <c r="D77">
        <v>1043.26</v>
      </c>
    </row>
    <row r="78" spans="1:4" x14ac:dyDescent="0.3">
      <c r="A78">
        <v>77</v>
      </c>
      <c r="B78" t="s">
        <v>1984</v>
      </c>
      <c r="C78" t="s">
        <v>1985</v>
      </c>
      <c r="D78">
        <v>1078.19</v>
      </c>
    </row>
    <row r="79" spans="1:4" x14ac:dyDescent="0.3">
      <c r="A79">
        <v>78</v>
      </c>
      <c r="B79" t="s">
        <v>1994</v>
      </c>
      <c r="C79" t="s">
        <v>1992</v>
      </c>
      <c r="D79">
        <v>795.77</v>
      </c>
    </row>
    <row r="80" spans="1:4" x14ac:dyDescent="0.3">
      <c r="A80">
        <v>79</v>
      </c>
      <c r="B80" t="s">
        <v>2001</v>
      </c>
      <c r="C80" t="s">
        <v>1988</v>
      </c>
      <c r="D80">
        <v>488.34</v>
      </c>
    </row>
    <row r="81" spans="1:4" x14ac:dyDescent="0.3">
      <c r="A81">
        <v>80</v>
      </c>
      <c r="B81" t="s">
        <v>2005</v>
      </c>
      <c r="C81" t="s">
        <v>1992</v>
      </c>
      <c r="D81">
        <v>1014.45</v>
      </c>
    </row>
  </sheetData>
  <autoFilter ref="A1:D8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80"/>
  <sheetViews>
    <sheetView tabSelected="1" zoomScale="115" workbookViewId="0">
      <selection activeCell="M5" sqref="M5"/>
    </sheetView>
  </sheetViews>
  <sheetFormatPr defaultRowHeight="14.4" x14ac:dyDescent="0.3"/>
  <cols>
    <col min="1" max="1" width="9.21875" customWidth="1"/>
    <col min="2" max="2" width="12.33203125" customWidth="1"/>
    <col min="3" max="3" width="11.33203125" bestFit="1" customWidth="1"/>
    <col min="4" max="4" width="11.77734375" bestFit="1" customWidth="1"/>
    <col min="5" max="5" width="11.77734375" customWidth="1"/>
    <col min="6" max="6" width="13" customWidth="1"/>
    <col min="7" max="7" width="10.21875" bestFit="1" customWidth="1"/>
    <col min="8" max="8" width="13.5546875" bestFit="1" customWidth="1"/>
    <col min="9" max="9" width="10.33203125" bestFit="1" customWidth="1"/>
    <col min="10" max="10" width="10.33203125" customWidth="1"/>
    <col min="11" max="11" width="16.88671875" bestFit="1" customWidth="1"/>
  </cols>
  <sheetData>
    <row r="1" spans="1:12" x14ac:dyDescent="0.3">
      <c r="A1" t="s">
        <v>2009</v>
      </c>
      <c r="B1" t="s">
        <v>0</v>
      </c>
      <c r="C1" t="s">
        <v>1978</v>
      </c>
      <c r="D1" t="s">
        <v>2010</v>
      </c>
      <c r="E1" s="6" t="s">
        <v>2252</v>
      </c>
      <c r="F1" s="6" t="s">
        <v>2253</v>
      </c>
      <c r="G1" t="s">
        <v>2011</v>
      </c>
      <c r="H1" s="6" t="s">
        <v>2250</v>
      </c>
      <c r="I1" t="s">
        <v>2012</v>
      </c>
      <c r="J1" s="6" t="s">
        <v>2251</v>
      </c>
      <c r="K1" t="s">
        <v>2013</v>
      </c>
      <c r="L1" t="s">
        <v>1980</v>
      </c>
    </row>
    <row r="2" spans="1:12" x14ac:dyDescent="0.3">
      <c r="A2">
        <v>1</v>
      </c>
      <c r="B2">
        <v>1</v>
      </c>
      <c r="C2">
        <v>17</v>
      </c>
      <c r="D2" t="s">
        <v>2014</v>
      </c>
      <c r="E2">
        <f>YEAR(D2)</f>
        <v>2024</v>
      </c>
      <c r="F2" t="str">
        <f>TEXT(D2,"mmm")</f>
        <v>May</v>
      </c>
      <c r="G2">
        <v>3</v>
      </c>
      <c r="H2">
        <f>_xlfn.XLOOKUP(C2,Products!A:A,Products!D:D)</f>
        <v>695.6</v>
      </c>
      <c r="I2">
        <v>0</v>
      </c>
      <c r="J2">
        <f>G2*H2*(1-I2/100)</f>
        <v>2086.8000000000002</v>
      </c>
      <c r="K2" t="s">
        <v>2015</v>
      </c>
      <c r="L2" t="str">
        <f>_xlfn.XLOOKUP(Orders[[#This Row],[ProductID]],Products!A:A,Products!C:C)</f>
        <v>Clothing</v>
      </c>
    </row>
    <row r="3" spans="1:12" x14ac:dyDescent="0.3">
      <c r="A3">
        <v>2</v>
      </c>
      <c r="B3">
        <v>2</v>
      </c>
      <c r="C3">
        <v>23</v>
      </c>
      <c r="D3" t="s">
        <v>2016</v>
      </c>
      <c r="E3">
        <f t="shared" ref="E3:E66" si="0">YEAR(D3)</f>
        <v>2023</v>
      </c>
      <c r="F3" t="str">
        <f t="shared" ref="F3:F66" si="1">TEXT(D3,"mmm")</f>
        <v>May</v>
      </c>
      <c r="G3">
        <v>1</v>
      </c>
      <c r="H3">
        <f>_xlfn.XLOOKUP(C3,Products!A:A,Products!D:D)</f>
        <v>258.08</v>
      </c>
      <c r="I3">
        <v>20</v>
      </c>
      <c r="J3">
        <f t="shared" ref="J3:J66" si="2">G3*H3*(1-I3/100)</f>
        <v>206.464</v>
      </c>
      <c r="K3" t="s">
        <v>2017</v>
      </c>
      <c r="L3" t="str">
        <f>_xlfn.XLOOKUP(Orders[[#This Row],[ProductID]],Products!A:A,Products!C:C)</f>
        <v>Home</v>
      </c>
    </row>
    <row r="4" spans="1:12" x14ac:dyDescent="0.3">
      <c r="A4">
        <v>3</v>
      </c>
      <c r="B4">
        <v>3</v>
      </c>
      <c r="C4">
        <v>44</v>
      </c>
      <c r="D4" t="s">
        <v>2018</v>
      </c>
      <c r="E4">
        <f t="shared" si="0"/>
        <v>2024</v>
      </c>
      <c r="F4" t="str">
        <f t="shared" si="1"/>
        <v>Mar</v>
      </c>
      <c r="G4">
        <v>2</v>
      </c>
      <c r="H4">
        <f>_xlfn.XLOOKUP(C4,Products!A:A,Products!D:D)</f>
        <v>1038</v>
      </c>
      <c r="I4">
        <v>5</v>
      </c>
      <c r="J4">
        <f t="shared" si="2"/>
        <v>1972.1999999999998</v>
      </c>
      <c r="K4" t="s">
        <v>2019</v>
      </c>
      <c r="L4" t="str">
        <f>_xlfn.XLOOKUP(Orders[[#This Row],[ProductID]],Products!A:A,Products!C:C)</f>
        <v>Home</v>
      </c>
    </row>
    <row r="5" spans="1:12" x14ac:dyDescent="0.3">
      <c r="A5">
        <v>4</v>
      </c>
      <c r="B5">
        <v>4</v>
      </c>
      <c r="C5">
        <v>41</v>
      </c>
      <c r="D5" t="s">
        <v>2020</v>
      </c>
      <c r="E5">
        <f t="shared" si="0"/>
        <v>2023</v>
      </c>
      <c r="F5" t="str">
        <f t="shared" si="1"/>
        <v>Dec</v>
      </c>
      <c r="G5">
        <v>3</v>
      </c>
      <c r="H5">
        <f>_xlfn.XLOOKUP(C5,Products!A:A,Products!D:D)</f>
        <v>554.80999999999995</v>
      </c>
      <c r="I5">
        <v>15</v>
      </c>
      <c r="J5">
        <f t="shared" si="2"/>
        <v>1414.7654999999997</v>
      </c>
      <c r="K5" t="s">
        <v>2021</v>
      </c>
      <c r="L5" t="str">
        <f>_xlfn.XLOOKUP(Orders[[#This Row],[ProductID]],Products!A:A,Products!C:C)</f>
        <v>Home</v>
      </c>
    </row>
    <row r="6" spans="1:12" x14ac:dyDescent="0.3">
      <c r="A6">
        <v>5</v>
      </c>
      <c r="B6">
        <v>5</v>
      </c>
      <c r="C6">
        <v>34</v>
      </c>
      <c r="D6" t="s">
        <v>414</v>
      </c>
      <c r="E6">
        <f t="shared" si="0"/>
        <v>2023</v>
      </c>
      <c r="F6" t="str">
        <f t="shared" si="1"/>
        <v>Mar</v>
      </c>
      <c r="G6">
        <v>2</v>
      </c>
      <c r="H6">
        <f>_xlfn.XLOOKUP(C6,Products!A:A,Products!D:D)</f>
        <v>523.98</v>
      </c>
      <c r="I6">
        <v>0</v>
      </c>
      <c r="J6">
        <f t="shared" si="2"/>
        <v>1047.96</v>
      </c>
      <c r="K6" t="s">
        <v>2021</v>
      </c>
      <c r="L6" t="str">
        <f>_xlfn.XLOOKUP(Orders[[#This Row],[ProductID]],Products!A:A,Products!C:C)</f>
        <v>Home</v>
      </c>
    </row>
    <row r="7" spans="1:12" x14ac:dyDescent="0.3">
      <c r="A7">
        <v>6</v>
      </c>
      <c r="B7">
        <v>6</v>
      </c>
      <c r="C7">
        <v>64</v>
      </c>
      <c r="D7" t="s">
        <v>2022</v>
      </c>
      <c r="E7">
        <f t="shared" si="0"/>
        <v>2024</v>
      </c>
      <c r="F7" t="str">
        <f t="shared" si="1"/>
        <v>Mar</v>
      </c>
      <c r="G7">
        <v>2</v>
      </c>
      <c r="H7">
        <f>_xlfn.XLOOKUP(C7,Products!A:A,Products!D:D)</f>
        <v>567.71</v>
      </c>
      <c r="I7">
        <v>10</v>
      </c>
      <c r="J7">
        <f t="shared" si="2"/>
        <v>1021.878</v>
      </c>
      <c r="K7" t="s">
        <v>2017</v>
      </c>
      <c r="L7" t="str">
        <f>_xlfn.XLOOKUP(Orders[[#This Row],[ProductID]],Products!A:A,Products!C:C)</f>
        <v>Clothing</v>
      </c>
    </row>
    <row r="8" spans="1:12" x14ac:dyDescent="0.3">
      <c r="A8">
        <v>7</v>
      </c>
      <c r="B8">
        <v>7</v>
      </c>
      <c r="C8">
        <v>37</v>
      </c>
      <c r="D8" t="s">
        <v>2023</v>
      </c>
      <c r="E8">
        <f t="shared" si="0"/>
        <v>2024</v>
      </c>
      <c r="F8" t="str">
        <f t="shared" si="1"/>
        <v>Apr</v>
      </c>
      <c r="G8">
        <v>2</v>
      </c>
      <c r="H8">
        <f>_xlfn.XLOOKUP(C8,Products!A:A,Products!D:D)</f>
        <v>968.87</v>
      </c>
      <c r="I8">
        <v>20</v>
      </c>
      <c r="J8">
        <f t="shared" si="2"/>
        <v>1550.192</v>
      </c>
      <c r="K8" t="s">
        <v>2024</v>
      </c>
      <c r="L8" t="str">
        <f>_xlfn.XLOOKUP(Orders[[#This Row],[ProductID]],Products!A:A,Products!C:C)</f>
        <v>Home</v>
      </c>
    </row>
    <row r="9" spans="1:12" x14ac:dyDescent="0.3">
      <c r="A9">
        <v>8</v>
      </c>
      <c r="B9">
        <v>8</v>
      </c>
      <c r="C9">
        <v>67</v>
      </c>
      <c r="D9" t="s">
        <v>2025</v>
      </c>
      <c r="E9">
        <f t="shared" si="0"/>
        <v>2023</v>
      </c>
      <c r="F9" t="str">
        <f t="shared" si="1"/>
        <v>Jun</v>
      </c>
      <c r="G9">
        <v>2</v>
      </c>
      <c r="H9">
        <f>_xlfn.XLOOKUP(C9,Products!A:A,Products!D:D)</f>
        <v>258.35000000000002</v>
      </c>
      <c r="I9">
        <v>5</v>
      </c>
      <c r="J9">
        <f t="shared" si="2"/>
        <v>490.86500000000001</v>
      </c>
      <c r="K9" t="s">
        <v>2024</v>
      </c>
      <c r="L9" t="str">
        <f>_xlfn.XLOOKUP(Orders[[#This Row],[ProductID]],Products!A:A,Products!C:C)</f>
        <v>Electronics</v>
      </c>
    </row>
    <row r="10" spans="1:12" x14ac:dyDescent="0.3">
      <c r="A10">
        <v>9</v>
      </c>
      <c r="B10">
        <v>9</v>
      </c>
      <c r="C10">
        <v>63</v>
      </c>
      <c r="D10" t="s">
        <v>2026</v>
      </c>
      <c r="E10">
        <f t="shared" si="0"/>
        <v>2024</v>
      </c>
      <c r="F10" t="str">
        <f t="shared" si="1"/>
        <v>Jan</v>
      </c>
      <c r="G10">
        <v>1</v>
      </c>
      <c r="H10">
        <f>_xlfn.XLOOKUP(C10,Products!A:A,Products!D:D)</f>
        <v>309.79000000000002</v>
      </c>
      <c r="I10">
        <v>20</v>
      </c>
      <c r="J10">
        <f t="shared" si="2"/>
        <v>247.83200000000002</v>
      </c>
      <c r="K10" t="s">
        <v>2017</v>
      </c>
      <c r="L10" t="str">
        <f>_xlfn.XLOOKUP(Orders[[#This Row],[ProductID]],Products!A:A,Products!C:C)</f>
        <v>Electronics</v>
      </c>
    </row>
    <row r="11" spans="1:12" x14ac:dyDescent="0.3">
      <c r="A11">
        <v>10</v>
      </c>
      <c r="B11">
        <v>10</v>
      </c>
      <c r="C11">
        <v>7</v>
      </c>
      <c r="D11" t="s">
        <v>606</v>
      </c>
      <c r="E11">
        <f t="shared" si="0"/>
        <v>2023</v>
      </c>
      <c r="F11" t="str">
        <f t="shared" si="1"/>
        <v>Apr</v>
      </c>
      <c r="G11">
        <v>1</v>
      </c>
      <c r="H11">
        <f>_xlfn.XLOOKUP(C11,Products!A:A,Products!D:D)</f>
        <v>97.29</v>
      </c>
      <c r="I11">
        <v>0</v>
      </c>
      <c r="J11">
        <f t="shared" si="2"/>
        <v>97.29</v>
      </c>
      <c r="K11" t="s">
        <v>2021</v>
      </c>
      <c r="L11" t="str">
        <f>_xlfn.XLOOKUP(Orders[[#This Row],[ProductID]],Products!A:A,Products!C:C)</f>
        <v>Beauty</v>
      </c>
    </row>
    <row r="12" spans="1:12" x14ac:dyDescent="0.3">
      <c r="A12">
        <v>11</v>
      </c>
      <c r="B12">
        <v>11</v>
      </c>
      <c r="C12">
        <v>24</v>
      </c>
      <c r="D12" t="s">
        <v>442</v>
      </c>
      <c r="E12">
        <f t="shared" si="0"/>
        <v>2023</v>
      </c>
      <c r="F12" t="str">
        <f t="shared" si="1"/>
        <v>Jan</v>
      </c>
      <c r="G12">
        <v>2</v>
      </c>
      <c r="H12">
        <f>_xlfn.XLOOKUP(C12,Products!A:A,Products!D:D)</f>
        <v>1019.85</v>
      </c>
      <c r="I12">
        <v>10</v>
      </c>
      <c r="J12">
        <f t="shared" si="2"/>
        <v>1835.73</v>
      </c>
      <c r="K12" t="s">
        <v>2021</v>
      </c>
      <c r="L12" t="str">
        <f>_xlfn.XLOOKUP(Orders[[#This Row],[ProductID]],Products!A:A,Products!C:C)</f>
        <v>Beauty</v>
      </c>
    </row>
    <row r="13" spans="1:12" x14ac:dyDescent="0.3">
      <c r="A13">
        <v>12</v>
      </c>
      <c r="B13">
        <v>12</v>
      </c>
      <c r="C13">
        <v>60</v>
      </c>
      <c r="D13" t="s">
        <v>1495</v>
      </c>
      <c r="E13">
        <f t="shared" si="0"/>
        <v>2023</v>
      </c>
      <c r="F13" t="str">
        <f t="shared" si="1"/>
        <v>Aug</v>
      </c>
      <c r="G13">
        <v>1</v>
      </c>
      <c r="H13">
        <f>_xlfn.XLOOKUP(C13,Products!A:A,Products!D:D)</f>
        <v>830.49</v>
      </c>
      <c r="I13">
        <v>15</v>
      </c>
      <c r="J13">
        <f t="shared" si="2"/>
        <v>705.91650000000004</v>
      </c>
      <c r="K13" t="s">
        <v>2019</v>
      </c>
      <c r="L13" t="str">
        <f>_xlfn.XLOOKUP(Orders[[#This Row],[ProductID]],Products!A:A,Products!C:C)</f>
        <v>Clothing</v>
      </c>
    </row>
    <row r="14" spans="1:12" x14ac:dyDescent="0.3">
      <c r="A14">
        <v>13</v>
      </c>
      <c r="B14">
        <v>13</v>
      </c>
      <c r="C14">
        <v>57</v>
      </c>
      <c r="D14" t="s">
        <v>814</v>
      </c>
      <c r="E14">
        <f t="shared" si="0"/>
        <v>2023</v>
      </c>
      <c r="F14" t="str">
        <f t="shared" si="1"/>
        <v>Jul</v>
      </c>
      <c r="G14">
        <v>3</v>
      </c>
      <c r="H14">
        <f>_xlfn.XLOOKUP(C14,Products!A:A,Products!D:D)</f>
        <v>768.03</v>
      </c>
      <c r="I14">
        <v>20</v>
      </c>
      <c r="J14">
        <f t="shared" si="2"/>
        <v>1843.2720000000002</v>
      </c>
      <c r="K14" t="s">
        <v>2017</v>
      </c>
      <c r="L14" t="str">
        <f>_xlfn.XLOOKUP(Orders[[#This Row],[ProductID]],Products!A:A,Products!C:C)</f>
        <v>Electronics</v>
      </c>
    </row>
    <row r="15" spans="1:12" x14ac:dyDescent="0.3">
      <c r="A15">
        <v>14</v>
      </c>
      <c r="B15">
        <v>14</v>
      </c>
      <c r="C15">
        <v>59</v>
      </c>
      <c r="D15" t="s">
        <v>1355</v>
      </c>
      <c r="E15">
        <f t="shared" si="0"/>
        <v>2023</v>
      </c>
      <c r="F15" t="str">
        <f t="shared" si="1"/>
        <v>Sep</v>
      </c>
      <c r="G15">
        <v>1</v>
      </c>
      <c r="H15">
        <f>_xlfn.XLOOKUP(C15,Products!A:A,Products!D:D)</f>
        <v>782.33</v>
      </c>
      <c r="I15">
        <v>5</v>
      </c>
      <c r="J15">
        <f t="shared" si="2"/>
        <v>743.21349999999995</v>
      </c>
      <c r="K15" t="s">
        <v>2019</v>
      </c>
      <c r="L15" t="str">
        <f>_xlfn.XLOOKUP(Orders[[#This Row],[ProductID]],Products!A:A,Products!C:C)</f>
        <v>Clothing</v>
      </c>
    </row>
    <row r="16" spans="1:12" x14ac:dyDescent="0.3">
      <c r="A16">
        <v>15</v>
      </c>
      <c r="B16">
        <v>15</v>
      </c>
      <c r="C16">
        <v>45</v>
      </c>
      <c r="D16" t="s">
        <v>1212</v>
      </c>
      <c r="E16">
        <f t="shared" si="0"/>
        <v>2023</v>
      </c>
      <c r="F16" t="str">
        <f t="shared" si="1"/>
        <v>Feb</v>
      </c>
      <c r="G16">
        <v>1</v>
      </c>
      <c r="H16">
        <f>_xlfn.XLOOKUP(C16,Products!A:A,Products!D:D)</f>
        <v>609.05999999999995</v>
      </c>
      <c r="I16">
        <v>10</v>
      </c>
      <c r="J16">
        <f t="shared" si="2"/>
        <v>548.154</v>
      </c>
      <c r="K16" t="s">
        <v>2021</v>
      </c>
      <c r="L16" t="str">
        <f>_xlfn.XLOOKUP(Orders[[#This Row],[ProductID]],Products!A:A,Products!C:C)</f>
        <v>Beauty</v>
      </c>
    </row>
    <row r="17" spans="1:12" x14ac:dyDescent="0.3">
      <c r="A17">
        <v>16</v>
      </c>
      <c r="B17">
        <v>16</v>
      </c>
      <c r="C17">
        <v>22</v>
      </c>
      <c r="D17" t="s">
        <v>2027</v>
      </c>
      <c r="E17">
        <f t="shared" si="0"/>
        <v>2024</v>
      </c>
      <c r="F17" t="str">
        <f t="shared" si="1"/>
        <v>Jan</v>
      </c>
      <c r="G17">
        <v>3</v>
      </c>
      <c r="H17">
        <f>_xlfn.XLOOKUP(C17,Products!A:A,Products!D:D)</f>
        <v>373.43</v>
      </c>
      <c r="I17">
        <v>10</v>
      </c>
      <c r="J17">
        <f t="shared" si="2"/>
        <v>1008.261</v>
      </c>
      <c r="K17" t="s">
        <v>2015</v>
      </c>
      <c r="L17" t="str">
        <f>_xlfn.XLOOKUP(Orders[[#This Row],[ProductID]],Products!A:A,Products!C:C)</f>
        <v>Beauty</v>
      </c>
    </row>
    <row r="18" spans="1:12" x14ac:dyDescent="0.3">
      <c r="A18">
        <v>17</v>
      </c>
      <c r="B18">
        <v>17</v>
      </c>
      <c r="C18">
        <v>75</v>
      </c>
      <c r="D18" t="s">
        <v>1852</v>
      </c>
      <c r="E18">
        <f t="shared" si="0"/>
        <v>2023</v>
      </c>
      <c r="F18" t="str">
        <f t="shared" si="1"/>
        <v>Apr</v>
      </c>
      <c r="G18">
        <v>3</v>
      </c>
      <c r="H18">
        <f>_xlfn.XLOOKUP(C18,Products!A:A,Products!D:D)</f>
        <v>390.41</v>
      </c>
      <c r="I18">
        <v>0</v>
      </c>
      <c r="J18">
        <f t="shared" si="2"/>
        <v>1171.23</v>
      </c>
      <c r="K18" t="s">
        <v>2015</v>
      </c>
      <c r="L18" t="str">
        <f>_xlfn.XLOOKUP(Orders[[#This Row],[ProductID]],Products!A:A,Products!C:C)</f>
        <v>Electronics</v>
      </c>
    </row>
    <row r="19" spans="1:12" x14ac:dyDescent="0.3">
      <c r="A19">
        <v>18</v>
      </c>
      <c r="B19">
        <v>18</v>
      </c>
      <c r="C19">
        <v>74</v>
      </c>
      <c r="D19" t="s">
        <v>2028</v>
      </c>
      <c r="E19">
        <f t="shared" si="0"/>
        <v>2023</v>
      </c>
      <c r="F19" t="str">
        <f t="shared" si="1"/>
        <v>Apr</v>
      </c>
      <c r="G19">
        <v>2</v>
      </c>
      <c r="H19">
        <f>_xlfn.XLOOKUP(C19,Products!A:A,Products!D:D)</f>
        <v>1034.31</v>
      </c>
      <c r="I19">
        <v>0</v>
      </c>
      <c r="J19">
        <f t="shared" si="2"/>
        <v>2068.62</v>
      </c>
      <c r="K19" t="s">
        <v>2021</v>
      </c>
      <c r="L19" t="str">
        <f>_xlfn.XLOOKUP(Orders[[#This Row],[ProductID]],Products!A:A,Products!C:C)</f>
        <v>Electronics</v>
      </c>
    </row>
    <row r="20" spans="1:12" x14ac:dyDescent="0.3">
      <c r="A20">
        <v>19</v>
      </c>
      <c r="B20">
        <v>19</v>
      </c>
      <c r="C20">
        <v>64</v>
      </c>
      <c r="D20" t="s">
        <v>2029</v>
      </c>
      <c r="E20">
        <f t="shared" si="0"/>
        <v>2023</v>
      </c>
      <c r="F20" t="str">
        <f t="shared" si="1"/>
        <v>Dec</v>
      </c>
      <c r="G20">
        <v>1</v>
      </c>
      <c r="H20">
        <f>_xlfn.XLOOKUP(C20,Products!A:A,Products!D:D)</f>
        <v>567.71</v>
      </c>
      <c r="I20">
        <v>10</v>
      </c>
      <c r="J20">
        <f t="shared" si="2"/>
        <v>510.93900000000002</v>
      </c>
      <c r="K20" t="s">
        <v>2019</v>
      </c>
      <c r="L20" t="str">
        <f>_xlfn.XLOOKUP(Orders[[#This Row],[ProductID]],Products!A:A,Products!C:C)</f>
        <v>Clothing</v>
      </c>
    </row>
    <row r="21" spans="1:12" x14ac:dyDescent="0.3">
      <c r="A21">
        <v>20</v>
      </c>
      <c r="B21">
        <v>20</v>
      </c>
      <c r="C21">
        <v>37</v>
      </c>
      <c r="D21" t="s">
        <v>2030</v>
      </c>
      <c r="E21">
        <f t="shared" si="0"/>
        <v>2023</v>
      </c>
      <c r="F21" t="str">
        <f t="shared" si="1"/>
        <v>Dec</v>
      </c>
      <c r="G21">
        <v>3</v>
      </c>
      <c r="H21">
        <f>_xlfn.XLOOKUP(C21,Products!A:A,Products!D:D)</f>
        <v>968.87</v>
      </c>
      <c r="I21">
        <v>0</v>
      </c>
      <c r="J21">
        <f t="shared" si="2"/>
        <v>2906.61</v>
      </c>
      <c r="K21" t="s">
        <v>2017</v>
      </c>
      <c r="L21" t="str">
        <f>_xlfn.XLOOKUP(Orders[[#This Row],[ProductID]],Products!A:A,Products!C:C)</f>
        <v>Home</v>
      </c>
    </row>
    <row r="22" spans="1:12" x14ac:dyDescent="0.3">
      <c r="A22">
        <v>21</v>
      </c>
      <c r="B22">
        <v>21</v>
      </c>
      <c r="C22">
        <v>48</v>
      </c>
      <c r="D22" t="s">
        <v>386</v>
      </c>
      <c r="E22">
        <f t="shared" si="0"/>
        <v>2023</v>
      </c>
      <c r="F22" t="str">
        <f t="shared" si="1"/>
        <v>Oct</v>
      </c>
      <c r="G22">
        <v>1</v>
      </c>
      <c r="H22">
        <f>_xlfn.XLOOKUP(C22,Products!A:A,Products!D:D)</f>
        <v>1125.8499999999999</v>
      </c>
      <c r="I22">
        <v>10</v>
      </c>
      <c r="J22">
        <f t="shared" si="2"/>
        <v>1013.265</v>
      </c>
      <c r="K22" t="s">
        <v>2021</v>
      </c>
      <c r="L22" t="str">
        <f>_xlfn.XLOOKUP(Orders[[#This Row],[ProductID]],Products!A:A,Products!C:C)</f>
        <v>Clothing</v>
      </c>
    </row>
    <row r="23" spans="1:12" x14ac:dyDescent="0.3">
      <c r="A23">
        <v>22</v>
      </c>
      <c r="B23">
        <v>22</v>
      </c>
      <c r="C23">
        <v>4</v>
      </c>
      <c r="D23" t="s">
        <v>1457</v>
      </c>
      <c r="E23">
        <f t="shared" si="0"/>
        <v>2023</v>
      </c>
      <c r="F23" t="str">
        <f t="shared" si="1"/>
        <v>Feb</v>
      </c>
      <c r="G23">
        <v>2</v>
      </c>
      <c r="H23">
        <f>_xlfn.XLOOKUP(C23,Products!A:A,Products!D:D)</f>
        <v>800.26</v>
      </c>
      <c r="I23">
        <v>15</v>
      </c>
      <c r="J23">
        <f t="shared" si="2"/>
        <v>1360.442</v>
      </c>
      <c r="K23" t="s">
        <v>2017</v>
      </c>
      <c r="L23" t="str">
        <f>_xlfn.XLOOKUP(Orders[[#This Row],[ProductID]],Products!A:A,Products!C:C)</f>
        <v>Electronics</v>
      </c>
    </row>
    <row r="24" spans="1:12" x14ac:dyDescent="0.3">
      <c r="A24">
        <v>23</v>
      </c>
      <c r="B24">
        <v>23</v>
      </c>
      <c r="C24">
        <v>35</v>
      </c>
      <c r="D24" t="s">
        <v>1413</v>
      </c>
      <c r="E24">
        <f t="shared" si="0"/>
        <v>2023</v>
      </c>
      <c r="F24" t="str">
        <f t="shared" si="1"/>
        <v>Nov</v>
      </c>
      <c r="G24">
        <v>3</v>
      </c>
      <c r="H24">
        <f>_xlfn.XLOOKUP(C24,Products!A:A,Products!D:D)</f>
        <v>958.87</v>
      </c>
      <c r="I24">
        <v>0</v>
      </c>
      <c r="J24">
        <f t="shared" si="2"/>
        <v>2876.61</v>
      </c>
      <c r="K24" t="s">
        <v>2024</v>
      </c>
      <c r="L24" t="str">
        <f>_xlfn.XLOOKUP(Orders[[#This Row],[ProductID]],Products!A:A,Products!C:C)</f>
        <v>Clothing</v>
      </c>
    </row>
    <row r="25" spans="1:12" x14ac:dyDescent="0.3">
      <c r="A25">
        <v>24</v>
      </c>
      <c r="B25">
        <v>24</v>
      </c>
      <c r="C25">
        <v>6</v>
      </c>
      <c r="D25" t="s">
        <v>298</v>
      </c>
      <c r="E25">
        <f t="shared" si="0"/>
        <v>2023</v>
      </c>
      <c r="F25" t="str">
        <f t="shared" si="1"/>
        <v>Dec</v>
      </c>
      <c r="G25">
        <v>3</v>
      </c>
      <c r="H25">
        <f>_xlfn.XLOOKUP(C25,Products!A:A,Products!D:D)</f>
        <v>719.19</v>
      </c>
      <c r="I25">
        <v>15</v>
      </c>
      <c r="J25">
        <f t="shared" si="2"/>
        <v>1833.9345000000001</v>
      </c>
      <c r="K25" t="s">
        <v>2024</v>
      </c>
      <c r="L25" t="str">
        <f>_xlfn.XLOOKUP(Orders[[#This Row],[ProductID]],Products!A:A,Products!C:C)</f>
        <v>Clothing</v>
      </c>
    </row>
    <row r="26" spans="1:12" x14ac:dyDescent="0.3">
      <c r="A26">
        <v>25</v>
      </c>
      <c r="B26">
        <v>25</v>
      </c>
      <c r="C26">
        <v>73</v>
      </c>
      <c r="D26" t="s">
        <v>2031</v>
      </c>
      <c r="E26">
        <f t="shared" si="0"/>
        <v>2023</v>
      </c>
      <c r="F26" t="str">
        <f t="shared" si="1"/>
        <v>Mar</v>
      </c>
      <c r="G26">
        <v>1</v>
      </c>
      <c r="H26">
        <f>_xlfn.XLOOKUP(C26,Products!A:A,Products!D:D)</f>
        <v>943.04</v>
      </c>
      <c r="I26">
        <v>0</v>
      </c>
      <c r="J26">
        <f t="shared" si="2"/>
        <v>943.04</v>
      </c>
      <c r="K26" t="s">
        <v>2024</v>
      </c>
      <c r="L26" t="str">
        <f>_xlfn.XLOOKUP(Orders[[#This Row],[ProductID]],Products!A:A,Products!C:C)</f>
        <v>Home</v>
      </c>
    </row>
    <row r="27" spans="1:12" x14ac:dyDescent="0.3">
      <c r="A27">
        <v>26</v>
      </c>
      <c r="B27">
        <v>26</v>
      </c>
      <c r="C27">
        <v>42</v>
      </c>
      <c r="D27" t="s">
        <v>2032</v>
      </c>
      <c r="E27">
        <f t="shared" si="0"/>
        <v>2024</v>
      </c>
      <c r="F27" t="str">
        <f t="shared" si="1"/>
        <v>Feb</v>
      </c>
      <c r="G27">
        <v>1</v>
      </c>
      <c r="H27">
        <f>_xlfn.XLOOKUP(C27,Products!A:A,Products!D:D)</f>
        <v>233.11</v>
      </c>
      <c r="I27">
        <v>0</v>
      </c>
      <c r="J27">
        <f t="shared" si="2"/>
        <v>233.11</v>
      </c>
      <c r="K27" t="s">
        <v>2015</v>
      </c>
      <c r="L27" t="str">
        <f>_xlfn.XLOOKUP(Orders[[#This Row],[ProductID]],Products!A:A,Products!C:C)</f>
        <v>Home</v>
      </c>
    </row>
    <row r="28" spans="1:12" x14ac:dyDescent="0.3">
      <c r="A28">
        <v>27</v>
      </c>
      <c r="B28">
        <v>27</v>
      </c>
      <c r="C28">
        <v>78</v>
      </c>
      <c r="D28" t="s">
        <v>1339</v>
      </c>
      <c r="E28">
        <f t="shared" si="0"/>
        <v>2023</v>
      </c>
      <c r="F28" t="str">
        <f t="shared" si="1"/>
        <v>Jul</v>
      </c>
      <c r="G28">
        <v>1</v>
      </c>
      <c r="H28">
        <f>_xlfn.XLOOKUP(C28,Products!A:A,Products!D:D)</f>
        <v>795.77</v>
      </c>
      <c r="I28">
        <v>15</v>
      </c>
      <c r="J28">
        <f t="shared" si="2"/>
        <v>676.40449999999998</v>
      </c>
      <c r="K28" t="s">
        <v>2024</v>
      </c>
      <c r="L28" t="str">
        <f>_xlfn.XLOOKUP(Orders[[#This Row],[ProductID]],Products!A:A,Products!C:C)</f>
        <v>Beauty</v>
      </c>
    </row>
    <row r="29" spans="1:12" x14ac:dyDescent="0.3">
      <c r="A29">
        <v>28</v>
      </c>
      <c r="B29">
        <v>28</v>
      </c>
      <c r="C29">
        <v>23</v>
      </c>
      <c r="D29" t="s">
        <v>987</v>
      </c>
      <c r="E29">
        <f t="shared" si="0"/>
        <v>2023</v>
      </c>
      <c r="F29" t="str">
        <f t="shared" si="1"/>
        <v>May</v>
      </c>
      <c r="G29">
        <v>2</v>
      </c>
      <c r="H29">
        <f>_xlfn.XLOOKUP(C29,Products!A:A,Products!D:D)</f>
        <v>258.08</v>
      </c>
      <c r="I29">
        <v>0</v>
      </c>
      <c r="J29">
        <f t="shared" si="2"/>
        <v>516.16</v>
      </c>
      <c r="K29" t="s">
        <v>2019</v>
      </c>
      <c r="L29" t="str">
        <f>_xlfn.XLOOKUP(Orders[[#This Row],[ProductID]],Products!A:A,Products!C:C)</f>
        <v>Home</v>
      </c>
    </row>
    <row r="30" spans="1:12" x14ac:dyDescent="0.3">
      <c r="A30">
        <v>29</v>
      </c>
      <c r="B30">
        <v>29</v>
      </c>
      <c r="C30">
        <v>27</v>
      </c>
      <c r="D30" t="s">
        <v>378</v>
      </c>
      <c r="E30">
        <f t="shared" si="0"/>
        <v>2023</v>
      </c>
      <c r="F30" t="str">
        <f t="shared" si="1"/>
        <v>Mar</v>
      </c>
      <c r="G30">
        <v>2</v>
      </c>
      <c r="H30">
        <f>_xlfn.XLOOKUP(C30,Products!A:A,Products!D:D)</f>
        <v>76.09</v>
      </c>
      <c r="I30">
        <v>15</v>
      </c>
      <c r="J30">
        <f t="shared" si="2"/>
        <v>129.35300000000001</v>
      </c>
      <c r="K30" t="s">
        <v>2024</v>
      </c>
      <c r="L30" t="str">
        <f>_xlfn.XLOOKUP(Orders[[#This Row],[ProductID]],Products!A:A,Products!C:C)</f>
        <v>Clothing</v>
      </c>
    </row>
    <row r="31" spans="1:12" x14ac:dyDescent="0.3">
      <c r="A31">
        <v>30</v>
      </c>
      <c r="B31">
        <v>30</v>
      </c>
      <c r="C31">
        <v>20</v>
      </c>
      <c r="D31" t="s">
        <v>353</v>
      </c>
      <c r="E31">
        <f t="shared" si="0"/>
        <v>2023</v>
      </c>
      <c r="F31" t="str">
        <f t="shared" si="1"/>
        <v>Mar</v>
      </c>
      <c r="G31">
        <v>2</v>
      </c>
      <c r="H31">
        <f>_xlfn.XLOOKUP(C31,Products!A:A,Products!D:D)</f>
        <v>613.27</v>
      </c>
      <c r="I31">
        <v>15</v>
      </c>
      <c r="J31">
        <f t="shared" si="2"/>
        <v>1042.559</v>
      </c>
      <c r="K31" t="s">
        <v>2017</v>
      </c>
      <c r="L31" t="str">
        <f>_xlfn.XLOOKUP(Orders[[#This Row],[ProductID]],Products!A:A,Products!C:C)</f>
        <v>Home</v>
      </c>
    </row>
    <row r="32" spans="1:12" x14ac:dyDescent="0.3">
      <c r="A32">
        <v>31</v>
      </c>
      <c r="B32">
        <v>31</v>
      </c>
      <c r="C32">
        <v>40</v>
      </c>
      <c r="D32" t="s">
        <v>2023</v>
      </c>
      <c r="E32">
        <f t="shared" si="0"/>
        <v>2024</v>
      </c>
      <c r="F32" t="str">
        <f t="shared" si="1"/>
        <v>Apr</v>
      </c>
      <c r="G32">
        <v>3</v>
      </c>
      <c r="H32">
        <f>_xlfn.XLOOKUP(C32,Products!A:A,Products!D:D)</f>
        <v>316.49</v>
      </c>
      <c r="I32">
        <v>20</v>
      </c>
      <c r="J32">
        <f t="shared" si="2"/>
        <v>759.57600000000002</v>
      </c>
      <c r="K32" t="s">
        <v>2021</v>
      </c>
      <c r="L32" t="str">
        <f>_xlfn.XLOOKUP(Orders[[#This Row],[ProductID]],Products!A:A,Products!C:C)</f>
        <v>Home</v>
      </c>
    </row>
    <row r="33" spans="1:12" x14ac:dyDescent="0.3">
      <c r="A33">
        <v>32</v>
      </c>
      <c r="B33">
        <v>32</v>
      </c>
      <c r="C33">
        <v>46</v>
      </c>
      <c r="D33" t="s">
        <v>2033</v>
      </c>
      <c r="E33">
        <f t="shared" si="0"/>
        <v>2023</v>
      </c>
      <c r="F33" t="str">
        <f t="shared" si="1"/>
        <v>Dec</v>
      </c>
      <c r="G33">
        <v>1</v>
      </c>
      <c r="H33">
        <f>_xlfn.XLOOKUP(C33,Products!A:A,Products!D:D)</f>
        <v>1155.3</v>
      </c>
      <c r="I33">
        <v>10</v>
      </c>
      <c r="J33">
        <f t="shared" si="2"/>
        <v>1039.77</v>
      </c>
      <c r="K33" t="s">
        <v>2015</v>
      </c>
      <c r="L33" t="str">
        <f>_xlfn.XLOOKUP(Orders[[#This Row],[ProductID]],Products!A:A,Products!C:C)</f>
        <v>Beauty</v>
      </c>
    </row>
    <row r="34" spans="1:12" x14ac:dyDescent="0.3">
      <c r="A34">
        <v>33</v>
      </c>
      <c r="B34">
        <v>33</v>
      </c>
      <c r="C34">
        <v>26</v>
      </c>
      <c r="D34" t="s">
        <v>2034</v>
      </c>
      <c r="E34">
        <f t="shared" si="0"/>
        <v>2023</v>
      </c>
      <c r="F34" t="str">
        <f t="shared" si="1"/>
        <v>Sep</v>
      </c>
      <c r="G34">
        <v>2</v>
      </c>
      <c r="H34">
        <f>_xlfn.XLOOKUP(C34,Products!A:A,Products!D:D)</f>
        <v>272.61</v>
      </c>
      <c r="I34">
        <v>15</v>
      </c>
      <c r="J34">
        <f t="shared" si="2"/>
        <v>463.43700000000001</v>
      </c>
      <c r="K34" t="s">
        <v>2017</v>
      </c>
      <c r="L34" t="str">
        <f>_xlfn.XLOOKUP(Orders[[#This Row],[ProductID]],Products!A:A,Products!C:C)</f>
        <v>Home</v>
      </c>
    </row>
    <row r="35" spans="1:12" x14ac:dyDescent="0.3">
      <c r="A35">
        <v>34</v>
      </c>
      <c r="B35">
        <v>34</v>
      </c>
      <c r="C35">
        <v>35</v>
      </c>
      <c r="D35" t="s">
        <v>710</v>
      </c>
      <c r="E35">
        <f t="shared" si="0"/>
        <v>2023</v>
      </c>
      <c r="F35" t="str">
        <f t="shared" si="1"/>
        <v>Oct</v>
      </c>
      <c r="G35">
        <v>3</v>
      </c>
      <c r="H35">
        <f>_xlfn.XLOOKUP(C35,Products!A:A,Products!D:D)</f>
        <v>958.87</v>
      </c>
      <c r="I35">
        <v>15</v>
      </c>
      <c r="J35">
        <f t="shared" si="2"/>
        <v>2445.1185</v>
      </c>
      <c r="K35" t="s">
        <v>2019</v>
      </c>
      <c r="L35" t="str">
        <f>_xlfn.XLOOKUP(Orders[[#This Row],[ProductID]],Products!A:A,Products!C:C)</f>
        <v>Clothing</v>
      </c>
    </row>
    <row r="36" spans="1:12" x14ac:dyDescent="0.3">
      <c r="A36">
        <v>35</v>
      </c>
      <c r="B36">
        <v>35</v>
      </c>
      <c r="C36">
        <v>55</v>
      </c>
      <c r="D36" t="s">
        <v>2035</v>
      </c>
      <c r="E36">
        <f t="shared" si="0"/>
        <v>2024</v>
      </c>
      <c r="F36" t="str">
        <f t="shared" si="1"/>
        <v>Feb</v>
      </c>
      <c r="G36">
        <v>2</v>
      </c>
      <c r="H36">
        <f>_xlfn.XLOOKUP(C36,Products!A:A,Products!D:D)</f>
        <v>1016.06</v>
      </c>
      <c r="I36">
        <v>20</v>
      </c>
      <c r="J36">
        <f t="shared" si="2"/>
        <v>1625.6959999999999</v>
      </c>
      <c r="K36" t="s">
        <v>2021</v>
      </c>
      <c r="L36" t="str">
        <f>_xlfn.XLOOKUP(Orders[[#This Row],[ProductID]],Products!A:A,Products!C:C)</f>
        <v>Clothing</v>
      </c>
    </row>
    <row r="37" spans="1:12" x14ac:dyDescent="0.3">
      <c r="A37">
        <v>36</v>
      </c>
      <c r="B37">
        <v>36</v>
      </c>
      <c r="C37">
        <v>56</v>
      </c>
      <c r="D37" t="s">
        <v>1396</v>
      </c>
      <c r="E37">
        <f t="shared" si="0"/>
        <v>2023</v>
      </c>
      <c r="F37" t="str">
        <f t="shared" si="1"/>
        <v>Nov</v>
      </c>
      <c r="G37">
        <v>2</v>
      </c>
      <c r="H37">
        <f>_xlfn.XLOOKUP(C37,Products!A:A,Products!D:D)</f>
        <v>396.01</v>
      </c>
      <c r="I37">
        <v>0</v>
      </c>
      <c r="J37">
        <f t="shared" si="2"/>
        <v>792.02</v>
      </c>
      <c r="K37" t="s">
        <v>2019</v>
      </c>
      <c r="L37" t="str">
        <f>_xlfn.XLOOKUP(Orders[[#This Row],[ProductID]],Products!A:A,Products!C:C)</f>
        <v>Home</v>
      </c>
    </row>
    <row r="38" spans="1:12" x14ac:dyDescent="0.3">
      <c r="A38">
        <v>37</v>
      </c>
      <c r="B38">
        <v>37</v>
      </c>
      <c r="C38">
        <v>66</v>
      </c>
      <c r="D38" t="s">
        <v>623</v>
      </c>
      <c r="E38">
        <f t="shared" si="0"/>
        <v>2023</v>
      </c>
      <c r="F38" t="str">
        <f t="shared" si="1"/>
        <v>Jun</v>
      </c>
      <c r="G38">
        <v>2</v>
      </c>
      <c r="H38">
        <f>_xlfn.XLOOKUP(C38,Products!A:A,Products!D:D)</f>
        <v>783.37</v>
      </c>
      <c r="I38">
        <v>5</v>
      </c>
      <c r="J38">
        <f t="shared" si="2"/>
        <v>1488.403</v>
      </c>
      <c r="K38" t="s">
        <v>2021</v>
      </c>
      <c r="L38" t="str">
        <f>_xlfn.XLOOKUP(Orders[[#This Row],[ProductID]],Products!A:A,Products!C:C)</f>
        <v>Home</v>
      </c>
    </row>
    <row r="39" spans="1:12" x14ac:dyDescent="0.3">
      <c r="A39">
        <v>38</v>
      </c>
      <c r="B39">
        <v>38</v>
      </c>
      <c r="C39">
        <v>64</v>
      </c>
      <c r="D39" t="s">
        <v>782</v>
      </c>
      <c r="E39">
        <f t="shared" si="0"/>
        <v>2023</v>
      </c>
      <c r="F39" t="str">
        <f t="shared" si="1"/>
        <v>Sep</v>
      </c>
      <c r="G39">
        <v>3</v>
      </c>
      <c r="H39">
        <f>_xlfn.XLOOKUP(C39,Products!A:A,Products!D:D)</f>
        <v>567.71</v>
      </c>
      <c r="I39">
        <v>20</v>
      </c>
      <c r="J39">
        <f t="shared" si="2"/>
        <v>1362.5040000000001</v>
      </c>
      <c r="K39" t="s">
        <v>2019</v>
      </c>
      <c r="L39" t="str">
        <f>_xlfn.XLOOKUP(Orders[[#This Row],[ProductID]],Products!A:A,Products!C:C)</f>
        <v>Clothing</v>
      </c>
    </row>
    <row r="40" spans="1:12" x14ac:dyDescent="0.3">
      <c r="A40">
        <v>39</v>
      </c>
      <c r="B40">
        <v>39</v>
      </c>
      <c r="C40">
        <v>38</v>
      </c>
      <c r="D40" t="s">
        <v>1411</v>
      </c>
      <c r="E40">
        <f t="shared" si="0"/>
        <v>2023</v>
      </c>
      <c r="F40" t="str">
        <f t="shared" si="1"/>
        <v>Aug</v>
      </c>
      <c r="G40">
        <v>2</v>
      </c>
      <c r="H40">
        <f>_xlfn.XLOOKUP(C40,Products!A:A,Products!D:D)</f>
        <v>802.88</v>
      </c>
      <c r="I40">
        <v>0</v>
      </c>
      <c r="J40">
        <f t="shared" si="2"/>
        <v>1605.76</v>
      </c>
      <c r="K40" t="s">
        <v>2017</v>
      </c>
      <c r="L40" t="str">
        <f>_xlfn.XLOOKUP(Orders[[#This Row],[ProductID]],Products!A:A,Products!C:C)</f>
        <v>Home</v>
      </c>
    </row>
    <row r="41" spans="1:12" x14ac:dyDescent="0.3">
      <c r="A41">
        <v>40</v>
      </c>
      <c r="B41">
        <v>40</v>
      </c>
      <c r="C41">
        <v>39</v>
      </c>
      <c r="D41" t="s">
        <v>1796</v>
      </c>
      <c r="E41">
        <f t="shared" si="0"/>
        <v>2023</v>
      </c>
      <c r="F41" t="str">
        <f t="shared" si="1"/>
        <v>Mar</v>
      </c>
      <c r="G41">
        <v>1</v>
      </c>
      <c r="H41">
        <f>_xlfn.XLOOKUP(C41,Products!A:A,Products!D:D)</f>
        <v>256.08999999999997</v>
      </c>
      <c r="I41">
        <v>10</v>
      </c>
      <c r="J41">
        <f t="shared" si="2"/>
        <v>230.48099999999999</v>
      </c>
      <c r="K41" t="s">
        <v>2021</v>
      </c>
      <c r="L41" t="str">
        <f>_xlfn.XLOOKUP(Orders[[#This Row],[ProductID]],Products!A:A,Products!C:C)</f>
        <v>Clothing</v>
      </c>
    </row>
    <row r="42" spans="1:12" x14ac:dyDescent="0.3">
      <c r="A42">
        <v>41</v>
      </c>
      <c r="B42">
        <v>41</v>
      </c>
      <c r="C42">
        <v>67</v>
      </c>
      <c r="D42" t="s">
        <v>761</v>
      </c>
      <c r="E42">
        <f t="shared" si="0"/>
        <v>2023</v>
      </c>
      <c r="F42" t="str">
        <f t="shared" si="1"/>
        <v>Aug</v>
      </c>
      <c r="G42">
        <v>2</v>
      </c>
      <c r="H42">
        <f>_xlfn.XLOOKUP(C42,Products!A:A,Products!D:D)</f>
        <v>258.35000000000002</v>
      </c>
      <c r="I42">
        <v>20</v>
      </c>
      <c r="J42">
        <f t="shared" si="2"/>
        <v>413.36000000000007</v>
      </c>
      <c r="K42" t="s">
        <v>2019</v>
      </c>
      <c r="L42" t="str">
        <f>_xlfn.XLOOKUP(Orders[[#This Row],[ProductID]],Products!A:A,Products!C:C)</f>
        <v>Electronics</v>
      </c>
    </row>
    <row r="43" spans="1:12" x14ac:dyDescent="0.3">
      <c r="A43">
        <v>42</v>
      </c>
      <c r="B43">
        <v>42</v>
      </c>
      <c r="C43">
        <v>71</v>
      </c>
      <c r="D43" t="s">
        <v>480</v>
      </c>
      <c r="E43">
        <f t="shared" si="0"/>
        <v>2023</v>
      </c>
      <c r="F43" t="str">
        <f t="shared" si="1"/>
        <v>Feb</v>
      </c>
      <c r="G43">
        <v>1</v>
      </c>
      <c r="H43">
        <f>_xlfn.XLOOKUP(C43,Products!A:A,Products!D:D)</f>
        <v>780.27</v>
      </c>
      <c r="I43">
        <v>20</v>
      </c>
      <c r="J43">
        <f t="shared" si="2"/>
        <v>624.21600000000001</v>
      </c>
      <c r="K43" t="s">
        <v>2019</v>
      </c>
      <c r="L43" t="str">
        <f>_xlfn.XLOOKUP(Orders[[#This Row],[ProductID]],Products!A:A,Products!C:C)</f>
        <v>Electronics</v>
      </c>
    </row>
    <row r="44" spans="1:12" x14ac:dyDescent="0.3">
      <c r="A44">
        <v>43</v>
      </c>
      <c r="B44">
        <v>43</v>
      </c>
      <c r="C44">
        <v>66</v>
      </c>
      <c r="D44" t="s">
        <v>1299</v>
      </c>
      <c r="E44">
        <f t="shared" si="0"/>
        <v>2023</v>
      </c>
      <c r="F44" t="str">
        <f t="shared" si="1"/>
        <v>Aug</v>
      </c>
      <c r="G44">
        <v>2</v>
      </c>
      <c r="H44">
        <f>_xlfn.XLOOKUP(C44,Products!A:A,Products!D:D)</f>
        <v>783.37</v>
      </c>
      <c r="I44">
        <v>0</v>
      </c>
      <c r="J44">
        <f t="shared" si="2"/>
        <v>1566.74</v>
      </c>
      <c r="K44" t="s">
        <v>2017</v>
      </c>
      <c r="L44" t="str">
        <f>_xlfn.XLOOKUP(Orders[[#This Row],[ProductID]],Products!A:A,Products!C:C)</f>
        <v>Home</v>
      </c>
    </row>
    <row r="45" spans="1:12" x14ac:dyDescent="0.3">
      <c r="A45">
        <v>44</v>
      </c>
      <c r="B45">
        <v>44</v>
      </c>
      <c r="C45">
        <v>73</v>
      </c>
      <c r="D45" t="s">
        <v>2036</v>
      </c>
      <c r="E45">
        <f t="shared" si="0"/>
        <v>2024</v>
      </c>
      <c r="F45" t="str">
        <f t="shared" si="1"/>
        <v>Feb</v>
      </c>
      <c r="G45">
        <v>2</v>
      </c>
      <c r="H45">
        <f>_xlfn.XLOOKUP(C45,Products!A:A,Products!D:D)</f>
        <v>943.04</v>
      </c>
      <c r="I45">
        <v>10</v>
      </c>
      <c r="J45">
        <f t="shared" si="2"/>
        <v>1697.472</v>
      </c>
      <c r="K45" t="s">
        <v>2024</v>
      </c>
      <c r="L45" t="str">
        <f>_xlfn.XLOOKUP(Orders[[#This Row],[ProductID]],Products!A:A,Products!C:C)</f>
        <v>Home</v>
      </c>
    </row>
    <row r="46" spans="1:12" x14ac:dyDescent="0.3">
      <c r="A46">
        <v>45</v>
      </c>
      <c r="B46">
        <v>45</v>
      </c>
      <c r="C46">
        <v>75</v>
      </c>
      <c r="D46" t="s">
        <v>1457</v>
      </c>
      <c r="E46">
        <f t="shared" si="0"/>
        <v>2023</v>
      </c>
      <c r="F46" t="str">
        <f t="shared" si="1"/>
        <v>Feb</v>
      </c>
      <c r="G46">
        <v>3</v>
      </c>
      <c r="H46">
        <f>_xlfn.XLOOKUP(C46,Products!A:A,Products!D:D)</f>
        <v>390.41</v>
      </c>
      <c r="I46">
        <v>0</v>
      </c>
      <c r="J46">
        <f t="shared" si="2"/>
        <v>1171.23</v>
      </c>
      <c r="K46" t="s">
        <v>2019</v>
      </c>
      <c r="L46" t="str">
        <f>_xlfn.XLOOKUP(Orders[[#This Row],[ProductID]],Products!A:A,Products!C:C)</f>
        <v>Electronics</v>
      </c>
    </row>
    <row r="47" spans="1:12" x14ac:dyDescent="0.3">
      <c r="A47">
        <v>46</v>
      </c>
      <c r="B47">
        <v>46</v>
      </c>
      <c r="C47">
        <v>60</v>
      </c>
      <c r="D47" t="s">
        <v>1133</v>
      </c>
      <c r="E47">
        <f t="shared" si="0"/>
        <v>2023</v>
      </c>
      <c r="F47" t="str">
        <f t="shared" si="1"/>
        <v>Apr</v>
      </c>
      <c r="G47">
        <v>1</v>
      </c>
      <c r="H47">
        <f>_xlfn.XLOOKUP(C47,Products!A:A,Products!D:D)</f>
        <v>830.49</v>
      </c>
      <c r="I47">
        <v>15</v>
      </c>
      <c r="J47">
        <f t="shared" si="2"/>
        <v>705.91650000000004</v>
      </c>
      <c r="K47" t="s">
        <v>2019</v>
      </c>
      <c r="L47" t="str">
        <f>_xlfn.XLOOKUP(Orders[[#This Row],[ProductID]],Products!A:A,Products!C:C)</f>
        <v>Clothing</v>
      </c>
    </row>
    <row r="48" spans="1:12" x14ac:dyDescent="0.3">
      <c r="A48">
        <v>47</v>
      </c>
      <c r="B48">
        <v>47</v>
      </c>
      <c r="C48">
        <v>11</v>
      </c>
      <c r="D48" t="s">
        <v>922</v>
      </c>
      <c r="E48">
        <f t="shared" si="0"/>
        <v>2023</v>
      </c>
      <c r="F48" t="str">
        <f t="shared" si="1"/>
        <v>Aug</v>
      </c>
      <c r="G48">
        <v>3</v>
      </c>
      <c r="H48">
        <f>_xlfn.XLOOKUP(C48,Products!A:A,Products!D:D)</f>
        <v>1038.77</v>
      </c>
      <c r="I48">
        <v>10</v>
      </c>
      <c r="J48">
        <f t="shared" si="2"/>
        <v>2804.6790000000001</v>
      </c>
      <c r="K48" t="s">
        <v>2024</v>
      </c>
      <c r="L48" t="str">
        <f>_xlfn.XLOOKUP(Orders[[#This Row],[ProductID]],Products!A:A,Products!C:C)</f>
        <v>Beauty</v>
      </c>
    </row>
    <row r="49" spans="1:12" x14ac:dyDescent="0.3">
      <c r="A49">
        <v>48</v>
      </c>
      <c r="B49">
        <v>48</v>
      </c>
      <c r="C49">
        <v>76</v>
      </c>
      <c r="D49" t="s">
        <v>2037</v>
      </c>
      <c r="E49">
        <f t="shared" si="0"/>
        <v>2024</v>
      </c>
      <c r="F49" t="str">
        <f t="shared" si="1"/>
        <v>Jan</v>
      </c>
      <c r="G49">
        <v>2</v>
      </c>
      <c r="H49">
        <f>_xlfn.XLOOKUP(C49,Products!A:A,Products!D:D)</f>
        <v>1043.26</v>
      </c>
      <c r="I49">
        <v>15</v>
      </c>
      <c r="J49">
        <f t="shared" si="2"/>
        <v>1773.5419999999999</v>
      </c>
      <c r="K49" t="s">
        <v>2015</v>
      </c>
      <c r="L49" t="str">
        <f>_xlfn.XLOOKUP(Orders[[#This Row],[ProductID]],Products!A:A,Products!C:C)</f>
        <v>Clothing</v>
      </c>
    </row>
    <row r="50" spans="1:12" x14ac:dyDescent="0.3">
      <c r="A50">
        <v>49</v>
      </c>
      <c r="B50">
        <v>49</v>
      </c>
      <c r="C50">
        <v>34</v>
      </c>
      <c r="D50" t="s">
        <v>623</v>
      </c>
      <c r="E50">
        <f t="shared" si="0"/>
        <v>2023</v>
      </c>
      <c r="F50" t="str">
        <f t="shared" si="1"/>
        <v>Jun</v>
      </c>
      <c r="G50">
        <v>1</v>
      </c>
      <c r="H50">
        <f>_xlfn.XLOOKUP(C50,Products!A:A,Products!D:D)</f>
        <v>523.98</v>
      </c>
      <c r="I50">
        <v>5</v>
      </c>
      <c r="J50">
        <f t="shared" si="2"/>
        <v>497.78100000000001</v>
      </c>
      <c r="K50" t="s">
        <v>2021</v>
      </c>
      <c r="L50" t="str">
        <f>_xlfn.XLOOKUP(Orders[[#This Row],[ProductID]],Products!A:A,Products!C:C)</f>
        <v>Home</v>
      </c>
    </row>
    <row r="51" spans="1:12" x14ac:dyDescent="0.3">
      <c r="A51">
        <v>50</v>
      </c>
      <c r="B51">
        <v>50</v>
      </c>
      <c r="C51">
        <v>11</v>
      </c>
      <c r="D51" t="s">
        <v>2038</v>
      </c>
      <c r="E51">
        <f t="shared" si="0"/>
        <v>2024</v>
      </c>
      <c r="F51" t="str">
        <f t="shared" si="1"/>
        <v>Jan</v>
      </c>
      <c r="G51">
        <v>3</v>
      </c>
      <c r="H51">
        <f>_xlfn.XLOOKUP(C51,Products!A:A,Products!D:D)</f>
        <v>1038.77</v>
      </c>
      <c r="I51">
        <v>10</v>
      </c>
      <c r="J51">
        <f t="shared" si="2"/>
        <v>2804.6790000000001</v>
      </c>
      <c r="K51" t="s">
        <v>2019</v>
      </c>
      <c r="L51" t="str">
        <f>_xlfn.XLOOKUP(Orders[[#This Row],[ProductID]],Products!A:A,Products!C:C)</f>
        <v>Beauty</v>
      </c>
    </row>
    <row r="52" spans="1:12" x14ac:dyDescent="0.3">
      <c r="A52">
        <v>51</v>
      </c>
      <c r="B52">
        <v>51</v>
      </c>
      <c r="C52">
        <v>56</v>
      </c>
      <c r="D52" t="s">
        <v>2039</v>
      </c>
      <c r="E52">
        <f t="shared" si="0"/>
        <v>2023</v>
      </c>
      <c r="F52" t="str">
        <f t="shared" si="1"/>
        <v>Oct</v>
      </c>
      <c r="G52">
        <v>1</v>
      </c>
      <c r="H52">
        <f>_xlfn.XLOOKUP(C52,Products!A:A,Products!D:D)</f>
        <v>396.01</v>
      </c>
      <c r="I52">
        <v>0</v>
      </c>
      <c r="J52">
        <f t="shared" si="2"/>
        <v>396.01</v>
      </c>
      <c r="K52" t="s">
        <v>2017</v>
      </c>
      <c r="L52" t="str">
        <f>_xlfn.XLOOKUP(Orders[[#This Row],[ProductID]],Products!A:A,Products!C:C)</f>
        <v>Home</v>
      </c>
    </row>
    <row r="53" spans="1:12" x14ac:dyDescent="0.3">
      <c r="A53">
        <v>52</v>
      </c>
      <c r="B53">
        <v>52</v>
      </c>
      <c r="C53">
        <v>15</v>
      </c>
      <c r="D53" t="s">
        <v>625</v>
      </c>
      <c r="E53">
        <f t="shared" si="0"/>
        <v>2023</v>
      </c>
      <c r="F53" t="str">
        <f t="shared" si="1"/>
        <v>Jan</v>
      </c>
      <c r="G53">
        <v>1</v>
      </c>
      <c r="H53">
        <f>_xlfn.XLOOKUP(C53,Products!A:A,Products!D:D)</f>
        <v>1183.2</v>
      </c>
      <c r="I53">
        <v>15</v>
      </c>
      <c r="J53">
        <f t="shared" si="2"/>
        <v>1005.72</v>
      </c>
      <c r="K53" t="s">
        <v>2017</v>
      </c>
      <c r="L53" t="str">
        <f>_xlfn.XLOOKUP(Orders[[#This Row],[ProductID]],Products!A:A,Products!C:C)</f>
        <v>Electronics</v>
      </c>
    </row>
    <row r="54" spans="1:12" x14ac:dyDescent="0.3">
      <c r="A54">
        <v>53</v>
      </c>
      <c r="B54">
        <v>53</v>
      </c>
      <c r="C54">
        <v>52</v>
      </c>
      <c r="D54" t="s">
        <v>2040</v>
      </c>
      <c r="E54">
        <f t="shared" si="0"/>
        <v>2024</v>
      </c>
      <c r="F54" t="str">
        <f t="shared" si="1"/>
        <v>Mar</v>
      </c>
      <c r="G54">
        <v>3</v>
      </c>
      <c r="H54">
        <f>_xlfn.XLOOKUP(C54,Products!A:A,Products!D:D)</f>
        <v>256.76</v>
      </c>
      <c r="I54">
        <v>20</v>
      </c>
      <c r="J54">
        <f t="shared" si="2"/>
        <v>616.22400000000005</v>
      </c>
      <c r="K54" t="s">
        <v>2017</v>
      </c>
      <c r="L54" t="str">
        <f>_xlfn.XLOOKUP(Orders[[#This Row],[ProductID]],Products!A:A,Products!C:C)</f>
        <v>Home</v>
      </c>
    </row>
    <row r="55" spans="1:12" x14ac:dyDescent="0.3">
      <c r="A55">
        <v>54</v>
      </c>
      <c r="B55">
        <v>54</v>
      </c>
      <c r="C55">
        <v>39</v>
      </c>
      <c r="D55" t="s">
        <v>1729</v>
      </c>
      <c r="E55">
        <f t="shared" si="0"/>
        <v>2023</v>
      </c>
      <c r="F55" t="str">
        <f t="shared" si="1"/>
        <v>Nov</v>
      </c>
      <c r="G55">
        <v>3</v>
      </c>
      <c r="H55">
        <f>_xlfn.XLOOKUP(C55,Products!A:A,Products!D:D)</f>
        <v>256.08999999999997</v>
      </c>
      <c r="I55">
        <v>10</v>
      </c>
      <c r="J55">
        <f t="shared" si="2"/>
        <v>691.44299999999998</v>
      </c>
      <c r="K55" t="s">
        <v>2017</v>
      </c>
      <c r="L55" t="str">
        <f>_xlfn.XLOOKUP(Orders[[#This Row],[ProductID]],Products!A:A,Products!C:C)</f>
        <v>Clothing</v>
      </c>
    </row>
    <row r="56" spans="1:12" x14ac:dyDescent="0.3">
      <c r="A56">
        <v>55</v>
      </c>
      <c r="B56">
        <v>55</v>
      </c>
      <c r="C56">
        <v>39</v>
      </c>
      <c r="D56" t="s">
        <v>1473</v>
      </c>
      <c r="E56">
        <f t="shared" si="0"/>
        <v>2023</v>
      </c>
      <c r="F56" t="str">
        <f t="shared" si="1"/>
        <v>Feb</v>
      </c>
      <c r="G56">
        <v>1</v>
      </c>
      <c r="H56">
        <f>_xlfn.XLOOKUP(C56,Products!A:A,Products!D:D)</f>
        <v>256.08999999999997</v>
      </c>
      <c r="I56">
        <v>5</v>
      </c>
      <c r="J56">
        <f t="shared" si="2"/>
        <v>243.28549999999996</v>
      </c>
      <c r="K56" t="s">
        <v>2019</v>
      </c>
      <c r="L56" t="str">
        <f>_xlfn.XLOOKUP(Orders[[#This Row],[ProductID]],Products!A:A,Products!C:C)</f>
        <v>Clothing</v>
      </c>
    </row>
    <row r="57" spans="1:12" x14ac:dyDescent="0.3">
      <c r="A57">
        <v>56</v>
      </c>
      <c r="B57">
        <v>56</v>
      </c>
      <c r="C57">
        <v>25</v>
      </c>
      <c r="D57" t="s">
        <v>787</v>
      </c>
      <c r="E57">
        <f t="shared" si="0"/>
        <v>2023</v>
      </c>
      <c r="F57" t="str">
        <f t="shared" si="1"/>
        <v>Feb</v>
      </c>
      <c r="G57">
        <v>1</v>
      </c>
      <c r="H57">
        <f>_xlfn.XLOOKUP(C57,Products!A:A,Products!D:D)</f>
        <v>1011.65</v>
      </c>
      <c r="I57">
        <v>5</v>
      </c>
      <c r="J57">
        <f t="shared" si="2"/>
        <v>961.06749999999988</v>
      </c>
      <c r="K57" t="s">
        <v>2019</v>
      </c>
      <c r="L57" t="str">
        <f>_xlfn.XLOOKUP(Orders[[#This Row],[ProductID]],Products!A:A,Products!C:C)</f>
        <v>Electronics</v>
      </c>
    </row>
    <row r="58" spans="1:12" x14ac:dyDescent="0.3">
      <c r="A58">
        <v>57</v>
      </c>
      <c r="B58">
        <v>57</v>
      </c>
      <c r="C58">
        <v>27</v>
      </c>
      <c r="D58" t="s">
        <v>633</v>
      </c>
      <c r="E58">
        <f t="shared" si="0"/>
        <v>2023</v>
      </c>
      <c r="F58" t="str">
        <f t="shared" si="1"/>
        <v>Sep</v>
      </c>
      <c r="G58">
        <v>3</v>
      </c>
      <c r="H58">
        <f>_xlfn.XLOOKUP(C58,Products!A:A,Products!D:D)</f>
        <v>76.09</v>
      </c>
      <c r="I58">
        <v>5</v>
      </c>
      <c r="J58">
        <f t="shared" si="2"/>
        <v>216.85650000000001</v>
      </c>
      <c r="K58" t="s">
        <v>2021</v>
      </c>
      <c r="L58" t="str">
        <f>_xlfn.XLOOKUP(Orders[[#This Row],[ProductID]],Products!A:A,Products!C:C)</f>
        <v>Clothing</v>
      </c>
    </row>
    <row r="59" spans="1:12" x14ac:dyDescent="0.3">
      <c r="A59">
        <v>58</v>
      </c>
      <c r="B59">
        <v>58</v>
      </c>
      <c r="C59">
        <v>56</v>
      </c>
      <c r="D59" t="s">
        <v>2041</v>
      </c>
      <c r="E59">
        <f t="shared" si="0"/>
        <v>2024</v>
      </c>
      <c r="F59" t="str">
        <f t="shared" si="1"/>
        <v>Mar</v>
      </c>
      <c r="G59">
        <v>3</v>
      </c>
      <c r="H59">
        <f>_xlfn.XLOOKUP(C59,Products!A:A,Products!D:D)</f>
        <v>396.01</v>
      </c>
      <c r="I59">
        <v>20</v>
      </c>
      <c r="J59">
        <f t="shared" si="2"/>
        <v>950.42399999999998</v>
      </c>
      <c r="K59" t="s">
        <v>2021</v>
      </c>
      <c r="L59" t="str">
        <f>_xlfn.XLOOKUP(Orders[[#This Row],[ProductID]],Products!A:A,Products!C:C)</f>
        <v>Home</v>
      </c>
    </row>
    <row r="60" spans="1:12" x14ac:dyDescent="0.3">
      <c r="A60">
        <v>59</v>
      </c>
      <c r="B60">
        <v>59</v>
      </c>
      <c r="C60">
        <v>12</v>
      </c>
      <c r="D60" t="s">
        <v>542</v>
      </c>
      <c r="E60">
        <f t="shared" si="0"/>
        <v>2023</v>
      </c>
      <c r="F60" t="str">
        <f t="shared" si="1"/>
        <v>Jun</v>
      </c>
      <c r="G60">
        <v>2</v>
      </c>
      <c r="H60">
        <f>_xlfn.XLOOKUP(C60,Products!A:A,Products!D:D)</f>
        <v>627.41999999999996</v>
      </c>
      <c r="I60">
        <v>5</v>
      </c>
      <c r="J60">
        <f t="shared" si="2"/>
        <v>1192.098</v>
      </c>
      <c r="K60" t="s">
        <v>2017</v>
      </c>
      <c r="L60" t="str">
        <f>_xlfn.XLOOKUP(Orders[[#This Row],[ProductID]],Products!A:A,Products!C:C)</f>
        <v>Beauty</v>
      </c>
    </row>
    <row r="61" spans="1:12" x14ac:dyDescent="0.3">
      <c r="A61">
        <v>60</v>
      </c>
      <c r="B61">
        <v>60</v>
      </c>
      <c r="C61">
        <v>55</v>
      </c>
      <c r="D61" t="s">
        <v>2042</v>
      </c>
      <c r="E61">
        <f t="shared" si="0"/>
        <v>2023</v>
      </c>
      <c r="F61" t="str">
        <f t="shared" si="1"/>
        <v>Jan</v>
      </c>
      <c r="G61">
        <v>1</v>
      </c>
      <c r="H61">
        <f>_xlfn.XLOOKUP(C61,Products!A:A,Products!D:D)</f>
        <v>1016.06</v>
      </c>
      <c r="I61">
        <v>5</v>
      </c>
      <c r="J61">
        <f t="shared" si="2"/>
        <v>965.25699999999995</v>
      </c>
      <c r="K61" t="s">
        <v>2021</v>
      </c>
      <c r="L61" t="str">
        <f>_xlfn.XLOOKUP(Orders[[#This Row],[ProductID]],Products!A:A,Products!C:C)</f>
        <v>Clothing</v>
      </c>
    </row>
    <row r="62" spans="1:12" x14ac:dyDescent="0.3">
      <c r="A62">
        <v>61</v>
      </c>
      <c r="B62">
        <v>61</v>
      </c>
      <c r="C62">
        <v>57</v>
      </c>
      <c r="D62" t="s">
        <v>2043</v>
      </c>
      <c r="E62">
        <f t="shared" si="0"/>
        <v>2024</v>
      </c>
      <c r="F62" t="str">
        <f t="shared" si="1"/>
        <v>May</v>
      </c>
      <c r="G62">
        <v>2</v>
      </c>
      <c r="H62">
        <f>_xlfn.XLOOKUP(C62,Products!A:A,Products!D:D)</f>
        <v>768.03</v>
      </c>
      <c r="I62">
        <v>15</v>
      </c>
      <c r="J62">
        <f t="shared" si="2"/>
        <v>1305.6509999999998</v>
      </c>
      <c r="K62" t="s">
        <v>2019</v>
      </c>
      <c r="L62" t="str">
        <f>_xlfn.XLOOKUP(Orders[[#This Row],[ProductID]],Products!A:A,Products!C:C)</f>
        <v>Electronics</v>
      </c>
    </row>
    <row r="63" spans="1:12" x14ac:dyDescent="0.3">
      <c r="A63">
        <v>62</v>
      </c>
      <c r="B63">
        <v>62</v>
      </c>
      <c r="C63">
        <v>58</v>
      </c>
      <c r="D63" t="s">
        <v>1513</v>
      </c>
      <c r="E63">
        <f t="shared" si="0"/>
        <v>2023</v>
      </c>
      <c r="F63" t="str">
        <f t="shared" si="1"/>
        <v>Oct</v>
      </c>
      <c r="G63">
        <v>1</v>
      </c>
      <c r="H63">
        <f>_xlfn.XLOOKUP(C63,Products!A:A,Products!D:D)</f>
        <v>334.98</v>
      </c>
      <c r="I63">
        <v>5</v>
      </c>
      <c r="J63">
        <f t="shared" si="2"/>
        <v>318.23099999999999</v>
      </c>
      <c r="K63" t="s">
        <v>2024</v>
      </c>
      <c r="L63" t="str">
        <f>_xlfn.XLOOKUP(Orders[[#This Row],[ProductID]],Products!A:A,Products!C:C)</f>
        <v>Home</v>
      </c>
    </row>
    <row r="64" spans="1:12" x14ac:dyDescent="0.3">
      <c r="A64">
        <v>63</v>
      </c>
      <c r="B64">
        <v>63</v>
      </c>
      <c r="C64">
        <v>73</v>
      </c>
      <c r="D64" t="s">
        <v>2044</v>
      </c>
      <c r="E64">
        <f t="shared" si="0"/>
        <v>2024</v>
      </c>
      <c r="F64" t="str">
        <f t="shared" si="1"/>
        <v>Feb</v>
      </c>
      <c r="G64">
        <v>2</v>
      </c>
      <c r="H64">
        <f>_xlfn.XLOOKUP(C64,Products!A:A,Products!D:D)</f>
        <v>943.04</v>
      </c>
      <c r="I64">
        <v>0</v>
      </c>
      <c r="J64">
        <f t="shared" si="2"/>
        <v>1886.08</v>
      </c>
      <c r="K64" t="s">
        <v>2024</v>
      </c>
      <c r="L64" t="str">
        <f>_xlfn.XLOOKUP(Orders[[#This Row],[ProductID]],Products!A:A,Products!C:C)</f>
        <v>Home</v>
      </c>
    </row>
    <row r="65" spans="1:12" x14ac:dyDescent="0.3">
      <c r="A65">
        <v>64</v>
      </c>
      <c r="B65">
        <v>64</v>
      </c>
      <c r="C65">
        <v>2</v>
      </c>
      <c r="D65" t="s">
        <v>1382</v>
      </c>
      <c r="E65">
        <f t="shared" si="0"/>
        <v>2023</v>
      </c>
      <c r="F65" t="str">
        <f t="shared" si="1"/>
        <v>Feb</v>
      </c>
      <c r="G65">
        <v>3</v>
      </c>
      <c r="H65">
        <f>_xlfn.XLOOKUP(C65,Products!A:A,Products!D:D)</f>
        <v>427.27</v>
      </c>
      <c r="I65">
        <v>15</v>
      </c>
      <c r="J65">
        <f t="shared" si="2"/>
        <v>1089.5384999999999</v>
      </c>
      <c r="K65" t="s">
        <v>2017</v>
      </c>
      <c r="L65" t="str">
        <f>_xlfn.XLOOKUP(Orders[[#This Row],[ProductID]],Products!A:A,Products!C:C)</f>
        <v>Home</v>
      </c>
    </row>
    <row r="66" spans="1:12" x14ac:dyDescent="0.3">
      <c r="A66">
        <v>65</v>
      </c>
      <c r="B66">
        <v>65</v>
      </c>
      <c r="C66">
        <v>64</v>
      </c>
      <c r="D66" t="s">
        <v>2045</v>
      </c>
      <c r="E66">
        <f t="shared" si="0"/>
        <v>2024</v>
      </c>
      <c r="F66" t="str">
        <f t="shared" si="1"/>
        <v>Jan</v>
      </c>
      <c r="G66">
        <v>3</v>
      </c>
      <c r="H66">
        <f>_xlfn.XLOOKUP(C66,Products!A:A,Products!D:D)</f>
        <v>567.71</v>
      </c>
      <c r="I66">
        <v>20</v>
      </c>
      <c r="J66">
        <f t="shared" si="2"/>
        <v>1362.5040000000001</v>
      </c>
      <c r="K66" t="s">
        <v>2015</v>
      </c>
      <c r="L66" t="str">
        <f>_xlfn.XLOOKUP(Orders[[#This Row],[ProductID]],Products!A:A,Products!C:C)</f>
        <v>Clothing</v>
      </c>
    </row>
    <row r="67" spans="1:12" x14ac:dyDescent="0.3">
      <c r="A67">
        <v>66</v>
      </c>
      <c r="B67">
        <v>66</v>
      </c>
      <c r="C67">
        <v>38</v>
      </c>
      <c r="D67" t="s">
        <v>442</v>
      </c>
      <c r="E67">
        <f t="shared" ref="E67:E130" si="3">YEAR(D67)</f>
        <v>2023</v>
      </c>
      <c r="F67" t="str">
        <f t="shared" ref="F67:F130" si="4">TEXT(D67,"mmm")</f>
        <v>Jan</v>
      </c>
      <c r="G67">
        <v>2</v>
      </c>
      <c r="H67">
        <f>_xlfn.XLOOKUP(C67,Products!A:A,Products!D:D)</f>
        <v>802.88</v>
      </c>
      <c r="I67">
        <v>15</v>
      </c>
      <c r="J67">
        <f t="shared" ref="J67:J130" si="5">G67*H67*(1-I67/100)</f>
        <v>1364.896</v>
      </c>
      <c r="K67" t="s">
        <v>2017</v>
      </c>
      <c r="L67" t="str">
        <f>_xlfn.XLOOKUP(Orders[[#This Row],[ProductID]],Products!A:A,Products!C:C)</f>
        <v>Home</v>
      </c>
    </row>
    <row r="68" spans="1:12" x14ac:dyDescent="0.3">
      <c r="A68">
        <v>67</v>
      </c>
      <c r="B68">
        <v>67</v>
      </c>
      <c r="C68">
        <v>66</v>
      </c>
      <c r="D68" t="s">
        <v>386</v>
      </c>
      <c r="E68">
        <f t="shared" si="3"/>
        <v>2023</v>
      </c>
      <c r="F68" t="str">
        <f t="shared" si="4"/>
        <v>Oct</v>
      </c>
      <c r="G68">
        <v>3</v>
      </c>
      <c r="H68">
        <f>_xlfn.XLOOKUP(C68,Products!A:A,Products!D:D)</f>
        <v>783.37</v>
      </c>
      <c r="I68">
        <v>20</v>
      </c>
      <c r="J68">
        <f t="shared" si="5"/>
        <v>1880.0880000000002</v>
      </c>
      <c r="K68" t="s">
        <v>2017</v>
      </c>
      <c r="L68" t="str">
        <f>_xlfn.XLOOKUP(Orders[[#This Row],[ProductID]],Products!A:A,Products!C:C)</f>
        <v>Home</v>
      </c>
    </row>
    <row r="69" spans="1:12" x14ac:dyDescent="0.3">
      <c r="A69">
        <v>68</v>
      </c>
      <c r="B69">
        <v>68</v>
      </c>
      <c r="C69">
        <v>30</v>
      </c>
      <c r="D69" t="s">
        <v>2046</v>
      </c>
      <c r="E69">
        <f t="shared" si="3"/>
        <v>2024</v>
      </c>
      <c r="F69" t="str">
        <f t="shared" si="4"/>
        <v>Jan</v>
      </c>
      <c r="G69">
        <v>1</v>
      </c>
      <c r="H69">
        <f>_xlfn.XLOOKUP(C69,Products!A:A,Products!D:D)</f>
        <v>866.89</v>
      </c>
      <c r="I69">
        <v>20</v>
      </c>
      <c r="J69">
        <f t="shared" si="5"/>
        <v>693.51200000000006</v>
      </c>
      <c r="K69" t="s">
        <v>2019</v>
      </c>
      <c r="L69" t="str">
        <f>_xlfn.XLOOKUP(Orders[[#This Row],[ProductID]],Products!A:A,Products!C:C)</f>
        <v>Electronics</v>
      </c>
    </row>
    <row r="70" spans="1:12" x14ac:dyDescent="0.3">
      <c r="A70">
        <v>69</v>
      </c>
      <c r="B70">
        <v>69</v>
      </c>
      <c r="C70">
        <v>55</v>
      </c>
      <c r="D70" t="s">
        <v>499</v>
      </c>
      <c r="E70">
        <f t="shared" si="3"/>
        <v>2023</v>
      </c>
      <c r="F70" t="str">
        <f t="shared" si="4"/>
        <v>Oct</v>
      </c>
      <c r="G70">
        <v>2</v>
      </c>
      <c r="H70">
        <f>_xlfn.XLOOKUP(C70,Products!A:A,Products!D:D)</f>
        <v>1016.06</v>
      </c>
      <c r="I70">
        <v>20</v>
      </c>
      <c r="J70">
        <f t="shared" si="5"/>
        <v>1625.6959999999999</v>
      </c>
      <c r="K70" t="s">
        <v>2019</v>
      </c>
      <c r="L70" t="str">
        <f>_xlfn.XLOOKUP(Orders[[#This Row],[ProductID]],Products!A:A,Products!C:C)</f>
        <v>Clothing</v>
      </c>
    </row>
    <row r="71" spans="1:12" x14ac:dyDescent="0.3">
      <c r="A71">
        <v>70</v>
      </c>
      <c r="B71">
        <v>70</v>
      </c>
      <c r="C71">
        <v>35</v>
      </c>
      <c r="D71" t="s">
        <v>2047</v>
      </c>
      <c r="E71">
        <f t="shared" si="3"/>
        <v>2024</v>
      </c>
      <c r="F71" t="str">
        <f t="shared" si="4"/>
        <v>Apr</v>
      </c>
      <c r="G71">
        <v>3</v>
      </c>
      <c r="H71">
        <f>_xlfn.XLOOKUP(C71,Products!A:A,Products!D:D)</f>
        <v>958.87</v>
      </c>
      <c r="I71">
        <v>15</v>
      </c>
      <c r="J71">
        <f t="shared" si="5"/>
        <v>2445.1185</v>
      </c>
      <c r="K71" t="s">
        <v>2017</v>
      </c>
      <c r="L71" t="str">
        <f>_xlfn.XLOOKUP(Orders[[#This Row],[ProductID]],Products!A:A,Products!C:C)</f>
        <v>Clothing</v>
      </c>
    </row>
    <row r="72" spans="1:12" x14ac:dyDescent="0.3">
      <c r="A72">
        <v>71</v>
      </c>
      <c r="B72">
        <v>71</v>
      </c>
      <c r="C72">
        <v>15</v>
      </c>
      <c r="D72" t="s">
        <v>1758</v>
      </c>
      <c r="E72">
        <f t="shared" si="3"/>
        <v>2023</v>
      </c>
      <c r="F72" t="str">
        <f t="shared" si="4"/>
        <v>Sep</v>
      </c>
      <c r="G72">
        <v>3</v>
      </c>
      <c r="H72">
        <f>_xlfn.XLOOKUP(C72,Products!A:A,Products!D:D)</f>
        <v>1183.2</v>
      </c>
      <c r="I72">
        <v>10</v>
      </c>
      <c r="J72">
        <f t="shared" si="5"/>
        <v>3194.6400000000003</v>
      </c>
      <c r="K72" t="s">
        <v>2017</v>
      </c>
      <c r="L72" t="str">
        <f>_xlfn.XLOOKUP(Orders[[#This Row],[ProductID]],Products!A:A,Products!C:C)</f>
        <v>Electronics</v>
      </c>
    </row>
    <row r="73" spans="1:12" x14ac:dyDescent="0.3">
      <c r="A73">
        <v>72</v>
      </c>
      <c r="B73">
        <v>72</v>
      </c>
      <c r="C73">
        <v>56</v>
      </c>
      <c r="D73" t="s">
        <v>2048</v>
      </c>
      <c r="E73">
        <f t="shared" si="3"/>
        <v>2023</v>
      </c>
      <c r="F73" t="str">
        <f t="shared" si="4"/>
        <v>Jan</v>
      </c>
      <c r="G73">
        <v>1</v>
      </c>
      <c r="H73">
        <f>_xlfn.XLOOKUP(C73,Products!A:A,Products!D:D)</f>
        <v>396.01</v>
      </c>
      <c r="I73">
        <v>10</v>
      </c>
      <c r="J73">
        <f t="shared" si="5"/>
        <v>356.40899999999999</v>
      </c>
      <c r="K73" t="s">
        <v>2021</v>
      </c>
      <c r="L73" t="str">
        <f>_xlfn.XLOOKUP(Orders[[#This Row],[ProductID]],Products!A:A,Products!C:C)</f>
        <v>Home</v>
      </c>
    </row>
    <row r="74" spans="1:12" x14ac:dyDescent="0.3">
      <c r="A74">
        <v>73</v>
      </c>
      <c r="B74">
        <v>73</v>
      </c>
      <c r="C74">
        <v>61</v>
      </c>
      <c r="D74" t="s">
        <v>2049</v>
      </c>
      <c r="E74">
        <f t="shared" si="3"/>
        <v>2023</v>
      </c>
      <c r="F74" t="str">
        <f t="shared" si="4"/>
        <v>Jun</v>
      </c>
      <c r="G74">
        <v>2</v>
      </c>
      <c r="H74">
        <f>_xlfn.XLOOKUP(C74,Products!A:A,Products!D:D)</f>
        <v>498.92</v>
      </c>
      <c r="I74">
        <v>5</v>
      </c>
      <c r="J74">
        <f t="shared" si="5"/>
        <v>947.94799999999998</v>
      </c>
      <c r="K74" t="s">
        <v>2015</v>
      </c>
      <c r="L74" t="str">
        <f>_xlfn.XLOOKUP(Orders[[#This Row],[ProductID]],Products!A:A,Products!C:C)</f>
        <v>Clothing</v>
      </c>
    </row>
    <row r="75" spans="1:12" x14ac:dyDescent="0.3">
      <c r="A75">
        <v>74</v>
      </c>
      <c r="B75">
        <v>74</v>
      </c>
      <c r="C75">
        <v>29</v>
      </c>
      <c r="D75" t="s">
        <v>924</v>
      </c>
      <c r="E75">
        <f t="shared" si="3"/>
        <v>2023</v>
      </c>
      <c r="F75" t="str">
        <f t="shared" si="4"/>
        <v>Oct</v>
      </c>
      <c r="G75">
        <v>3</v>
      </c>
      <c r="H75">
        <f>_xlfn.XLOOKUP(C75,Products!A:A,Products!D:D)</f>
        <v>757</v>
      </c>
      <c r="I75">
        <v>10</v>
      </c>
      <c r="J75">
        <f t="shared" si="5"/>
        <v>2043.9</v>
      </c>
      <c r="K75" t="s">
        <v>2015</v>
      </c>
      <c r="L75" t="str">
        <f>_xlfn.XLOOKUP(Orders[[#This Row],[ProductID]],Products!A:A,Products!C:C)</f>
        <v>Clothing</v>
      </c>
    </row>
    <row r="76" spans="1:12" x14ac:dyDescent="0.3">
      <c r="A76">
        <v>75</v>
      </c>
      <c r="B76">
        <v>75</v>
      </c>
      <c r="C76">
        <v>60</v>
      </c>
      <c r="D76" t="s">
        <v>13</v>
      </c>
      <c r="E76">
        <f t="shared" si="3"/>
        <v>2023</v>
      </c>
      <c r="F76" t="str">
        <f t="shared" si="4"/>
        <v>Mar</v>
      </c>
      <c r="G76">
        <v>2</v>
      </c>
      <c r="H76">
        <f>_xlfn.XLOOKUP(C76,Products!A:A,Products!D:D)</f>
        <v>830.49</v>
      </c>
      <c r="I76">
        <v>15</v>
      </c>
      <c r="J76">
        <f t="shared" si="5"/>
        <v>1411.8330000000001</v>
      </c>
      <c r="K76" t="s">
        <v>2017</v>
      </c>
      <c r="L76" t="str">
        <f>_xlfn.XLOOKUP(Orders[[#This Row],[ProductID]],Products!A:A,Products!C:C)</f>
        <v>Clothing</v>
      </c>
    </row>
    <row r="77" spans="1:12" x14ac:dyDescent="0.3">
      <c r="A77">
        <v>76</v>
      </c>
      <c r="B77">
        <v>76</v>
      </c>
      <c r="C77">
        <v>47</v>
      </c>
      <c r="D77" t="s">
        <v>2050</v>
      </c>
      <c r="E77">
        <f t="shared" si="3"/>
        <v>2024</v>
      </c>
      <c r="F77" t="str">
        <f t="shared" si="4"/>
        <v>Feb</v>
      </c>
      <c r="G77">
        <v>2</v>
      </c>
      <c r="H77">
        <f>_xlfn.XLOOKUP(C77,Products!A:A,Products!D:D)</f>
        <v>1126.96</v>
      </c>
      <c r="I77">
        <v>5</v>
      </c>
      <c r="J77">
        <f t="shared" si="5"/>
        <v>2141.2240000000002</v>
      </c>
      <c r="K77" t="s">
        <v>2015</v>
      </c>
      <c r="L77" t="str">
        <f>_xlfn.XLOOKUP(Orders[[#This Row],[ProductID]],Products!A:A,Products!C:C)</f>
        <v>Beauty</v>
      </c>
    </row>
    <row r="78" spans="1:12" x14ac:dyDescent="0.3">
      <c r="A78">
        <v>77</v>
      </c>
      <c r="B78">
        <v>77</v>
      </c>
      <c r="C78">
        <v>27</v>
      </c>
      <c r="D78" t="s">
        <v>1243</v>
      </c>
      <c r="E78">
        <f t="shared" si="3"/>
        <v>2023</v>
      </c>
      <c r="F78" t="str">
        <f t="shared" si="4"/>
        <v>May</v>
      </c>
      <c r="G78">
        <v>3</v>
      </c>
      <c r="H78">
        <f>_xlfn.XLOOKUP(C78,Products!A:A,Products!D:D)</f>
        <v>76.09</v>
      </c>
      <c r="I78">
        <v>0</v>
      </c>
      <c r="J78">
        <f t="shared" si="5"/>
        <v>228.27</v>
      </c>
      <c r="K78" t="s">
        <v>2017</v>
      </c>
      <c r="L78" t="str">
        <f>_xlfn.XLOOKUP(Orders[[#This Row],[ProductID]],Products!A:A,Products!C:C)</f>
        <v>Clothing</v>
      </c>
    </row>
    <row r="79" spans="1:12" x14ac:dyDescent="0.3">
      <c r="A79">
        <v>78</v>
      </c>
      <c r="B79">
        <v>78</v>
      </c>
      <c r="C79">
        <v>17</v>
      </c>
      <c r="D79" t="s">
        <v>355</v>
      </c>
      <c r="E79">
        <f t="shared" si="3"/>
        <v>2023</v>
      </c>
      <c r="F79" t="str">
        <f t="shared" si="4"/>
        <v>Mar</v>
      </c>
      <c r="G79">
        <v>1</v>
      </c>
      <c r="H79">
        <f>_xlfn.XLOOKUP(C79,Products!A:A,Products!D:D)</f>
        <v>695.6</v>
      </c>
      <c r="I79">
        <v>5</v>
      </c>
      <c r="J79">
        <f t="shared" si="5"/>
        <v>660.81999999999994</v>
      </c>
      <c r="K79" t="s">
        <v>2015</v>
      </c>
      <c r="L79" t="str">
        <f>_xlfn.XLOOKUP(Orders[[#This Row],[ProductID]],Products!A:A,Products!C:C)</f>
        <v>Clothing</v>
      </c>
    </row>
    <row r="80" spans="1:12" x14ac:dyDescent="0.3">
      <c r="A80">
        <v>79</v>
      </c>
      <c r="B80">
        <v>79</v>
      </c>
      <c r="C80">
        <v>63</v>
      </c>
      <c r="D80" t="s">
        <v>323</v>
      </c>
      <c r="E80">
        <f t="shared" si="3"/>
        <v>2023</v>
      </c>
      <c r="F80" t="str">
        <f t="shared" si="4"/>
        <v>Feb</v>
      </c>
      <c r="G80">
        <v>2</v>
      </c>
      <c r="H80">
        <f>_xlfn.XLOOKUP(C80,Products!A:A,Products!D:D)</f>
        <v>309.79000000000002</v>
      </c>
      <c r="I80">
        <v>15</v>
      </c>
      <c r="J80">
        <f t="shared" si="5"/>
        <v>526.64300000000003</v>
      </c>
      <c r="K80" t="s">
        <v>2024</v>
      </c>
      <c r="L80" t="str">
        <f>_xlfn.XLOOKUP(Orders[[#This Row],[ProductID]],Products!A:A,Products!C:C)</f>
        <v>Electronics</v>
      </c>
    </row>
    <row r="81" spans="1:12" x14ac:dyDescent="0.3">
      <c r="A81">
        <v>80</v>
      </c>
      <c r="B81">
        <v>80</v>
      </c>
      <c r="C81">
        <v>31</v>
      </c>
      <c r="D81" t="s">
        <v>640</v>
      </c>
      <c r="E81">
        <f t="shared" si="3"/>
        <v>2023</v>
      </c>
      <c r="F81" t="str">
        <f t="shared" si="4"/>
        <v>Apr</v>
      </c>
      <c r="G81">
        <v>3</v>
      </c>
      <c r="H81">
        <f>_xlfn.XLOOKUP(C81,Products!A:A,Products!D:D)</f>
        <v>131.79</v>
      </c>
      <c r="I81">
        <v>0</v>
      </c>
      <c r="J81">
        <f t="shared" si="5"/>
        <v>395.37</v>
      </c>
      <c r="K81" t="s">
        <v>2019</v>
      </c>
      <c r="L81" t="str">
        <f>_xlfn.XLOOKUP(Orders[[#This Row],[ProductID]],Products!A:A,Products!C:C)</f>
        <v>Beauty</v>
      </c>
    </row>
    <row r="82" spans="1:12" x14ac:dyDescent="0.3">
      <c r="A82">
        <v>81</v>
      </c>
      <c r="B82">
        <v>81</v>
      </c>
      <c r="C82">
        <v>46</v>
      </c>
      <c r="D82" t="s">
        <v>2051</v>
      </c>
      <c r="E82">
        <f t="shared" si="3"/>
        <v>2024</v>
      </c>
      <c r="F82" t="str">
        <f t="shared" si="4"/>
        <v>Mar</v>
      </c>
      <c r="G82">
        <v>2</v>
      </c>
      <c r="H82">
        <f>_xlfn.XLOOKUP(C82,Products!A:A,Products!D:D)</f>
        <v>1155.3</v>
      </c>
      <c r="I82">
        <v>10</v>
      </c>
      <c r="J82">
        <f t="shared" si="5"/>
        <v>2079.54</v>
      </c>
      <c r="K82" t="s">
        <v>2021</v>
      </c>
      <c r="L82" t="str">
        <f>_xlfn.XLOOKUP(Orders[[#This Row],[ProductID]],Products!A:A,Products!C:C)</f>
        <v>Beauty</v>
      </c>
    </row>
    <row r="83" spans="1:12" x14ac:dyDescent="0.3">
      <c r="A83">
        <v>82</v>
      </c>
      <c r="B83">
        <v>82</v>
      </c>
      <c r="C83">
        <v>23</v>
      </c>
      <c r="D83" t="s">
        <v>2052</v>
      </c>
      <c r="E83">
        <f t="shared" si="3"/>
        <v>2024</v>
      </c>
      <c r="F83" t="str">
        <f t="shared" si="4"/>
        <v>Feb</v>
      </c>
      <c r="G83">
        <v>3</v>
      </c>
      <c r="H83">
        <f>_xlfn.XLOOKUP(C83,Products!A:A,Products!D:D)</f>
        <v>258.08</v>
      </c>
      <c r="I83">
        <v>0</v>
      </c>
      <c r="J83">
        <f t="shared" si="5"/>
        <v>774.24</v>
      </c>
      <c r="K83" t="s">
        <v>2019</v>
      </c>
      <c r="L83" t="str">
        <f>_xlfn.XLOOKUP(Orders[[#This Row],[ProductID]],Products!A:A,Products!C:C)</f>
        <v>Home</v>
      </c>
    </row>
    <row r="84" spans="1:12" x14ac:dyDescent="0.3">
      <c r="A84">
        <v>83</v>
      </c>
      <c r="B84">
        <v>83</v>
      </c>
      <c r="C84">
        <v>44</v>
      </c>
      <c r="D84" t="s">
        <v>458</v>
      </c>
      <c r="E84">
        <f t="shared" si="3"/>
        <v>2023</v>
      </c>
      <c r="F84" t="str">
        <f t="shared" si="4"/>
        <v>Aug</v>
      </c>
      <c r="G84">
        <v>1</v>
      </c>
      <c r="H84">
        <f>_xlfn.XLOOKUP(C84,Products!A:A,Products!D:D)</f>
        <v>1038</v>
      </c>
      <c r="I84">
        <v>20</v>
      </c>
      <c r="J84">
        <f t="shared" si="5"/>
        <v>830.40000000000009</v>
      </c>
      <c r="K84" t="s">
        <v>2021</v>
      </c>
      <c r="L84" t="str">
        <f>_xlfn.XLOOKUP(Orders[[#This Row],[ProductID]],Products!A:A,Products!C:C)</f>
        <v>Home</v>
      </c>
    </row>
    <row r="85" spans="1:12" x14ac:dyDescent="0.3">
      <c r="A85">
        <v>84</v>
      </c>
      <c r="B85">
        <v>84</v>
      </c>
      <c r="C85">
        <v>16</v>
      </c>
      <c r="D85" t="s">
        <v>1317</v>
      </c>
      <c r="E85">
        <f t="shared" si="3"/>
        <v>2023</v>
      </c>
      <c r="F85" t="str">
        <f t="shared" si="4"/>
        <v>Oct</v>
      </c>
      <c r="G85">
        <v>1</v>
      </c>
      <c r="H85">
        <f>_xlfn.XLOOKUP(C85,Products!A:A,Products!D:D)</f>
        <v>693.02</v>
      </c>
      <c r="I85">
        <v>15</v>
      </c>
      <c r="J85">
        <f t="shared" si="5"/>
        <v>589.06700000000001</v>
      </c>
      <c r="K85" t="s">
        <v>2024</v>
      </c>
      <c r="L85" t="str">
        <f>_xlfn.XLOOKUP(Orders[[#This Row],[ProductID]],Products!A:A,Products!C:C)</f>
        <v>Home</v>
      </c>
    </row>
    <row r="86" spans="1:12" x14ac:dyDescent="0.3">
      <c r="A86">
        <v>85</v>
      </c>
      <c r="B86">
        <v>85</v>
      </c>
      <c r="C86">
        <v>44</v>
      </c>
      <c r="D86" t="s">
        <v>2053</v>
      </c>
      <c r="E86">
        <f t="shared" si="3"/>
        <v>2024</v>
      </c>
      <c r="F86" t="str">
        <f t="shared" si="4"/>
        <v>Feb</v>
      </c>
      <c r="G86">
        <v>2</v>
      </c>
      <c r="H86">
        <f>_xlfn.XLOOKUP(C86,Products!A:A,Products!D:D)</f>
        <v>1038</v>
      </c>
      <c r="I86">
        <v>0</v>
      </c>
      <c r="J86">
        <f t="shared" si="5"/>
        <v>2076</v>
      </c>
      <c r="K86" t="s">
        <v>2015</v>
      </c>
      <c r="L86" t="str">
        <f>_xlfn.XLOOKUP(Orders[[#This Row],[ProductID]],Products!A:A,Products!C:C)</f>
        <v>Home</v>
      </c>
    </row>
    <row r="87" spans="1:12" x14ac:dyDescent="0.3">
      <c r="A87">
        <v>86</v>
      </c>
      <c r="B87">
        <v>86</v>
      </c>
      <c r="C87">
        <v>35</v>
      </c>
      <c r="D87" t="s">
        <v>2054</v>
      </c>
      <c r="E87">
        <f t="shared" si="3"/>
        <v>2024</v>
      </c>
      <c r="F87" t="str">
        <f t="shared" si="4"/>
        <v>Apr</v>
      </c>
      <c r="G87">
        <v>1</v>
      </c>
      <c r="H87">
        <f>_xlfn.XLOOKUP(C87,Products!A:A,Products!D:D)</f>
        <v>958.87</v>
      </c>
      <c r="I87">
        <v>20</v>
      </c>
      <c r="J87">
        <f t="shared" si="5"/>
        <v>767.096</v>
      </c>
      <c r="K87" t="s">
        <v>2015</v>
      </c>
      <c r="L87" t="str">
        <f>_xlfn.XLOOKUP(Orders[[#This Row],[ProductID]],Products!A:A,Products!C:C)</f>
        <v>Clothing</v>
      </c>
    </row>
    <row r="88" spans="1:12" x14ac:dyDescent="0.3">
      <c r="A88">
        <v>87</v>
      </c>
      <c r="B88">
        <v>87</v>
      </c>
      <c r="C88">
        <v>14</v>
      </c>
      <c r="D88" t="s">
        <v>2055</v>
      </c>
      <c r="E88">
        <f t="shared" si="3"/>
        <v>2023</v>
      </c>
      <c r="F88" t="str">
        <f t="shared" si="4"/>
        <v>Dec</v>
      </c>
      <c r="G88">
        <v>1</v>
      </c>
      <c r="H88">
        <f>_xlfn.XLOOKUP(C88,Products!A:A,Products!D:D)</f>
        <v>574.25</v>
      </c>
      <c r="I88">
        <v>15</v>
      </c>
      <c r="J88">
        <f t="shared" si="5"/>
        <v>488.11250000000001</v>
      </c>
      <c r="K88" t="s">
        <v>2017</v>
      </c>
      <c r="L88" t="str">
        <f>_xlfn.XLOOKUP(Orders[[#This Row],[ProductID]],Products!A:A,Products!C:C)</f>
        <v>Beauty</v>
      </c>
    </row>
    <row r="89" spans="1:12" x14ac:dyDescent="0.3">
      <c r="A89">
        <v>88</v>
      </c>
      <c r="B89">
        <v>88</v>
      </c>
      <c r="C89">
        <v>15</v>
      </c>
      <c r="D89" t="s">
        <v>2056</v>
      </c>
      <c r="E89">
        <f t="shared" si="3"/>
        <v>2024</v>
      </c>
      <c r="F89" t="str">
        <f t="shared" si="4"/>
        <v>May</v>
      </c>
      <c r="G89">
        <v>1</v>
      </c>
      <c r="H89">
        <f>_xlfn.XLOOKUP(C89,Products!A:A,Products!D:D)</f>
        <v>1183.2</v>
      </c>
      <c r="I89">
        <v>20</v>
      </c>
      <c r="J89">
        <f t="shared" si="5"/>
        <v>946.56000000000006</v>
      </c>
      <c r="K89" t="s">
        <v>2015</v>
      </c>
      <c r="L89" t="str">
        <f>_xlfn.XLOOKUP(Orders[[#This Row],[ProductID]],Products!A:A,Products!C:C)</f>
        <v>Electronics</v>
      </c>
    </row>
    <row r="90" spans="1:12" x14ac:dyDescent="0.3">
      <c r="A90">
        <v>89</v>
      </c>
      <c r="B90">
        <v>89</v>
      </c>
      <c r="C90">
        <v>14</v>
      </c>
      <c r="D90" t="s">
        <v>2057</v>
      </c>
      <c r="E90">
        <f t="shared" si="3"/>
        <v>2024</v>
      </c>
      <c r="F90" t="str">
        <f t="shared" si="4"/>
        <v>Feb</v>
      </c>
      <c r="G90">
        <v>3</v>
      </c>
      <c r="H90">
        <f>_xlfn.XLOOKUP(C90,Products!A:A,Products!D:D)</f>
        <v>574.25</v>
      </c>
      <c r="I90">
        <v>0</v>
      </c>
      <c r="J90">
        <f t="shared" si="5"/>
        <v>1722.75</v>
      </c>
      <c r="K90" t="s">
        <v>2015</v>
      </c>
      <c r="L90" t="str">
        <f>_xlfn.XLOOKUP(Orders[[#This Row],[ProductID]],Products!A:A,Products!C:C)</f>
        <v>Beauty</v>
      </c>
    </row>
    <row r="91" spans="1:12" x14ac:dyDescent="0.3">
      <c r="A91">
        <v>90</v>
      </c>
      <c r="B91">
        <v>90</v>
      </c>
      <c r="C91">
        <v>14</v>
      </c>
      <c r="D91" t="s">
        <v>2058</v>
      </c>
      <c r="E91">
        <f t="shared" si="3"/>
        <v>2023</v>
      </c>
      <c r="F91" t="str">
        <f t="shared" si="4"/>
        <v>Mar</v>
      </c>
      <c r="G91">
        <v>3</v>
      </c>
      <c r="H91">
        <f>_xlfn.XLOOKUP(C91,Products!A:A,Products!D:D)</f>
        <v>574.25</v>
      </c>
      <c r="I91">
        <v>0</v>
      </c>
      <c r="J91">
        <f t="shared" si="5"/>
        <v>1722.75</v>
      </c>
      <c r="K91" t="s">
        <v>2021</v>
      </c>
      <c r="L91" t="str">
        <f>_xlfn.XLOOKUP(Orders[[#This Row],[ProductID]],Products!A:A,Products!C:C)</f>
        <v>Beauty</v>
      </c>
    </row>
    <row r="92" spans="1:12" x14ac:dyDescent="0.3">
      <c r="A92">
        <v>91</v>
      </c>
      <c r="B92">
        <v>91</v>
      </c>
      <c r="C92">
        <v>47</v>
      </c>
      <c r="D92" t="s">
        <v>1837</v>
      </c>
      <c r="E92">
        <f t="shared" si="3"/>
        <v>2023</v>
      </c>
      <c r="F92" t="str">
        <f t="shared" si="4"/>
        <v>Mar</v>
      </c>
      <c r="G92">
        <v>3</v>
      </c>
      <c r="H92">
        <f>_xlfn.XLOOKUP(C92,Products!A:A,Products!D:D)</f>
        <v>1126.96</v>
      </c>
      <c r="I92">
        <v>10</v>
      </c>
      <c r="J92">
        <f t="shared" si="5"/>
        <v>3042.7920000000004</v>
      </c>
      <c r="K92" t="s">
        <v>2017</v>
      </c>
      <c r="L92" t="str">
        <f>_xlfn.XLOOKUP(Orders[[#This Row],[ProductID]],Products!A:A,Products!C:C)</f>
        <v>Beauty</v>
      </c>
    </row>
    <row r="93" spans="1:12" x14ac:dyDescent="0.3">
      <c r="A93">
        <v>92</v>
      </c>
      <c r="B93">
        <v>92</v>
      </c>
      <c r="C93">
        <v>65</v>
      </c>
      <c r="D93" t="s">
        <v>290</v>
      </c>
      <c r="E93">
        <f t="shared" si="3"/>
        <v>2023</v>
      </c>
      <c r="F93" t="str">
        <f t="shared" si="4"/>
        <v>Sep</v>
      </c>
      <c r="G93">
        <v>3</v>
      </c>
      <c r="H93">
        <f>_xlfn.XLOOKUP(C93,Products!A:A,Products!D:D)</f>
        <v>1189.73</v>
      </c>
      <c r="I93">
        <v>0</v>
      </c>
      <c r="J93">
        <f t="shared" si="5"/>
        <v>3569.19</v>
      </c>
      <c r="K93" t="s">
        <v>2021</v>
      </c>
      <c r="L93" t="str">
        <f>_xlfn.XLOOKUP(Orders[[#This Row],[ProductID]],Products!A:A,Products!C:C)</f>
        <v>Home</v>
      </c>
    </row>
    <row r="94" spans="1:12" x14ac:dyDescent="0.3">
      <c r="A94">
        <v>93</v>
      </c>
      <c r="B94">
        <v>93</v>
      </c>
      <c r="C94">
        <v>47</v>
      </c>
      <c r="D94" t="s">
        <v>918</v>
      </c>
      <c r="E94">
        <f t="shared" si="3"/>
        <v>2023</v>
      </c>
      <c r="F94" t="str">
        <f t="shared" si="4"/>
        <v>Jun</v>
      </c>
      <c r="G94">
        <v>1</v>
      </c>
      <c r="H94">
        <f>_xlfn.XLOOKUP(C94,Products!A:A,Products!D:D)</f>
        <v>1126.96</v>
      </c>
      <c r="I94">
        <v>0</v>
      </c>
      <c r="J94">
        <f t="shared" si="5"/>
        <v>1126.96</v>
      </c>
      <c r="K94" t="s">
        <v>2021</v>
      </c>
      <c r="L94" t="str">
        <f>_xlfn.XLOOKUP(Orders[[#This Row],[ProductID]],Products!A:A,Products!C:C)</f>
        <v>Beauty</v>
      </c>
    </row>
    <row r="95" spans="1:12" x14ac:dyDescent="0.3">
      <c r="A95">
        <v>94</v>
      </c>
      <c r="B95">
        <v>94</v>
      </c>
      <c r="C95">
        <v>57</v>
      </c>
      <c r="D95" t="s">
        <v>2059</v>
      </c>
      <c r="E95">
        <f t="shared" si="3"/>
        <v>2024</v>
      </c>
      <c r="F95" t="str">
        <f t="shared" si="4"/>
        <v>May</v>
      </c>
      <c r="G95">
        <v>2</v>
      </c>
      <c r="H95">
        <f>_xlfn.XLOOKUP(C95,Products!A:A,Products!D:D)</f>
        <v>768.03</v>
      </c>
      <c r="I95">
        <v>0</v>
      </c>
      <c r="J95">
        <f t="shared" si="5"/>
        <v>1536.06</v>
      </c>
      <c r="K95" t="s">
        <v>2021</v>
      </c>
      <c r="L95" t="str">
        <f>_xlfn.XLOOKUP(Orders[[#This Row],[ProductID]],Products!A:A,Products!C:C)</f>
        <v>Electronics</v>
      </c>
    </row>
    <row r="96" spans="1:12" x14ac:dyDescent="0.3">
      <c r="A96">
        <v>95</v>
      </c>
      <c r="B96">
        <v>95</v>
      </c>
      <c r="C96">
        <v>61</v>
      </c>
      <c r="D96" t="s">
        <v>623</v>
      </c>
      <c r="E96">
        <f t="shared" si="3"/>
        <v>2023</v>
      </c>
      <c r="F96" t="str">
        <f t="shared" si="4"/>
        <v>Jun</v>
      </c>
      <c r="G96">
        <v>2</v>
      </c>
      <c r="H96">
        <f>_xlfn.XLOOKUP(C96,Products!A:A,Products!D:D)</f>
        <v>498.92</v>
      </c>
      <c r="I96">
        <v>20</v>
      </c>
      <c r="J96">
        <f t="shared" si="5"/>
        <v>798.27200000000005</v>
      </c>
      <c r="K96" t="s">
        <v>2021</v>
      </c>
      <c r="L96" t="str">
        <f>_xlfn.XLOOKUP(Orders[[#This Row],[ProductID]],Products!A:A,Products!C:C)</f>
        <v>Clothing</v>
      </c>
    </row>
    <row r="97" spans="1:12" x14ac:dyDescent="0.3">
      <c r="A97">
        <v>96</v>
      </c>
      <c r="B97">
        <v>96</v>
      </c>
      <c r="C97">
        <v>11</v>
      </c>
      <c r="D97" t="s">
        <v>303</v>
      </c>
      <c r="E97">
        <f t="shared" si="3"/>
        <v>2023</v>
      </c>
      <c r="F97" t="str">
        <f t="shared" si="4"/>
        <v>May</v>
      </c>
      <c r="G97">
        <v>2</v>
      </c>
      <c r="H97">
        <f>_xlfn.XLOOKUP(C97,Products!A:A,Products!D:D)</f>
        <v>1038.77</v>
      </c>
      <c r="I97">
        <v>15</v>
      </c>
      <c r="J97">
        <f t="shared" si="5"/>
        <v>1765.9089999999999</v>
      </c>
      <c r="K97" t="s">
        <v>2024</v>
      </c>
      <c r="L97" t="str">
        <f>_xlfn.XLOOKUP(Orders[[#This Row],[ProductID]],Products!A:A,Products!C:C)</f>
        <v>Beauty</v>
      </c>
    </row>
    <row r="98" spans="1:12" x14ac:dyDescent="0.3">
      <c r="A98">
        <v>97</v>
      </c>
      <c r="B98">
        <v>97</v>
      </c>
      <c r="C98">
        <v>32</v>
      </c>
      <c r="D98" t="s">
        <v>2060</v>
      </c>
      <c r="E98">
        <f t="shared" si="3"/>
        <v>2023</v>
      </c>
      <c r="F98" t="str">
        <f t="shared" si="4"/>
        <v>Mar</v>
      </c>
      <c r="G98">
        <v>3</v>
      </c>
      <c r="H98">
        <f>_xlfn.XLOOKUP(C98,Products!A:A,Products!D:D)</f>
        <v>342.57</v>
      </c>
      <c r="I98">
        <v>15</v>
      </c>
      <c r="J98">
        <f t="shared" si="5"/>
        <v>873.55349999999999</v>
      </c>
      <c r="K98" t="s">
        <v>2021</v>
      </c>
      <c r="L98" t="str">
        <f>_xlfn.XLOOKUP(Orders[[#This Row],[ProductID]],Products!A:A,Products!C:C)</f>
        <v>Clothing</v>
      </c>
    </row>
    <row r="99" spans="1:12" x14ac:dyDescent="0.3">
      <c r="A99">
        <v>98</v>
      </c>
      <c r="B99">
        <v>98</v>
      </c>
      <c r="C99">
        <v>18</v>
      </c>
      <c r="D99" t="s">
        <v>2061</v>
      </c>
      <c r="E99">
        <f t="shared" si="3"/>
        <v>2024</v>
      </c>
      <c r="F99" t="str">
        <f t="shared" si="4"/>
        <v>Feb</v>
      </c>
      <c r="G99">
        <v>2</v>
      </c>
      <c r="H99">
        <f>_xlfn.XLOOKUP(C99,Products!A:A,Products!D:D)</f>
        <v>138.07</v>
      </c>
      <c r="I99">
        <v>15</v>
      </c>
      <c r="J99">
        <f t="shared" si="5"/>
        <v>234.71899999999999</v>
      </c>
      <c r="K99" t="s">
        <v>2017</v>
      </c>
      <c r="L99" t="str">
        <f>_xlfn.XLOOKUP(Orders[[#This Row],[ProductID]],Products!A:A,Products!C:C)</f>
        <v>Home</v>
      </c>
    </row>
    <row r="100" spans="1:12" x14ac:dyDescent="0.3">
      <c r="A100">
        <v>99</v>
      </c>
      <c r="B100">
        <v>99</v>
      </c>
      <c r="C100">
        <v>59</v>
      </c>
      <c r="D100" t="s">
        <v>2062</v>
      </c>
      <c r="E100">
        <f t="shared" si="3"/>
        <v>2024</v>
      </c>
      <c r="F100" t="str">
        <f t="shared" si="4"/>
        <v>May</v>
      </c>
      <c r="G100">
        <v>3</v>
      </c>
      <c r="H100">
        <f>_xlfn.XLOOKUP(C100,Products!A:A,Products!D:D)</f>
        <v>782.33</v>
      </c>
      <c r="I100">
        <v>10</v>
      </c>
      <c r="J100">
        <f t="shared" si="5"/>
        <v>2112.2910000000002</v>
      </c>
      <c r="K100" t="s">
        <v>2019</v>
      </c>
      <c r="L100" t="str">
        <f>_xlfn.XLOOKUP(Orders[[#This Row],[ProductID]],Products!A:A,Products!C:C)</f>
        <v>Clothing</v>
      </c>
    </row>
    <row r="101" spans="1:12" x14ac:dyDescent="0.3">
      <c r="A101">
        <v>100</v>
      </c>
      <c r="B101">
        <v>100</v>
      </c>
      <c r="C101">
        <v>57</v>
      </c>
      <c r="D101" t="s">
        <v>546</v>
      </c>
      <c r="E101">
        <f t="shared" si="3"/>
        <v>2023</v>
      </c>
      <c r="F101" t="str">
        <f t="shared" si="4"/>
        <v>Mar</v>
      </c>
      <c r="G101">
        <v>1</v>
      </c>
      <c r="H101">
        <f>_xlfn.XLOOKUP(C101,Products!A:A,Products!D:D)</f>
        <v>768.03</v>
      </c>
      <c r="I101">
        <v>20</v>
      </c>
      <c r="J101">
        <f t="shared" si="5"/>
        <v>614.42399999999998</v>
      </c>
      <c r="K101" t="s">
        <v>2019</v>
      </c>
      <c r="L101" t="str">
        <f>_xlfn.XLOOKUP(Orders[[#This Row],[ProductID]],Products!A:A,Products!C:C)</f>
        <v>Electronics</v>
      </c>
    </row>
    <row r="102" spans="1:12" x14ac:dyDescent="0.3">
      <c r="A102">
        <v>101</v>
      </c>
      <c r="B102">
        <v>101</v>
      </c>
      <c r="C102">
        <v>11</v>
      </c>
      <c r="D102" t="s">
        <v>427</v>
      </c>
      <c r="E102">
        <f t="shared" si="3"/>
        <v>2023</v>
      </c>
      <c r="F102" t="str">
        <f t="shared" si="4"/>
        <v>Jun</v>
      </c>
      <c r="G102">
        <v>2</v>
      </c>
      <c r="H102">
        <f>_xlfn.XLOOKUP(C102,Products!A:A,Products!D:D)</f>
        <v>1038.77</v>
      </c>
      <c r="I102">
        <v>15</v>
      </c>
      <c r="J102">
        <f t="shared" si="5"/>
        <v>1765.9089999999999</v>
      </c>
      <c r="K102" t="s">
        <v>2021</v>
      </c>
      <c r="L102" t="str">
        <f>_xlfn.XLOOKUP(Orders[[#This Row],[ProductID]],Products!A:A,Products!C:C)</f>
        <v>Beauty</v>
      </c>
    </row>
    <row r="103" spans="1:12" x14ac:dyDescent="0.3">
      <c r="A103">
        <v>102</v>
      </c>
      <c r="B103">
        <v>102</v>
      </c>
      <c r="C103">
        <v>56</v>
      </c>
      <c r="D103" t="s">
        <v>701</v>
      </c>
      <c r="E103">
        <f t="shared" si="3"/>
        <v>2023</v>
      </c>
      <c r="F103" t="str">
        <f t="shared" si="4"/>
        <v>Feb</v>
      </c>
      <c r="G103">
        <v>2</v>
      </c>
      <c r="H103">
        <f>_xlfn.XLOOKUP(C103,Products!A:A,Products!D:D)</f>
        <v>396.01</v>
      </c>
      <c r="I103">
        <v>0</v>
      </c>
      <c r="J103">
        <f t="shared" si="5"/>
        <v>792.02</v>
      </c>
      <c r="K103" t="s">
        <v>2021</v>
      </c>
      <c r="L103" t="str">
        <f>_xlfn.XLOOKUP(Orders[[#This Row],[ProductID]],Products!A:A,Products!C:C)</f>
        <v>Home</v>
      </c>
    </row>
    <row r="104" spans="1:12" x14ac:dyDescent="0.3">
      <c r="A104">
        <v>103</v>
      </c>
      <c r="B104">
        <v>103</v>
      </c>
      <c r="C104">
        <v>74</v>
      </c>
      <c r="D104" t="s">
        <v>66</v>
      </c>
      <c r="E104">
        <f t="shared" si="3"/>
        <v>2023</v>
      </c>
      <c r="F104" t="str">
        <f t="shared" si="4"/>
        <v>Jan</v>
      </c>
      <c r="G104">
        <v>3</v>
      </c>
      <c r="H104">
        <f>_xlfn.XLOOKUP(C104,Products!A:A,Products!D:D)</f>
        <v>1034.31</v>
      </c>
      <c r="I104">
        <v>20</v>
      </c>
      <c r="J104">
        <f t="shared" si="5"/>
        <v>2482.3440000000001</v>
      </c>
      <c r="K104" t="s">
        <v>2024</v>
      </c>
      <c r="L104" t="str">
        <f>_xlfn.XLOOKUP(Orders[[#This Row],[ProductID]],Products!A:A,Products!C:C)</f>
        <v>Electronics</v>
      </c>
    </row>
    <row r="105" spans="1:12" x14ac:dyDescent="0.3">
      <c r="A105">
        <v>104</v>
      </c>
      <c r="B105">
        <v>104</v>
      </c>
      <c r="C105">
        <v>54</v>
      </c>
      <c r="D105" t="s">
        <v>241</v>
      </c>
      <c r="E105">
        <f t="shared" si="3"/>
        <v>2023</v>
      </c>
      <c r="F105" t="str">
        <f t="shared" si="4"/>
        <v>Jul</v>
      </c>
      <c r="G105">
        <v>3</v>
      </c>
      <c r="H105">
        <f>_xlfn.XLOOKUP(C105,Products!A:A,Products!D:D)</f>
        <v>900.79</v>
      </c>
      <c r="I105">
        <v>20</v>
      </c>
      <c r="J105">
        <f t="shared" si="5"/>
        <v>2161.8960000000002</v>
      </c>
      <c r="K105" t="s">
        <v>2024</v>
      </c>
      <c r="L105" t="str">
        <f>_xlfn.XLOOKUP(Orders[[#This Row],[ProductID]],Products!A:A,Products!C:C)</f>
        <v>Electronics</v>
      </c>
    </row>
    <row r="106" spans="1:12" x14ac:dyDescent="0.3">
      <c r="A106">
        <v>105</v>
      </c>
      <c r="B106">
        <v>105</v>
      </c>
      <c r="C106">
        <v>41</v>
      </c>
      <c r="D106" t="s">
        <v>2063</v>
      </c>
      <c r="E106">
        <f t="shared" si="3"/>
        <v>2024</v>
      </c>
      <c r="F106" t="str">
        <f t="shared" si="4"/>
        <v>Apr</v>
      </c>
      <c r="G106">
        <v>2</v>
      </c>
      <c r="H106">
        <f>_xlfn.XLOOKUP(C106,Products!A:A,Products!D:D)</f>
        <v>554.80999999999995</v>
      </c>
      <c r="I106">
        <v>0</v>
      </c>
      <c r="J106">
        <f t="shared" si="5"/>
        <v>1109.6199999999999</v>
      </c>
      <c r="K106" t="s">
        <v>2024</v>
      </c>
      <c r="L106" t="str">
        <f>_xlfn.XLOOKUP(Orders[[#This Row],[ProductID]],Products!A:A,Products!C:C)</f>
        <v>Home</v>
      </c>
    </row>
    <row r="107" spans="1:12" x14ac:dyDescent="0.3">
      <c r="A107">
        <v>106</v>
      </c>
      <c r="B107">
        <v>106</v>
      </c>
      <c r="C107">
        <v>68</v>
      </c>
      <c r="D107" t="s">
        <v>301</v>
      </c>
      <c r="E107">
        <f t="shared" si="3"/>
        <v>2023</v>
      </c>
      <c r="F107" t="str">
        <f t="shared" si="4"/>
        <v>Nov</v>
      </c>
      <c r="G107">
        <v>1</v>
      </c>
      <c r="H107">
        <f>_xlfn.XLOOKUP(C107,Products!A:A,Products!D:D)</f>
        <v>180.99</v>
      </c>
      <c r="I107">
        <v>15</v>
      </c>
      <c r="J107">
        <f t="shared" si="5"/>
        <v>153.8415</v>
      </c>
      <c r="K107" t="s">
        <v>2017</v>
      </c>
      <c r="L107" t="str">
        <f>_xlfn.XLOOKUP(Orders[[#This Row],[ProductID]],Products!A:A,Products!C:C)</f>
        <v>Clothing</v>
      </c>
    </row>
    <row r="108" spans="1:12" x14ac:dyDescent="0.3">
      <c r="A108">
        <v>107</v>
      </c>
      <c r="B108">
        <v>107</v>
      </c>
      <c r="C108">
        <v>27</v>
      </c>
      <c r="D108" t="s">
        <v>2064</v>
      </c>
      <c r="E108">
        <f t="shared" si="3"/>
        <v>2024</v>
      </c>
      <c r="F108" t="str">
        <f t="shared" si="4"/>
        <v>Mar</v>
      </c>
      <c r="G108">
        <v>3</v>
      </c>
      <c r="H108">
        <f>_xlfn.XLOOKUP(C108,Products!A:A,Products!D:D)</f>
        <v>76.09</v>
      </c>
      <c r="I108">
        <v>20</v>
      </c>
      <c r="J108">
        <f t="shared" si="5"/>
        <v>182.61600000000001</v>
      </c>
      <c r="K108" t="s">
        <v>2015</v>
      </c>
      <c r="L108" t="str">
        <f>_xlfn.XLOOKUP(Orders[[#This Row],[ProductID]],Products!A:A,Products!C:C)</f>
        <v>Clothing</v>
      </c>
    </row>
    <row r="109" spans="1:12" x14ac:dyDescent="0.3">
      <c r="A109">
        <v>108</v>
      </c>
      <c r="B109">
        <v>108</v>
      </c>
      <c r="C109">
        <v>57</v>
      </c>
      <c r="D109" t="s">
        <v>2065</v>
      </c>
      <c r="E109">
        <f t="shared" si="3"/>
        <v>2023</v>
      </c>
      <c r="F109" t="str">
        <f t="shared" si="4"/>
        <v>Dec</v>
      </c>
      <c r="G109">
        <v>2</v>
      </c>
      <c r="H109">
        <f>_xlfn.XLOOKUP(C109,Products!A:A,Products!D:D)</f>
        <v>768.03</v>
      </c>
      <c r="I109">
        <v>15</v>
      </c>
      <c r="J109">
        <f t="shared" si="5"/>
        <v>1305.6509999999998</v>
      </c>
      <c r="K109" t="s">
        <v>2021</v>
      </c>
      <c r="L109" t="str">
        <f>_xlfn.XLOOKUP(Orders[[#This Row],[ProductID]],Products!A:A,Products!C:C)</f>
        <v>Electronics</v>
      </c>
    </row>
    <row r="110" spans="1:12" x14ac:dyDescent="0.3">
      <c r="A110">
        <v>109</v>
      </c>
      <c r="B110">
        <v>109</v>
      </c>
      <c r="C110">
        <v>39</v>
      </c>
      <c r="D110" t="s">
        <v>60</v>
      </c>
      <c r="E110">
        <f t="shared" si="3"/>
        <v>2023</v>
      </c>
      <c r="F110" t="str">
        <f t="shared" si="4"/>
        <v>Feb</v>
      </c>
      <c r="G110">
        <v>1</v>
      </c>
      <c r="H110">
        <f>_xlfn.XLOOKUP(C110,Products!A:A,Products!D:D)</f>
        <v>256.08999999999997</v>
      </c>
      <c r="I110">
        <v>20</v>
      </c>
      <c r="J110">
        <f t="shared" si="5"/>
        <v>204.87199999999999</v>
      </c>
      <c r="K110" t="s">
        <v>2024</v>
      </c>
      <c r="L110" t="str">
        <f>_xlfn.XLOOKUP(Orders[[#This Row],[ProductID]],Products!A:A,Products!C:C)</f>
        <v>Clothing</v>
      </c>
    </row>
    <row r="111" spans="1:12" x14ac:dyDescent="0.3">
      <c r="A111">
        <v>110</v>
      </c>
      <c r="B111">
        <v>110</v>
      </c>
      <c r="C111">
        <v>50</v>
      </c>
      <c r="D111" t="s">
        <v>2066</v>
      </c>
      <c r="E111">
        <f t="shared" si="3"/>
        <v>2024</v>
      </c>
      <c r="F111" t="str">
        <f t="shared" si="4"/>
        <v>Jan</v>
      </c>
      <c r="G111">
        <v>3</v>
      </c>
      <c r="H111">
        <f>_xlfn.XLOOKUP(C111,Products!A:A,Products!D:D)</f>
        <v>1122.8699999999999</v>
      </c>
      <c r="I111">
        <v>5</v>
      </c>
      <c r="J111">
        <f t="shared" si="5"/>
        <v>3200.1794999999997</v>
      </c>
      <c r="K111" t="s">
        <v>2015</v>
      </c>
      <c r="L111" t="str">
        <f>_xlfn.XLOOKUP(Orders[[#This Row],[ProductID]],Products!A:A,Products!C:C)</f>
        <v>Home</v>
      </c>
    </row>
    <row r="112" spans="1:12" x14ac:dyDescent="0.3">
      <c r="A112">
        <v>111</v>
      </c>
      <c r="B112">
        <v>111</v>
      </c>
      <c r="C112">
        <v>70</v>
      </c>
      <c r="D112" t="s">
        <v>2067</v>
      </c>
      <c r="E112">
        <f t="shared" si="3"/>
        <v>2023</v>
      </c>
      <c r="F112" t="str">
        <f t="shared" si="4"/>
        <v>May</v>
      </c>
      <c r="G112">
        <v>1</v>
      </c>
      <c r="H112">
        <f>_xlfn.XLOOKUP(C112,Products!A:A,Products!D:D)</f>
        <v>797.23</v>
      </c>
      <c r="I112">
        <v>0</v>
      </c>
      <c r="J112">
        <f t="shared" si="5"/>
        <v>797.23</v>
      </c>
      <c r="K112" t="s">
        <v>2015</v>
      </c>
      <c r="L112" t="str">
        <f>_xlfn.XLOOKUP(Orders[[#This Row],[ProductID]],Products!A:A,Products!C:C)</f>
        <v>Clothing</v>
      </c>
    </row>
    <row r="113" spans="1:12" x14ac:dyDescent="0.3">
      <c r="A113">
        <v>112</v>
      </c>
      <c r="B113">
        <v>112</v>
      </c>
      <c r="C113">
        <v>71</v>
      </c>
      <c r="D113" t="s">
        <v>948</v>
      </c>
      <c r="E113">
        <f t="shared" si="3"/>
        <v>2023</v>
      </c>
      <c r="F113" t="str">
        <f t="shared" si="4"/>
        <v>Jun</v>
      </c>
      <c r="G113">
        <v>3</v>
      </c>
      <c r="H113">
        <f>_xlfn.XLOOKUP(C113,Products!A:A,Products!D:D)</f>
        <v>780.27</v>
      </c>
      <c r="I113">
        <v>10</v>
      </c>
      <c r="J113">
        <f t="shared" si="5"/>
        <v>2106.7289999999998</v>
      </c>
      <c r="K113" t="s">
        <v>2021</v>
      </c>
      <c r="L113" t="str">
        <f>_xlfn.XLOOKUP(Orders[[#This Row],[ProductID]],Products!A:A,Products!C:C)</f>
        <v>Electronics</v>
      </c>
    </row>
    <row r="114" spans="1:12" x14ac:dyDescent="0.3">
      <c r="A114">
        <v>113</v>
      </c>
      <c r="B114">
        <v>113</v>
      </c>
      <c r="C114">
        <v>3</v>
      </c>
      <c r="D114" t="s">
        <v>41</v>
      </c>
      <c r="E114">
        <f t="shared" si="3"/>
        <v>2023</v>
      </c>
      <c r="F114" t="str">
        <f t="shared" si="4"/>
        <v>Jan</v>
      </c>
      <c r="G114">
        <v>3</v>
      </c>
      <c r="H114">
        <f>_xlfn.XLOOKUP(C114,Products!A:A,Products!D:D)</f>
        <v>506.08</v>
      </c>
      <c r="I114">
        <v>20</v>
      </c>
      <c r="J114">
        <f t="shared" si="5"/>
        <v>1214.5920000000001</v>
      </c>
      <c r="K114" t="s">
        <v>2024</v>
      </c>
      <c r="L114" t="str">
        <f>_xlfn.XLOOKUP(Orders[[#This Row],[ProductID]],Products!A:A,Products!C:C)</f>
        <v>Clothing</v>
      </c>
    </row>
    <row r="115" spans="1:12" x14ac:dyDescent="0.3">
      <c r="A115">
        <v>114</v>
      </c>
      <c r="B115">
        <v>114</v>
      </c>
      <c r="C115">
        <v>31</v>
      </c>
      <c r="D115" t="s">
        <v>2068</v>
      </c>
      <c r="E115">
        <f t="shared" si="3"/>
        <v>2024</v>
      </c>
      <c r="F115" t="str">
        <f t="shared" si="4"/>
        <v>Mar</v>
      </c>
      <c r="G115">
        <v>2</v>
      </c>
      <c r="H115">
        <f>_xlfn.XLOOKUP(C115,Products!A:A,Products!D:D)</f>
        <v>131.79</v>
      </c>
      <c r="I115">
        <v>15</v>
      </c>
      <c r="J115">
        <f t="shared" si="5"/>
        <v>224.04299999999998</v>
      </c>
      <c r="K115" t="s">
        <v>2015</v>
      </c>
      <c r="L115" t="str">
        <f>_xlfn.XLOOKUP(Orders[[#This Row],[ProductID]],Products!A:A,Products!C:C)</f>
        <v>Beauty</v>
      </c>
    </row>
    <row r="116" spans="1:12" x14ac:dyDescent="0.3">
      <c r="A116">
        <v>115</v>
      </c>
      <c r="B116">
        <v>115</v>
      </c>
      <c r="C116">
        <v>15</v>
      </c>
      <c r="D116" t="s">
        <v>2069</v>
      </c>
      <c r="E116">
        <f t="shared" si="3"/>
        <v>2024</v>
      </c>
      <c r="F116" t="str">
        <f t="shared" si="4"/>
        <v>Jan</v>
      </c>
      <c r="G116">
        <v>1</v>
      </c>
      <c r="H116">
        <f>_xlfn.XLOOKUP(C116,Products!A:A,Products!D:D)</f>
        <v>1183.2</v>
      </c>
      <c r="I116">
        <v>10</v>
      </c>
      <c r="J116">
        <f t="shared" si="5"/>
        <v>1064.8800000000001</v>
      </c>
      <c r="K116" t="s">
        <v>2024</v>
      </c>
      <c r="L116" t="str">
        <f>_xlfn.XLOOKUP(Orders[[#This Row],[ProductID]],Products!A:A,Products!C:C)</f>
        <v>Electronics</v>
      </c>
    </row>
    <row r="117" spans="1:12" x14ac:dyDescent="0.3">
      <c r="A117">
        <v>116</v>
      </c>
      <c r="B117">
        <v>116</v>
      </c>
      <c r="C117">
        <v>65</v>
      </c>
      <c r="D117" t="s">
        <v>1144</v>
      </c>
      <c r="E117">
        <f t="shared" si="3"/>
        <v>2023</v>
      </c>
      <c r="F117" t="str">
        <f t="shared" si="4"/>
        <v>Jul</v>
      </c>
      <c r="G117">
        <v>1</v>
      </c>
      <c r="H117">
        <f>_xlfn.XLOOKUP(C117,Products!A:A,Products!D:D)</f>
        <v>1189.73</v>
      </c>
      <c r="I117">
        <v>0</v>
      </c>
      <c r="J117">
        <f t="shared" si="5"/>
        <v>1189.73</v>
      </c>
      <c r="K117" t="s">
        <v>2019</v>
      </c>
      <c r="L117" t="str">
        <f>_xlfn.XLOOKUP(Orders[[#This Row],[ProductID]],Products!A:A,Products!C:C)</f>
        <v>Home</v>
      </c>
    </row>
    <row r="118" spans="1:12" x14ac:dyDescent="0.3">
      <c r="A118">
        <v>117</v>
      </c>
      <c r="B118">
        <v>117</v>
      </c>
      <c r="C118">
        <v>58</v>
      </c>
      <c r="D118" t="s">
        <v>910</v>
      </c>
      <c r="E118">
        <f t="shared" si="3"/>
        <v>2023</v>
      </c>
      <c r="F118" t="str">
        <f t="shared" si="4"/>
        <v>Jun</v>
      </c>
      <c r="G118">
        <v>3</v>
      </c>
      <c r="H118">
        <f>_xlfn.XLOOKUP(C118,Products!A:A,Products!D:D)</f>
        <v>334.98</v>
      </c>
      <c r="I118">
        <v>0</v>
      </c>
      <c r="J118">
        <f t="shared" si="5"/>
        <v>1004.94</v>
      </c>
      <c r="K118" t="s">
        <v>2017</v>
      </c>
      <c r="L118" t="str">
        <f>_xlfn.XLOOKUP(Orders[[#This Row],[ProductID]],Products!A:A,Products!C:C)</f>
        <v>Home</v>
      </c>
    </row>
    <row r="119" spans="1:12" x14ac:dyDescent="0.3">
      <c r="A119">
        <v>118</v>
      </c>
      <c r="B119">
        <v>118</v>
      </c>
      <c r="C119">
        <v>44</v>
      </c>
      <c r="D119" t="s">
        <v>534</v>
      </c>
      <c r="E119">
        <f t="shared" si="3"/>
        <v>2023</v>
      </c>
      <c r="F119" t="str">
        <f t="shared" si="4"/>
        <v>May</v>
      </c>
      <c r="G119">
        <v>3</v>
      </c>
      <c r="H119">
        <f>_xlfn.XLOOKUP(C119,Products!A:A,Products!D:D)</f>
        <v>1038</v>
      </c>
      <c r="I119">
        <v>20</v>
      </c>
      <c r="J119">
        <f t="shared" si="5"/>
        <v>2491.2000000000003</v>
      </c>
      <c r="K119" t="s">
        <v>2015</v>
      </c>
      <c r="L119" t="str">
        <f>_xlfn.XLOOKUP(Orders[[#This Row],[ProductID]],Products!A:A,Products!C:C)</f>
        <v>Home</v>
      </c>
    </row>
    <row r="120" spans="1:12" x14ac:dyDescent="0.3">
      <c r="A120">
        <v>119</v>
      </c>
      <c r="B120">
        <v>119</v>
      </c>
      <c r="C120">
        <v>69</v>
      </c>
      <c r="D120" t="s">
        <v>2070</v>
      </c>
      <c r="E120">
        <f t="shared" si="3"/>
        <v>2024</v>
      </c>
      <c r="F120" t="str">
        <f t="shared" si="4"/>
        <v>Mar</v>
      </c>
      <c r="G120">
        <v>3</v>
      </c>
      <c r="H120">
        <f>_xlfn.XLOOKUP(C120,Products!A:A,Products!D:D)</f>
        <v>951.81</v>
      </c>
      <c r="I120">
        <v>5</v>
      </c>
      <c r="J120">
        <f t="shared" si="5"/>
        <v>2712.6584999999995</v>
      </c>
      <c r="K120" t="s">
        <v>2024</v>
      </c>
      <c r="L120" t="str">
        <f>_xlfn.XLOOKUP(Orders[[#This Row],[ProductID]],Products!A:A,Products!C:C)</f>
        <v>Clothing</v>
      </c>
    </row>
    <row r="121" spans="1:12" x14ac:dyDescent="0.3">
      <c r="A121">
        <v>120</v>
      </c>
      <c r="B121">
        <v>120</v>
      </c>
      <c r="C121">
        <v>39</v>
      </c>
      <c r="D121" t="s">
        <v>2067</v>
      </c>
      <c r="E121">
        <f t="shared" si="3"/>
        <v>2023</v>
      </c>
      <c r="F121" t="str">
        <f t="shared" si="4"/>
        <v>May</v>
      </c>
      <c r="G121">
        <v>3</v>
      </c>
      <c r="H121">
        <f>_xlfn.XLOOKUP(C121,Products!A:A,Products!D:D)</f>
        <v>256.08999999999997</v>
      </c>
      <c r="I121">
        <v>20</v>
      </c>
      <c r="J121">
        <f t="shared" si="5"/>
        <v>614.61599999999999</v>
      </c>
      <c r="K121" t="s">
        <v>2021</v>
      </c>
      <c r="L121" t="str">
        <f>_xlfn.XLOOKUP(Orders[[#This Row],[ProductID]],Products!A:A,Products!C:C)</f>
        <v>Clothing</v>
      </c>
    </row>
    <row r="122" spans="1:12" x14ac:dyDescent="0.3">
      <c r="A122">
        <v>121</v>
      </c>
      <c r="B122">
        <v>121</v>
      </c>
      <c r="C122">
        <v>49</v>
      </c>
      <c r="D122" t="s">
        <v>959</v>
      </c>
      <c r="E122">
        <f t="shared" si="3"/>
        <v>2023</v>
      </c>
      <c r="F122" t="str">
        <f t="shared" si="4"/>
        <v>Sep</v>
      </c>
      <c r="G122">
        <v>3</v>
      </c>
      <c r="H122">
        <f>_xlfn.XLOOKUP(C122,Products!A:A,Products!D:D)</f>
        <v>974.54</v>
      </c>
      <c r="I122">
        <v>5</v>
      </c>
      <c r="J122">
        <f t="shared" si="5"/>
        <v>2777.4389999999999</v>
      </c>
      <c r="K122" t="s">
        <v>2019</v>
      </c>
      <c r="L122" t="str">
        <f>_xlfn.XLOOKUP(Orders[[#This Row],[ProductID]],Products!A:A,Products!C:C)</f>
        <v>Home</v>
      </c>
    </row>
    <row r="123" spans="1:12" x14ac:dyDescent="0.3">
      <c r="A123">
        <v>122</v>
      </c>
      <c r="B123">
        <v>122</v>
      </c>
      <c r="C123">
        <v>42</v>
      </c>
      <c r="D123" t="s">
        <v>1263</v>
      </c>
      <c r="E123">
        <f t="shared" si="3"/>
        <v>2023</v>
      </c>
      <c r="F123" t="str">
        <f t="shared" si="4"/>
        <v>Sep</v>
      </c>
      <c r="G123">
        <v>3</v>
      </c>
      <c r="H123">
        <f>_xlfn.XLOOKUP(C123,Products!A:A,Products!D:D)</f>
        <v>233.11</v>
      </c>
      <c r="I123">
        <v>5</v>
      </c>
      <c r="J123">
        <f t="shared" si="5"/>
        <v>664.36350000000004</v>
      </c>
      <c r="K123" t="s">
        <v>2024</v>
      </c>
      <c r="L123" t="str">
        <f>_xlfn.XLOOKUP(Orders[[#This Row],[ProductID]],Products!A:A,Products!C:C)</f>
        <v>Home</v>
      </c>
    </row>
    <row r="124" spans="1:12" x14ac:dyDescent="0.3">
      <c r="A124">
        <v>123</v>
      </c>
      <c r="B124">
        <v>123</v>
      </c>
      <c r="C124">
        <v>59</v>
      </c>
      <c r="D124" t="s">
        <v>1740</v>
      </c>
      <c r="E124">
        <f t="shared" si="3"/>
        <v>2023</v>
      </c>
      <c r="F124" t="str">
        <f t="shared" si="4"/>
        <v>Feb</v>
      </c>
      <c r="G124">
        <v>1</v>
      </c>
      <c r="H124">
        <f>_xlfn.XLOOKUP(C124,Products!A:A,Products!D:D)</f>
        <v>782.33</v>
      </c>
      <c r="I124">
        <v>15</v>
      </c>
      <c r="J124">
        <f t="shared" si="5"/>
        <v>664.98050000000001</v>
      </c>
      <c r="K124" t="s">
        <v>2017</v>
      </c>
      <c r="L124" t="str">
        <f>_xlfn.XLOOKUP(Orders[[#This Row],[ProductID]],Products!A:A,Products!C:C)</f>
        <v>Clothing</v>
      </c>
    </row>
    <row r="125" spans="1:12" x14ac:dyDescent="0.3">
      <c r="A125">
        <v>124</v>
      </c>
      <c r="B125">
        <v>124</v>
      </c>
      <c r="C125">
        <v>11</v>
      </c>
      <c r="D125" t="s">
        <v>1212</v>
      </c>
      <c r="E125">
        <f t="shared" si="3"/>
        <v>2023</v>
      </c>
      <c r="F125" t="str">
        <f t="shared" si="4"/>
        <v>Feb</v>
      </c>
      <c r="G125">
        <v>1</v>
      </c>
      <c r="H125">
        <f>_xlfn.XLOOKUP(C125,Products!A:A,Products!D:D)</f>
        <v>1038.77</v>
      </c>
      <c r="I125">
        <v>15</v>
      </c>
      <c r="J125">
        <f t="shared" si="5"/>
        <v>882.95449999999994</v>
      </c>
      <c r="K125" t="s">
        <v>2021</v>
      </c>
      <c r="L125" t="str">
        <f>_xlfn.XLOOKUP(Orders[[#This Row],[ProductID]],Products!A:A,Products!C:C)</f>
        <v>Beauty</v>
      </c>
    </row>
    <row r="126" spans="1:12" x14ac:dyDescent="0.3">
      <c r="A126">
        <v>125</v>
      </c>
      <c r="B126">
        <v>125</v>
      </c>
      <c r="C126">
        <v>61</v>
      </c>
      <c r="D126" t="s">
        <v>878</v>
      </c>
      <c r="E126">
        <f t="shared" si="3"/>
        <v>2023</v>
      </c>
      <c r="F126" t="str">
        <f t="shared" si="4"/>
        <v>Apr</v>
      </c>
      <c r="G126">
        <v>2</v>
      </c>
      <c r="H126">
        <f>_xlfn.XLOOKUP(C126,Products!A:A,Products!D:D)</f>
        <v>498.92</v>
      </c>
      <c r="I126">
        <v>0</v>
      </c>
      <c r="J126">
        <f t="shared" si="5"/>
        <v>997.84</v>
      </c>
      <c r="K126" t="s">
        <v>2024</v>
      </c>
      <c r="L126" t="str">
        <f>_xlfn.XLOOKUP(Orders[[#This Row],[ProductID]],Products!A:A,Products!C:C)</f>
        <v>Clothing</v>
      </c>
    </row>
    <row r="127" spans="1:12" x14ac:dyDescent="0.3">
      <c r="A127">
        <v>126</v>
      </c>
      <c r="B127">
        <v>126</v>
      </c>
      <c r="C127">
        <v>68</v>
      </c>
      <c r="D127" t="s">
        <v>1586</v>
      </c>
      <c r="E127">
        <f t="shared" si="3"/>
        <v>2023</v>
      </c>
      <c r="F127" t="str">
        <f t="shared" si="4"/>
        <v>Jul</v>
      </c>
      <c r="G127">
        <v>3</v>
      </c>
      <c r="H127">
        <f>_xlfn.XLOOKUP(C127,Products!A:A,Products!D:D)</f>
        <v>180.99</v>
      </c>
      <c r="I127">
        <v>20</v>
      </c>
      <c r="J127">
        <f t="shared" si="5"/>
        <v>434.37600000000003</v>
      </c>
      <c r="K127" t="s">
        <v>2015</v>
      </c>
      <c r="L127" t="str">
        <f>_xlfn.XLOOKUP(Orders[[#This Row],[ProductID]],Products!A:A,Products!C:C)</f>
        <v>Clothing</v>
      </c>
    </row>
    <row r="128" spans="1:12" x14ac:dyDescent="0.3">
      <c r="A128">
        <v>127</v>
      </c>
      <c r="B128">
        <v>127</v>
      </c>
      <c r="C128">
        <v>51</v>
      </c>
      <c r="D128" t="s">
        <v>2022</v>
      </c>
      <c r="E128">
        <f t="shared" si="3"/>
        <v>2024</v>
      </c>
      <c r="F128" t="str">
        <f t="shared" si="4"/>
        <v>Mar</v>
      </c>
      <c r="G128">
        <v>2</v>
      </c>
      <c r="H128">
        <f>_xlfn.XLOOKUP(C128,Products!A:A,Products!D:D)</f>
        <v>759.57</v>
      </c>
      <c r="I128">
        <v>20</v>
      </c>
      <c r="J128">
        <f t="shared" si="5"/>
        <v>1215.3120000000001</v>
      </c>
      <c r="K128" t="s">
        <v>2017</v>
      </c>
      <c r="L128" t="str">
        <f>_xlfn.XLOOKUP(Orders[[#This Row],[ProductID]],Products!A:A,Products!C:C)</f>
        <v>Beauty</v>
      </c>
    </row>
    <row r="129" spans="1:12" x14ac:dyDescent="0.3">
      <c r="A129">
        <v>128</v>
      </c>
      <c r="B129">
        <v>128</v>
      </c>
      <c r="C129">
        <v>55</v>
      </c>
      <c r="D129" t="s">
        <v>1603</v>
      </c>
      <c r="E129">
        <f t="shared" si="3"/>
        <v>2023</v>
      </c>
      <c r="F129" t="str">
        <f t="shared" si="4"/>
        <v>Aug</v>
      </c>
      <c r="G129">
        <v>3</v>
      </c>
      <c r="H129">
        <f>_xlfn.XLOOKUP(C129,Products!A:A,Products!D:D)</f>
        <v>1016.06</v>
      </c>
      <c r="I129">
        <v>15</v>
      </c>
      <c r="J129">
        <f t="shared" si="5"/>
        <v>2590.953</v>
      </c>
      <c r="K129" t="s">
        <v>2017</v>
      </c>
      <c r="L129" t="str">
        <f>_xlfn.XLOOKUP(Orders[[#This Row],[ProductID]],Products!A:A,Products!C:C)</f>
        <v>Clothing</v>
      </c>
    </row>
    <row r="130" spans="1:12" x14ac:dyDescent="0.3">
      <c r="A130">
        <v>129</v>
      </c>
      <c r="B130">
        <v>129</v>
      </c>
      <c r="C130">
        <v>21</v>
      </c>
      <c r="D130" t="s">
        <v>1952</v>
      </c>
      <c r="E130">
        <f t="shared" si="3"/>
        <v>2023</v>
      </c>
      <c r="F130" t="str">
        <f t="shared" si="4"/>
        <v>Mar</v>
      </c>
      <c r="G130">
        <v>3</v>
      </c>
      <c r="H130">
        <f>_xlfn.XLOOKUP(C130,Products!A:A,Products!D:D)</f>
        <v>420.66</v>
      </c>
      <c r="I130">
        <v>5</v>
      </c>
      <c r="J130">
        <f t="shared" si="5"/>
        <v>1198.8809999999999</v>
      </c>
      <c r="K130" t="s">
        <v>2017</v>
      </c>
      <c r="L130" t="str">
        <f>_xlfn.XLOOKUP(Orders[[#This Row],[ProductID]],Products!A:A,Products!C:C)</f>
        <v>Beauty</v>
      </c>
    </row>
    <row r="131" spans="1:12" x14ac:dyDescent="0.3">
      <c r="A131">
        <v>130</v>
      </c>
      <c r="B131">
        <v>130</v>
      </c>
      <c r="C131">
        <v>59</v>
      </c>
      <c r="D131" t="s">
        <v>2031</v>
      </c>
      <c r="E131">
        <f t="shared" ref="E131:E194" si="6">YEAR(D131)</f>
        <v>2023</v>
      </c>
      <c r="F131" t="str">
        <f t="shared" ref="F131:F194" si="7">TEXT(D131,"mmm")</f>
        <v>Mar</v>
      </c>
      <c r="G131">
        <v>3</v>
      </c>
      <c r="H131">
        <f>_xlfn.XLOOKUP(C131,Products!A:A,Products!D:D)</f>
        <v>782.33</v>
      </c>
      <c r="I131">
        <v>20</v>
      </c>
      <c r="J131">
        <f t="shared" ref="J131:J194" si="8">G131*H131*(1-I131/100)</f>
        <v>1877.5920000000003</v>
      </c>
      <c r="K131" t="s">
        <v>2015</v>
      </c>
      <c r="L131" t="str">
        <f>_xlfn.XLOOKUP(Orders[[#This Row],[ProductID]],Products!A:A,Products!C:C)</f>
        <v>Clothing</v>
      </c>
    </row>
    <row r="132" spans="1:12" x14ac:dyDescent="0.3">
      <c r="A132">
        <v>131</v>
      </c>
      <c r="B132">
        <v>131</v>
      </c>
      <c r="C132">
        <v>16</v>
      </c>
      <c r="D132" t="s">
        <v>2071</v>
      </c>
      <c r="E132">
        <f t="shared" si="6"/>
        <v>2023</v>
      </c>
      <c r="F132" t="str">
        <f t="shared" si="7"/>
        <v>Dec</v>
      </c>
      <c r="G132">
        <v>1</v>
      </c>
      <c r="H132">
        <f>_xlfn.XLOOKUP(C132,Products!A:A,Products!D:D)</f>
        <v>693.02</v>
      </c>
      <c r="I132">
        <v>15</v>
      </c>
      <c r="J132">
        <f t="shared" si="8"/>
        <v>589.06700000000001</v>
      </c>
      <c r="K132" t="s">
        <v>2017</v>
      </c>
      <c r="L132" t="str">
        <f>_xlfn.XLOOKUP(Orders[[#This Row],[ProductID]],Products!A:A,Products!C:C)</f>
        <v>Home</v>
      </c>
    </row>
    <row r="133" spans="1:12" x14ac:dyDescent="0.3">
      <c r="A133">
        <v>132</v>
      </c>
      <c r="B133">
        <v>132</v>
      </c>
      <c r="C133">
        <v>5</v>
      </c>
      <c r="D133" t="s">
        <v>2038</v>
      </c>
      <c r="E133">
        <f t="shared" si="6"/>
        <v>2024</v>
      </c>
      <c r="F133" t="str">
        <f t="shared" si="7"/>
        <v>Jan</v>
      </c>
      <c r="G133">
        <v>1</v>
      </c>
      <c r="H133">
        <f>_xlfn.XLOOKUP(C133,Products!A:A,Products!D:D)</f>
        <v>296.85000000000002</v>
      </c>
      <c r="I133">
        <v>20</v>
      </c>
      <c r="J133">
        <f t="shared" si="8"/>
        <v>237.48000000000002</v>
      </c>
      <c r="K133" t="s">
        <v>2024</v>
      </c>
      <c r="L133" t="str">
        <f>_xlfn.XLOOKUP(Orders[[#This Row],[ProductID]],Products!A:A,Products!C:C)</f>
        <v>Clothing</v>
      </c>
    </row>
    <row r="134" spans="1:12" x14ac:dyDescent="0.3">
      <c r="A134">
        <v>133</v>
      </c>
      <c r="B134">
        <v>133</v>
      </c>
      <c r="C134">
        <v>16</v>
      </c>
      <c r="D134" t="s">
        <v>1104</v>
      </c>
      <c r="E134">
        <f t="shared" si="6"/>
        <v>2023</v>
      </c>
      <c r="F134" t="str">
        <f t="shared" si="7"/>
        <v>Nov</v>
      </c>
      <c r="G134">
        <v>2</v>
      </c>
      <c r="H134">
        <f>_xlfn.XLOOKUP(C134,Products!A:A,Products!D:D)</f>
        <v>693.02</v>
      </c>
      <c r="I134">
        <v>0</v>
      </c>
      <c r="J134">
        <f t="shared" si="8"/>
        <v>1386.04</v>
      </c>
      <c r="K134" t="s">
        <v>2019</v>
      </c>
      <c r="L134" t="str">
        <f>_xlfn.XLOOKUP(Orders[[#This Row],[ProductID]],Products!A:A,Products!C:C)</f>
        <v>Home</v>
      </c>
    </row>
    <row r="135" spans="1:12" x14ac:dyDescent="0.3">
      <c r="A135">
        <v>134</v>
      </c>
      <c r="B135">
        <v>134</v>
      </c>
      <c r="C135">
        <v>48</v>
      </c>
      <c r="D135" t="s">
        <v>1191</v>
      </c>
      <c r="E135">
        <f t="shared" si="6"/>
        <v>2023</v>
      </c>
      <c r="F135" t="str">
        <f t="shared" si="7"/>
        <v>Oct</v>
      </c>
      <c r="G135">
        <v>2</v>
      </c>
      <c r="H135">
        <f>_xlfn.XLOOKUP(C135,Products!A:A,Products!D:D)</f>
        <v>1125.8499999999999</v>
      </c>
      <c r="I135">
        <v>0</v>
      </c>
      <c r="J135">
        <f t="shared" si="8"/>
        <v>2251.6999999999998</v>
      </c>
      <c r="K135" t="s">
        <v>2015</v>
      </c>
      <c r="L135" t="str">
        <f>_xlfn.XLOOKUP(Orders[[#This Row],[ProductID]],Products!A:A,Products!C:C)</f>
        <v>Clothing</v>
      </c>
    </row>
    <row r="136" spans="1:12" x14ac:dyDescent="0.3">
      <c r="A136">
        <v>135</v>
      </c>
      <c r="B136">
        <v>135</v>
      </c>
      <c r="C136">
        <v>20</v>
      </c>
      <c r="D136" t="s">
        <v>838</v>
      </c>
      <c r="E136">
        <f t="shared" si="6"/>
        <v>2023</v>
      </c>
      <c r="F136" t="str">
        <f t="shared" si="7"/>
        <v>Mar</v>
      </c>
      <c r="G136">
        <v>2</v>
      </c>
      <c r="H136">
        <f>_xlfn.XLOOKUP(C136,Products!A:A,Products!D:D)</f>
        <v>613.27</v>
      </c>
      <c r="I136">
        <v>10</v>
      </c>
      <c r="J136">
        <f t="shared" si="8"/>
        <v>1103.886</v>
      </c>
      <c r="K136" t="s">
        <v>2024</v>
      </c>
      <c r="L136" t="str">
        <f>_xlfn.XLOOKUP(Orders[[#This Row],[ProductID]],Products!A:A,Products!C:C)</f>
        <v>Home</v>
      </c>
    </row>
    <row r="137" spans="1:12" x14ac:dyDescent="0.3">
      <c r="A137">
        <v>136</v>
      </c>
      <c r="B137">
        <v>136</v>
      </c>
      <c r="C137">
        <v>39</v>
      </c>
      <c r="D137" t="s">
        <v>1872</v>
      </c>
      <c r="E137">
        <f t="shared" si="6"/>
        <v>2023</v>
      </c>
      <c r="F137" t="str">
        <f t="shared" si="7"/>
        <v>May</v>
      </c>
      <c r="G137">
        <v>2</v>
      </c>
      <c r="H137">
        <f>_xlfn.XLOOKUP(C137,Products!A:A,Products!D:D)</f>
        <v>256.08999999999997</v>
      </c>
      <c r="I137">
        <v>0</v>
      </c>
      <c r="J137">
        <f t="shared" si="8"/>
        <v>512.17999999999995</v>
      </c>
      <c r="K137" t="s">
        <v>2021</v>
      </c>
      <c r="L137" t="str">
        <f>_xlfn.XLOOKUP(Orders[[#This Row],[ProductID]],Products!A:A,Products!C:C)</f>
        <v>Clothing</v>
      </c>
    </row>
    <row r="138" spans="1:12" x14ac:dyDescent="0.3">
      <c r="A138">
        <v>137</v>
      </c>
      <c r="B138">
        <v>137</v>
      </c>
      <c r="C138">
        <v>19</v>
      </c>
      <c r="D138" t="s">
        <v>2053</v>
      </c>
      <c r="E138">
        <f t="shared" si="6"/>
        <v>2024</v>
      </c>
      <c r="F138" t="str">
        <f t="shared" si="7"/>
        <v>Feb</v>
      </c>
      <c r="G138">
        <v>3</v>
      </c>
      <c r="H138">
        <f>_xlfn.XLOOKUP(C138,Products!A:A,Products!D:D)</f>
        <v>262.97000000000003</v>
      </c>
      <c r="I138">
        <v>15</v>
      </c>
      <c r="J138">
        <f t="shared" si="8"/>
        <v>670.57350000000008</v>
      </c>
      <c r="K138" t="s">
        <v>2019</v>
      </c>
      <c r="L138" t="str">
        <f>_xlfn.XLOOKUP(Orders[[#This Row],[ProductID]],Products!A:A,Products!C:C)</f>
        <v>Beauty</v>
      </c>
    </row>
    <row r="139" spans="1:12" x14ac:dyDescent="0.3">
      <c r="A139">
        <v>138</v>
      </c>
      <c r="B139">
        <v>138</v>
      </c>
      <c r="C139">
        <v>40</v>
      </c>
      <c r="D139" t="s">
        <v>2072</v>
      </c>
      <c r="E139">
        <f t="shared" si="6"/>
        <v>2024</v>
      </c>
      <c r="F139" t="str">
        <f t="shared" si="7"/>
        <v>Mar</v>
      </c>
      <c r="G139">
        <v>2</v>
      </c>
      <c r="H139">
        <f>_xlfn.XLOOKUP(C139,Products!A:A,Products!D:D)</f>
        <v>316.49</v>
      </c>
      <c r="I139">
        <v>5</v>
      </c>
      <c r="J139">
        <f t="shared" si="8"/>
        <v>601.33100000000002</v>
      </c>
      <c r="K139" t="s">
        <v>2021</v>
      </c>
      <c r="L139" t="str">
        <f>_xlfn.XLOOKUP(Orders[[#This Row],[ProductID]],Products!A:A,Products!C:C)</f>
        <v>Home</v>
      </c>
    </row>
    <row r="140" spans="1:12" x14ac:dyDescent="0.3">
      <c r="A140">
        <v>139</v>
      </c>
      <c r="B140">
        <v>139</v>
      </c>
      <c r="C140">
        <v>63</v>
      </c>
      <c r="D140" t="s">
        <v>1282</v>
      </c>
      <c r="E140">
        <f t="shared" si="6"/>
        <v>2023</v>
      </c>
      <c r="F140" t="str">
        <f t="shared" si="7"/>
        <v>Jan</v>
      </c>
      <c r="G140">
        <v>1</v>
      </c>
      <c r="H140">
        <f>_xlfn.XLOOKUP(C140,Products!A:A,Products!D:D)</f>
        <v>309.79000000000002</v>
      </c>
      <c r="I140">
        <v>20</v>
      </c>
      <c r="J140">
        <f t="shared" si="8"/>
        <v>247.83200000000002</v>
      </c>
      <c r="K140" t="s">
        <v>2024</v>
      </c>
      <c r="L140" t="str">
        <f>_xlfn.XLOOKUP(Orders[[#This Row],[ProductID]],Products!A:A,Products!C:C)</f>
        <v>Electronics</v>
      </c>
    </row>
    <row r="141" spans="1:12" x14ac:dyDescent="0.3">
      <c r="A141">
        <v>140</v>
      </c>
      <c r="B141">
        <v>140</v>
      </c>
      <c r="C141">
        <v>9</v>
      </c>
      <c r="D141" t="s">
        <v>2073</v>
      </c>
      <c r="E141">
        <f t="shared" si="6"/>
        <v>2024</v>
      </c>
      <c r="F141" t="str">
        <f t="shared" si="7"/>
        <v>Mar</v>
      </c>
      <c r="G141">
        <v>1</v>
      </c>
      <c r="H141">
        <f>_xlfn.XLOOKUP(C141,Products!A:A,Products!D:D)</f>
        <v>43.26</v>
      </c>
      <c r="I141">
        <v>15</v>
      </c>
      <c r="J141">
        <f t="shared" si="8"/>
        <v>36.771000000000001</v>
      </c>
      <c r="K141" t="s">
        <v>2017</v>
      </c>
      <c r="L141" t="str">
        <f>_xlfn.XLOOKUP(Orders[[#This Row],[ProductID]],Products!A:A,Products!C:C)</f>
        <v>Electronics</v>
      </c>
    </row>
    <row r="142" spans="1:12" x14ac:dyDescent="0.3">
      <c r="A142">
        <v>141</v>
      </c>
      <c r="B142">
        <v>141</v>
      </c>
      <c r="C142">
        <v>74</v>
      </c>
      <c r="D142" t="s">
        <v>1350</v>
      </c>
      <c r="E142">
        <f t="shared" si="6"/>
        <v>2023</v>
      </c>
      <c r="F142" t="str">
        <f t="shared" si="7"/>
        <v>Jun</v>
      </c>
      <c r="G142">
        <v>3</v>
      </c>
      <c r="H142">
        <f>_xlfn.XLOOKUP(C142,Products!A:A,Products!D:D)</f>
        <v>1034.31</v>
      </c>
      <c r="I142">
        <v>15</v>
      </c>
      <c r="J142">
        <f t="shared" si="8"/>
        <v>2637.4904999999999</v>
      </c>
      <c r="K142" t="s">
        <v>2024</v>
      </c>
      <c r="L142" t="str">
        <f>_xlfn.XLOOKUP(Orders[[#This Row],[ProductID]],Products!A:A,Products!C:C)</f>
        <v>Electronics</v>
      </c>
    </row>
    <row r="143" spans="1:12" x14ac:dyDescent="0.3">
      <c r="A143">
        <v>142</v>
      </c>
      <c r="B143">
        <v>142</v>
      </c>
      <c r="C143">
        <v>49</v>
      </c>
      <c r="D143" t="s">
        <v>148</v>
      </c>
      <c r="E143">
        <f t="shared" si="6"/>
        <v>2023</v>
      </c>
      <c r="F143" t="str">
        <f t="shared" si="7"/>
        <v>Sep</v>
      </c>
      <c r="G143">
        <v>3</v>
      </c>
      <c r="H143">
        <f>_xlfn.XLOOKUP(C143,Products!A:A,Products!D:D)</f>
        <v>974.54</v>
      </c>
      <c r="I143">
        <v>20</v>
      </c>
      <c r="J143">
        <f t="shared" si="8"/>
        <v>2338.8960000000002</v>
      </c>
      <c r="K143" t="s">
        <v>2021</v>
      </c>
      <c r="L143" t="str">
        <f>_xlfn.XLOOKUP(Orders[[#This Row],[ProductID]],Products!A:A,Products!C:C)</f>
        <v>Home</v>
      </c>
    </row>
    <row r="144" spans="1:12" x14ac:dyDescent="0.3">
      <c r="A144">
        <v>143</v>
      </c>
      <c r="B144">
        <v>143</v>
      </c>
      <c r="C144">
        <v>18</v>
      </c>
      <c r="D144" t="s">
        <v>1336</v>
      </c>
      <c r="E144">
        <f t="shared" si="6"/>
        <v>2023</v>
      </c>
      <c r="F144" t="str">
        <f t="shared" si="7"/>
        <v>Sep</v>
      </c>
      <c r="G144">
        <v>3</v>
      </c>
      <c r="H144">
        <f>_xlfn.XLOOKUP(C144,Products!A:A,Products!D:D)</f>
        <v>138.07</v>
      </c>
      <c r="I144">
        <v>15</v>
      </c>
      <c r="J144">
        <f t="shared" si="8"/>
        <v>352.07849999999996</v>
      </c>
      <c r="K144" t="s">
        <v>2017</v>
      </c>
      <c r="L144" t="str">
        <f>_xlfn.XLOOKUP(Orders[[#This Row],[ProductID]],Products!A:A,Products!C:C)</f>
        <v>Home</v>
      </c>
    </row>
    <row r="145" spans="1:12" x14ac:dyDescent="0.3">
      <c r="A145">
        <v>144</v>
      </c>
      <c r="B145">
        <v>144</v>
      </c>
      <c r="C145">
        <v>58</v>
      </c>
      <c r="D145" t="s">
        <v>1796</v>
      </c>
      <c r="E145">
        <f t="shared" si="6"/>
        <v>2023</v>
      </c>
      <c r="F145" t="str">
        <f t="shared" si="7"/>
        <v>Mar</v>
      </c>
      <c r="G145">
        <v>3</v>
      </c>
      <c r="H145">
        <f>_xlfn.XLOOKUP(C145,Products!A:A,Products!D:D)</f>
        <v>334.98</v>
      </c>
      <c r="I145">
        <v>10</v>
      </c>
      <c r="J145">
        <f t="shared" si="8"/>
        <v>904.44600000000003</v>
      </c>
      <c r="K145" t="s">
        <v>2019</v>
      </c>
      <c r="L145" t="str">
        <f>_xlfn.XLOOKUP(Orders[[#This Row],[ProductID]],Products!A:A,Products!C:C)</f>
        <v>Home</v>
      </c>
    </row>
    <row r="146" spans="1:12" x14ac:dyDescent="0.3">
      <c r="A146">
        <v>145</v>
      </c>
      <c r="B146">
        <v>145</v>
      </c>
      <c r="C146">
        <v>80</v>
      </c>
      <c r="D146" t="s">
        <v>2033</v>
      </c>
      <c r="E146">
        <f t="shared" si="6"/>
        <v>2023</v>
      </c>
      <c r="F146" t="str">
        <f t="shared" si="7"/>
        <v>Dec</v>
      </c>
      <c r="G146">
        <v>3</v>
      </c>
      <c r="H146">
        <f>_xlfn.XLOOKUP(C146,Products!A:A,Products!D:D)</f>
        <v>1014.45</v>
      </c>
      <c r="I146">
        <v>15</v>
      </c>
      <c r="J146">
        <f t="shared" si="8"/>
        <v>2586.8475000000003</v>
      </c>
      <c r="K146" t="s">
        <v>2017</v>
      </c>
      <c r="L146" t="str">
        <f>_xlfn.XLOOKUP(Orders[[#This Row],[ProductID]],Products!A:A,Products!C:C)</f>
        <v>Beauty</v>
      </c>
    </row>
    <row r="147" spans="1:12" x14ac:dyDescent="0.3">
      <c r="A147">
        <v>146</v>
      </c>
      <c r="B147">
        <v>146</v>
      </c>
      <c r="C147">
        <v>30</v>
      </c>
      <c r="D147" t="s">
        <v>2074</v>
      </c>
      <c r="E147">
        <f t="shared" si="6"/>
        <v>2024</v>
      </c>
      <c r="F147" t="str">
        <f t="shared" si="7"/>
        <v>Apr</v>
      </c>
      <c r="G147">
        <v>2</v>
      </c>
      <c r="H147">
        <f>_xlfn.XLOOKUP(C147,Products!A:A,Products!D:D)</f>
        <v>866.89</v>
      </c>
      <c r="I147">
        <v>10</v>
      </c>
      <c r="J147">
        <f t="shared" si="8"/>
        <v>1560.402</v>
      </c>
      <c r="K147" t="s">
        <v>2015</v>
      </c>
      <c r="L147" t="str">
        <f>_xlfn.XLOOKUP(Orders[[#This Row],[ProductID]],Products!A:A,Products!C:C)</f>
        <v>Electronics</v>
      </c>
    </row>
    <row r="148" spans="1:12" x14ac:dyDescent="0.3">
      <c r="A148">
        <v>147</v>
      </c>
      <c r="B148">
        <v>147</v>
      </c>
      <c r="C148">
        <v>6</v>
      </c>
      <c r="D148" t="s">
        <v>2075</v>
      </c>
      <c r="E148">
        <f t="shared" si="6"/>
        <v>2024</v>
      </c>
      <c r="F148" t="str">
        <f t="shared" si="7"/>
        <v>May</v>
      </c>
      <c r="G148">
        <v>3</v>
      </c>
      <c r="H148">
        <f>_xlfn.XLOOKUP(C148,Products!A:A,Products!D:D)</f>
        <v>719.19</v>
      </c>
      <c r="I148">
        <v>15</v>
      </c>
      <c r="J148">
        <f t="shared" si="8"/>
        <v>1833.9345000000001</v>
      </c>
      <c r="K148" t="s">
        <v>2024</v>
      </c>
      <c r="L148" t="str">
        <f>_xlfn.XLOOKUP(Orders[[#This Row],[ProductID]],Products!A:A,Products!C:C)</f>
        <v>Clothing</v>
      </c>
    </row>
    <row r="149" spans="1:12" x14ac:dyDescent="0.3">
      <c r="A149">
        <v>148</v>
      </c>
      <c r="B149">
        <v>148</v>
      </c>
      <c r="C149">
        <v>12</v>
      </c>
      <c r="D149" t="s">
        <v>2076</v>
      </c>
      <c r="E149">
        <f t="shared" si="6"/>
        <v>2024</v>
      </c>
      <c r="F149" t="str">
        <f t="shared" si="7"/>
        <v>Mar</v>
      </c>
      <c r="G149">
        <v>1</v>
      </c>
      <c r="H149">
        <f>_xlfn.XLOOKUP(C149,Products!A:A,Products!D:D)</f>
        <v>627.41999999999996</v>
      </c>
      <c r="I149">
        <v>0</v>
      </c>
      <c r="J149">
        <f t="shared" si="8"/>
        <v>627.41999999999996</v>
      </c>
      <c r="K149" t="s">
        <v>2015</v>
      </c>
      <c r="L149" t="str">
        <f>_xlfn.XLOOKUP(Orders[[#This Row],[ProductID]],Products!A:A,Products!C:C)</f>
        <v>Beauty</v>
      </c>
    </row>
    <row r="150" spans="1:12" x14ac:dyDescent="0.3">
      <c r="A150">
        <v>149</v>
      </c>
      <c r="B150">
        <v>149</v>
      </c>
      <c r="C150">
        <v>40</v>
      </c>
      <c r="D150" t="s">
        <v>1317</v>
      </c>
      <c r="E150">
        <f t="shared" si="6"/>
        <v>2023</v>
      </c>
      <c r="F150" t="str">
        <f t="shared" si="7"/>
        <v>Oct</v>
      </c>
      <c r="G150">
        <v>3</v>
      </c>
      <c r="H150">
        <f>_xlfn.XLOOKUP(C150,Products!A:A,Products!D:D)</f>
        <v>316.49</v>
      </c>
      <c r="I150">
        <v>0</v>
      </c>
      <c r="J150">
        <f t="shared" si="8"/>
        <v>949.47</v>
      </c>
      <c r="K150" t="s">
        <v>2015</v>
      </c>
      <c r="L150" t="str">
        <f>_xlfn.XLOOKUP(Orders[[#This Row],[ProductID]],Products!A:A,Products!C:C)</f>
        <v>Home</v>
      </c>
    </row>
    <row r="151" spans="1:12" x14ac:dyDescent="0.3">
      <c r="A151">
        <v>150</v>
      </c>
      <c r="B151">
        <v>150</v>
      </c>
      <c r="C151">
        <v>11</v>
      </c>
      <c r="D151" t="s">
        <v>1120</v>
      </c>
      <c r="E151">
        <f t="shared" si="6"/>
        <v>2023</v>
      </c>
      <c r="F151" t="str">
        <f t="shared" si="7"/>
        <v>Apr</v>
      </c>
      <c r="G151">
        <v>3</v>
      </c>
      <c r="H151">
        <f>_xlfn.XLOOKUP(C151,Products!A:A,Products!D:D)</f>
        <v>1038.77</v>
      </c>
      <c r="I151">
        <v>20</v>
      </c>
      <c r="J151">
        <f t="shared" si="8"/>
        <v>2493.0480000000002</v>
      </c>
      <c r="K151" t="s">
        <v>2015</v>
      </c>
      <c r="L151" t="str">
        <f>_xlfn.XLOOKUP(Orders[[#This Row],[ProductID]],Products!A:A,Products!C:C)</f>
        <v>Beauty</v>
      </c>
    </row>
    <row r="152" spans="1:12" x14ac:dyDescent="0.3">
      <c r="A152">
        <v>151</v>
      </c>
      <c r="B152">
        <v>151</v>
      </c>
      <c r="C152">
        <v>7</v>
      </c>
      <c r="D152" t="s">
        <v>2075</v>
      </c>
      <c r="E152">
        <f t="shared" si="6"/>
        <v>2024</v>
      </c>
      <c r="F152" t="str">
        <f t="shared" si="7"/>
        <v>May</v>
      </c>
      <c r="G152">
        <v>3</v>
      </c>
      <c r="H152">
        <f>_xlfn.XLOOKUP(C152,Products!A:A,Products!D:D)</f>
        <v>97.29</v>
      </c>
      <c r="I152">
        <v>20</v>
      </c>
      <c r="J152">
        <f t="shared" si="8"/>
        <v>233.49600000000001</v>
      </c>
      <c r="K152" t="s">
        <v>2021</v>
      </c>
      <c r="L152" t="str">
        <f>_xlfn.XLOOKUP(Orders[[#This Row],[ProductID]],Products!A:A,Products!C:C)</f>
        <v>Beauty</v>
      </c>
    </row>
    <row r="153" spans="1:12" x14ac:dyDescent="0.3">
      <c r="A153">
        <v>152</v>
      </c>
      <c r="B153">
        <v>152</v>
      </c>
      <c r="C153">
        <v>61</v>
      </c>
      <c r="D153" t="s">
        <v>1900</v>
      </c>
      <c r="E153">
        <f t="shared" si="6"/>
        <v>2023</v>
      </c>
      <c r="F153" t="str">
        <f t="shared" si="7"/>
        <v>Sep</v>
      </c>
      <c r="G153">
        <v>1</v>
      </c>
      <c r="H153">
        <f>_xlfn.XLOOKUP(C153,Products!A:A,Products!D:D)</f>
        <v>498.92</v>
      </c>
      <c r="I153">
        <v>0</v>
      </c>
      <c r="J153">
        <f t="shared" si="8"/>
        <v>498.92</v>
      </c>
      <c r="K153" t="s">
        <v>2015</v>
      </c>
      <c r="L153" t="str">
        <f>_xlfn.XLOOKUP(Orders[[#This Row],[ProductID]],Products!A:A,Products!C:C)</f>
        <v>Clothing</v>
      </c>
    </row>
    <row r="154" spans="1:12" x14ac:dyDescent="0.3">
      <c r="A154">
        <v>153</v>
      </c>
      <c r="B154">
        <v>153</v>
      </c>
      <c r="C154">
        <v>24</v>
      </c>
      <c r="D154" t="s">
        <v>2077</v>
      </c>
      <c r="E154">
        <f t="shared" si="6"/>
        <v>2024</v>
      </c>
      <c r="F154" t="str">
        <f t="shared" si="7"/>
        <v>May</v>
      </c>
      <c r="G154">
        <v>1</v>
      </c>
      <c r="H154">
        <f>_xlfn.XLOOKUP(C154,Products!A:A,Products!D:D)</f>
        <v>1019.85</v>
      </c>
      <c r="I154">
        <v>10</v>
      </c>
      <c r="J154">
        <f t="shared" si="8"/>
        <v>917.86500000000001</v>
      </c>
      <c r="K154" t="s">
        <v>2021</v>
      </c>
      <c r="L154" t="str">
        <f>_xlfn.XLOOKUP(Orders[[#This Row],[ProductID]],Products!A:A,Products!C:C)</f>
        <v>Beauty</v>
      </c>
    </row>
    <row r="155" spans="1:12" x14ac:dyDescent="0.3">
      <c r="A155">
        <v>154</v>
      </c>
      <c r="B155">
        <v>154</v>
      </c>
      <c r="C155">
        <v>32</v>
      </c>
      <c r="D155" t="s">
        <v>2044</v>
      </c>
      <c r="E155">
        <f t="shared" si="6"/>
        <v>2024</v>
      </c>
      <c r="F155" t="str">
        <f t="shared" si="7"/>
        <v>Feb</v>
      </c>
      <c r="G155">
        <v>3</v>
      </c>
      <c r="H155">
        <f>_xlfn.XLOOKUP(C155,Products!A:A,Products!D:D)</f>
        <v>342.57</v>
      </c>
      <c r="I155">
        <v>20</v>
      </c>
      <c r="J155">
        <f t="shared" si="8"/>
        <v>822.16800000000012</v>
      </c>
      <c r="K155" t="s">
        <v>2017</v>
      </c>
      <c r="L155" t="str">
        <f>_xlfn.XLOOKUP(Orders[[#This Row],[ProductID]],Products!A:A,Products!C:C)</f>
        <v>Clothing</v>
      </c>
    </row>
    <row r="156" spans="1:12" x14ac:dyDescent="0.3">
      <c r="A156">
        <v>155</v>
      </c>
      <c r="B156">
        <v>155</v>
      </c>
      <c r="C156">
        <v>11</v>
      </c>
      <c r="D156" t="s">
        <v>2078</v>
      </c>
      <c r="E156">
        <f t="shared" si="6"/>
        <v>2024</v>
      </c>
      <c r="F156" t="str">
        <f t="shared" si="7"/>
        <v>Feb</v>
      </c>
      <c r="G156">
        <v>3</v>
      </c>
      <c r="H156">
        <f>_xlfn.XLOOKUP(C156,Products!A:A,Products!D:D)</f>
        <v>1038.77</v>
      </c>
      <c r="I156">
        <v>20</v>
      </c>
      <c r="J156">
        <f t="shared" si="8"/>
        <v>2493.0480000000002</v>
      </c>
      <c r="K156" t="s">
        <v>2024</v>
      </c>
      <c r="L156" t="str">
        <f>_xlfn.XLOOKUP(Orders[[#This Row],[ProductID]],Products!A:A,Products!C:C)</f>
        <v>Beauty</v>
      </c>
    </row>
    <row r="157" spans="1:12" x14ac:dyDescent="0.3">
      <c r="A157">
        <v>156</v>
      </c>
      <c r="B157">
        <v>156</v>
      </c>
      <c r="C157">
        <v>52</v>
      </c>
      <c r="D157" t="s">
        <v>2079</v>
      </c>
      <c r="E157">
        <f t="shared" si="6"/>
        <v>2023</v>
      </c>
      <c r="F157" t="str">
        <f t="shared" si="7"/>
        <v>Oct</v>
      </c>
      <c r="G157">
        <v>1</v>
      </c>
      <c r="H157">
        <f>_xlfn.XLOOKUP(C157,Products!A:A,Products!D:D)</f>
        <v>256.76</v>
      </c>
      <c r="I157">
        <v>15</v>
      </c>
      <c r="J157">
        <f t="shared" si="8"/>
        <v>218.24599999999998</v>
      </c>
      <c r="K157" t="s">
        <v>2019</v>
      </c>
      <c r="L157" t="str">
        <f>_xlfn.XLOOKUP(Orders[[#This Row],[ProductID]],Products!A:A,Products!C:C)</f>
        <v>Home</v>
      </c>
    </row>
    <row r="158" spans="1:12" x14ac:dyDescent="0.3">
      <c r="A158">
        <v>157</v>
      </c>
      <c r="B158">
        <v>157</v>
      </c>
      <c r="C158">
        <v>44</v>
      </c>
      <c r="D158" t="s">
        <v>1495</v>
      </c>
      <c r="E158">
        <f t="shared" si="6"/>
        <v>2023</v>
      </c>
      <c r="F158" t="str">
        <f t="shared" si="7"/>
        <v>Aug</v>
      </c>
      <c r="G158">
        <v>1</v>
      </c>
      <c r="H158">
        <f>_xlfn.XLOOKUP(C158,Products!A:A,Products!D:D)</f>
        <v>1038</v>
      </c>
      <c r="I158">
        <v>15</v>
      </c>
      <c r="J158">
        <f t="shared" si="8"/>
        <v>882.3</v>
      </c>
      <c r="K158" t="s">
        <v>2019</v>
      </c>
      <c r="L158" t="str">
        <f>_xlfn.XLOOKUP(Orders[[#This Row],[ProductID]],Products!A:A,Products!C:C)</f>
        <v>Home</v>
      </c>
    </row>
    <row r="159" spans="1:12" x14ac:dyDescent="0.3">
      <c r="A159">
        <v>158</v>
      </c>
      <c r="B159">
        <v>158</v>
      </c>
      <c r="C159">
        <v>68</v>
      </c>
      <c r="D159" t="s">
        <v>229</v>
      </c>
      <c r="E159">
        <f t="shared" si="6"/>
        <v>2023</v>
      </c>
      <c r="F159" t="str">
        <f t="shared" si="7"/>
        <v>Jun</v>
      </c>
      <c r="G159">
        <v>2</v>
      </c>
      <c r="H159">
        <f>_xlfn.XLOOKUP(C159,Products!A:A,Products!D:D)</f>
        <v>180.99</v>
      </c>
      <c r="I159">
        <v>10</v>
      </c>
      <c r="J159">
        <f t="shared" si="8"/>
        <v>325.78200000000004</v>
      </c>
      <c r="K159" t="s">
        <v>2019</v>
      </c>
      <c r="L159" t="str">
        <f>_xlfn.XLOOKUP(Orders[[#This Row],[ProductID]],Products!A:A,Products!C:C)</f>
        <v>Clothing</v>
      </c>
    </row>
    <row r="160" spans="1:12" x14ac:dyDescent="0.3">
      <c r="A160">
        <v>159</v>
      </c>
      <c r="B160">
        <v>159</v>
      </c>
      <c r="C160">
        <v>15</v>
      </c>
      <c r="D160" t="s">
        <v>1740</v>
      </c>
      <c r="E160">
        <f t="shared" si="6"/>
        <v>2023</v>
      </c>
      <c r="F160" t="str">
        <f t="shared" si="7"/>
        <v>Feb</v>
      </c>
      <c r="G160">
        <v>3</v>
      </c>
      <c r="H160">
        <f>_xlfn.XLOOKUP(C160,Products!A:A,Products!D:D)</f>
        <v>1183.2</v>
      </c>
      <c r="I160">
        <v>5</v>
      </c>
      <c r="J160">
        <f t="shared" si="8"/>
        <v>3372.1200000000003</v>
      </c>
      <c r="K160" t="s">
        <v>2024</v>
      </c>
      <c r="L160" t="str">
        <f>_xlfn.XLOOKUP(Orders[[#This Row],[ProductID]],Products!A:A,Products!C:C)</f>
        <v>Electronics</v>
      </c>
    </row>
    <row r="161" spans="1:12" x14ac:dyDescent="0.3">
      <c r="A161">
        <v>160</v>
      </c>
      <c r="B161">
        <v>160</v>
      </c>
      <c r="C161">
        <v>19</v>
      </c>
      <c r="D161" t="s">
        <v>2080</v>
      </c>
      <c r="E161">
        <f t="shared" si="6"/>
        <v>2023</v>
      </c>
      <c r="F161" t="str">
        <f t="shared" si="7"/>
        <v>Apr</v>
      </c>
      <c r="G161">
        <v>2</v>
      </c>
      <c r="H161">
        <f>_xlfn.XLOOKUP(C161,Products!A:A,Products!D:D)</f>
        <v>262.97000000000003</v>
      </c>
      <c r="I161">
        <v>0</v>
      </c>
      <c r="J161">
        <f t="shared" si="8"/>
        <v>525.94000000000005</v>
      </c>
      <c r="K161" t="s">
        <v>2021</v>
      </c>
      <c r="L161" t="str">
        <f>_xlfn.XLOOKUP(Orders[[#This Row],[ProductID]],Products!A:A,Products!C:C)</f>
        <v>Beauty</v>
      </c>
    </row>
    <row r="162" spans="1:12" x14ac:dyDescent="0.3">
      <c r="A162">
        <v>161</v>
      </c>
      <c r="B162">
        <v>161</v>
      </c>
      <c r="C162">
        <v>40</v>
      </c>
      <c r="D162" t="s">
        <v>2062</v>
      </c>
      <c r="E162">
        <f t="shared" si="6"/>
        <v>2024</v>
      </c>
      <c r="F162" t="str">
        <f t="shared" si="7"/>
        <v>May</v>
      </c>
      <c r="G162">
        <v>2</v>
      </c>
      <c r="H162">
        <f>_xlfn.XLOOKUP(C162,Products!A:A,Products!D:D)</f>
        <v>316.49</v>
      </c>
      <c r="I162">
        <v>5</v>
      </c>
      <c r="J162">
        <f t="shared" si="8"/>
        <v>601.33100000000002</v>
      </c>
      <c r="K162" t="s">
        <v>2019</v>
      </c>
      <c r="L162" t="str">
        <f>_xlfn.XLOOKUP(Orders[[#This Row],[ProductID]],Products!A:A,Products!C:C)</f>
        <v>Home</v>
      </c>
    </row>
    <row r="163" spans="1:12" x14ac:dyDescent="0.3">
      <c r="A163">
        <v>162</v>
      </c>
      <c r="B163">
        <v>162</v>
      </c>
      <c r="C163">
        <v>79</v>
      </c>
      <c r="D163" t="s">
        <v>2077</v>
      </c>
      <c r="E163">
        <f t="shared" si="6"/>
        <v>2024</v>
      </c>
      <c r="F163" t="str">
        <f t="shared" si="7"/>
        <v>May</v>
      </c>
      <c r="G163">
        <v>2</v>
      </c>
      <c r="H163">
        <f>_xlfn.XLOOKUP(C163,Products!A:A,Products!D:D)</f>
        <v>488.34</v>
      </c>
      <c r="I163">
        <v>5</v>
      </c>
      <c r="J163">
        <f t="shared" si="8"/>
        <v>927.84599999999989</v>
      </c>
      <c r="K163" t="s">
        <v>2019</v>
      </c>
      <c r="L163" t="str">
        <f>_xlfn.XLOOKUP(Orders[[#This Row],[ProductID]],Products!A:A,Products!C:C)</f>
        <v>Electronics</v>
      </c>
    </row>
    <row r="164" spans="1:12" x14ac:dyDescent="0.3">
      <c r="A164">
        <v>163</v>
      </c>
      <c r="B164">
        <v>163</v>
      </c>
      <c r="C164">
        <v>8</v>
      </c>
      <c r="D164" t="s">
        <v>910</v>
      </c>
      <c r="E164">
        <f t="shared" si="6"/>
        <v>2023</v>
      </c>
      <c r="F164" t="str">
        <f t="shared" si="7"/>
        <v>Jun</v>
      </c>
      <c r="G164">
        <v>2</v>
      </c>
      <c r="H164">
        <f>_xlfn.XLOOKUP(C164,Products!A:A,Products!D:D)</f>
        <v>155.08000000000001</v>
      </c>
      <c r="I164">
        <v>0</v>
      </c>
      <c r="J164">
        <f t="shared" si="8"/>
        <v>310.16000000000003</v>
      </c>
      <c r="K164" t="s">
        <v>2024</v>
      </c>
      <c r="L164" t="str">
        <f>_xlfn.XLOOKUP(Orders[[#This Row],[ProductID]],Products!A:A,Products!C:C)</f>
        <v>Clothing</v>
      </c>
    </row>
    <row r="165" spans="1:12" x14ac:dyDescent="0.3">
      <c r="A165">
        <v>164</v>
      </c>
      <c r="B165">
        <v>164</v>
      </c>
      <c r="C165">
        <v>19</v>
      </c>
      <c r="D165" t="s">
        <v>351</v>
      </c>
      <c r="E165">
        <f t="shared" si="6"/>
        <v>2023</v>
      </c>
      <c r="F165" t="str">
        <f t="shared" si="7"/>
        <v>Jul</v>
      </c>
      <c r="G165">
        <v>2</v>
      </c>
      <c r="H165">
        <f>_xlfn.XLOOKUP(C165,Products!A:A,Products!D:D)</f>
        <v>262.97000000000003</v>
      </c>
      <c r="I165">
        <v>10</v>
      </c>
      <c r="J165">
        <f t="shared" si="8"/>
        <v>473.34600000000006</v>
      </c>
      <c r="K165" t="s">
        <v>2017</v>
      </c>
      <c r="L165" t="str">
        <f>_xlfn.XLOOKUP(Orders[[#This Row],[ProductID]],Products!A:A,Products!C:C)</f>
        <v>Beauty</v>
      </c>
    </row>
    <row r="166" spans="1:12" x14ac:dyDescent="0.3">
      <c r="A166">
        <v>165</v>
      </c>
      <c r="B166">
        <v>165</v>
      </c>
      <c r="C166">
        <v>16</v>
      </c>
      <c r="D166" t="s">
        <v>446</v>
      </c>
      <c r="E166">
        <f t="shared" si="6"/>
        <v>2023</v>
      </c>
      <c r="F166" t="str">
        <f t="shared" si="7"/>
        <v>Jan</v>
      </c>
      <c r="G166">
        <v>1</v>
      </c>
      <c r="H166">
        <f>_xlfn.XLOOKUP(C166,Products!A:A,Products!D:D)</f>
        <v>693.02</v>
      </c>
      <c r="I166">
        <v>5</v>
      </c>
      <c r="J166">
        <f t="shared" si="8"/>
        <v>658.36899999999991</v>
      </c>
      <c r="K166" t="s">
        <v>2015</v>
      </c>
      <c r="L166" t="str">
        <f>_xlfn.XLOOKUP(Orders[[#This Row],[ProductID]],Products!A:A,Products!C:C)</f>
        <v>Home</v>
      </c>
    </row>
    <row r="167" spans="1:12" x14ac:dyDescent="0.3">
      <c r="A167">
        <v>166</v>
      </c>
      <c r="B167">
        <v>166</v>
      </c>
      <c r="C167">
        <v>76</v>
      </c>
      <c r="D167" t="s">
        <v>234</v>
      </c>
      <c r="E167">
        <f t="shared" si="6"/>
        <v>2023</v>
      </c>
      <c r="F167" t="str">
        <f t="shared" si="7"/>
        <v>May</v>
      </c>
      <c r="G167">
        <v>2</v>
      </c>
      <c r="H167">
        <f>_xlfn.XLOOKUP(C167,Products!A:A,Products!D:D)</f>
        <v>1043.26</v>
      </c>
      <c r="I167">
        <v>20</v>
      </c>
      <c r="J167">
        <f t="shared" si="8"/>
        <v>1669.2160000000001</v>
      </c>
      <c r="K167" t="s">
        <v>2015</v>
      </c>
      <c r="L167" t="str">
        <f>_xlfn.XLOOKUP(Orders[[#This Row],[ProductID]],Products!A:A,Products!C:C)</f>
        <v>Clothing</v>
      </c>
    </row>
    <row r="168" spans="1:12" x14ac:dyDescent="0.3">
      <c r="A168">
        <v>167</v>
      </c>
      <c r="B168">
        <v>167</v>
      </c>
      <c r="C168">
        <v>50</v>
      </c>
      <c r="D168" t="s">
        <v>2081</v>
      </c>
      <c r="E168">
        <f t="shared" si="6"/>
        <v>2024</v>
      </c>
      <c r="F168" t="str">
        <f t="shared" si="7"/>
        <v>May</v>
      </c>
      <c r="G168">
        <v>1</v>
      </c>
      <c r="H168">
        <f>_xlfn.XLOOKUP(C168,Products!A:A,Products!D:D)</f>
        <v>1122.8699999999999</v>
      </c>
      <c r="I168">
        <v>10</v>
      </c>
      <c r="J168">
        <f t="shared" si="8"/>
        <v>1010.583</v>
      </c>
      <c r="K168" t="s">
        <v>2019</v>
      </c>
      <c r="L168" t="str">
        <f>_xlfn.XLOOKUP(Orders[[#This Row],[ProductID]],Products!A:A,Products!C:C)</f>
        <v>Home</v>
      </c>
    </row>
    <row r="169" spans="1:12" x14ac:dyDescent="0.3">
      <c r="A169">
        <v>168</v>
      </c>
      <c r="B169">
        <v>168</v>
      </c>
      <c r="C169">
        <v>41</v>
      </c>
      <c r="D169" t="s">
        <v>2082</v>
      </c>
      <c r="E169">
        <f t="shared" si="6"/>
        <v>2023</v>
      </c>
      <c r="F169" t="str">
        <f t="shared" si="7"/>
        <v>Aug</v>
      </c>
      <c r="G169">
        <v>3</v>
      </c>
      <c r="H169">
        <f>_xlfn.XLOOKUP(C169,Products!A:A,Products!D:D)</f>
        <v>554.80999999999995</v>
      </c>
      <c r="I169">
        <v>15</v>
      </c>
      <c r="J169">
        <f t="shared" si="8"/>
        <v>1414.7654999999997</v>
      </c>
      <c r="K169" t="s">
        <v>2019</v>
      </c>
      <c r="L169" t="str">
        <f>_xlfn.XLOOKUP(Orders[[#This Row],[ProductID]],Products!A:A,Products!C:C)</f>
        <v>Home</v>
      </c>
    </row>
    <row r="170" spans="1:12" x14ac:dyDescent="0.3">
      <c r="A170">
        <v>169</v>
      </c>
      <c r="B170">
        <v>169</v>
      </c>
      <c r="C170">
        <v>62</v>
      </c>
      <c r="D170" t="s">
        <v>41</v>
      </c>
      <c r="E170">
        <f t="shared" si="6"/>
        <v>2023</v>
      </c>
      <c r="F170" t="str">
        <f t="shared" si="7"/>
        <v>Jan</v>
      </c>
      <c r="G170">
        <v>2</v>
      </c>
      <c r="H170">
        <f>_xlfn.XLOOKUP(C170,Products!A:A,Products!D:D)</f>
        <v>196.96</v>
      </c>
      <c r="I170">
        <v>5</v>
      </c>
      <c r="J170">
        <f t="shared" si="8"/>
        <v>374.22399999999999</v>
      </c>
      <c r="K170" t="s">
        <v>2019</v>
      </c>
      <c r="L170" t="str">
        <f>_xlfn.XLOOKUP(Orders[[#This Row],[ProductID]],Products!A:A,Products!C:C)</f>
        <v>Electronics</v>
      </c>
    </row>
    <row r="171" spans="1:12" x14ac:dyDescent="0.3">
      <c r="A171">
        <v>170</v>
      </c>
      <c r="B171">
        <v>170</v>
      </c>
      <c r="C171">
        <v>35</v>
      </c>
      <c r="D171" t="s">
        <v>555</v>
      </c>
      <c r="E171">
        <f t="shared" si="6"/>
        <v>2023</v>
      </c>
      <c r="F171" t="str">
        <f t="shared" si="7"/>
        <v>Oct</v>
      </c>
      <c r="G171">
        <v>3</v>
      </c>
      <c r="H171">
        <f>_xlfn.XLOOKUP(C171,Products!A:A,Products!D:D)</f>
        <v>958.87</v>
      </c>
      <c r="I171">
        <v>0</v>
      </c>
      <c r="J171">
        <f t="shared" si="8"/>
        <v>2876.61</v>
      </c>
      <c r="K171" t="s">
        <v>2021</v>
      </c>
      <c r="L171" t="str">
        <f>_xlfn.XLOOKUP(Orders[[#This Row],[ProductID]],Products!A:A,Products!C:C)</f>
        <v>Clothing</v>
      </c>
    </row>
    <row r="172" spans="1:12" x14ac:dyDescent="0.3">
      <c r="A172">
        <v>171</v>
      </c>
      <c r="B172">
        <v>171</v>
      </c>
      <c r="C172">
        <v>72</v>
      </c>
      <c r="D172" t="s">
        <v>444</v>
      </c>
      <c r="E172">
        <f t="shared" si="6"/>
        <v>2023</v>
      </c>
      <c r="F172" t="str">
        <f t="shared" si="7"/>
        <v>Nov</v>
      </c>
      <c r="G172">
        <v>1</v>
      </c>
      <c r="H172">
        <f>_xlfn.XLOOKUP(C172,Products!A:A,Products!D:D)</f>
        <v>1157.27</v>
      </c>
      <c r="I172">
        <v>10</v>
      </c>
      <c r="J172">
        <f t="shared" si="8"/>
        <v>1041.5430000000001</v>
      </c>
      <c r="K172" t="s">
        <v>2015</v>
      </c>
      <c r="L172" t="str">
        <f>_xlfn.XLOOKUP(Orders[[#This Row],[ProductID]],Products!A:A,Products!C:C)</f>
        <v>Electronics</v>
      </c>
    </row>
    <row r="173" spans="1:12" x14ac:dyDescent="0.3">
      <c r="A173">
        <v>172</v>
      </c>
      <c r="B173">
        <v>172</v>
      </c>
      <c r="C173">
        <v>53</v>
      </c>
      <c r="D173" t="s">
        <v>1816</v>
      </c>
      <c r="E173">
        <f t="shared" si="6"/>
        <v>2023</v>
      </c>
      <c r="F173" t="str">
        <f t="shared" si="7"/>
        <v>Aug</v>
      </c>
      <c r="G173">
        <v>1</v>
      </c>
      <c r="H173">
        <f>_xlfn.XLOOKUP(C173,Products!A:A,Products!D:D)</f>
        <v>194.34</v>
      </c>
      <c r="I173">
        <v>20</v>
      </c>
      <c r="J173">
        <f t="shared" si="8"/>
        <v>155.47200000000001</v>
      </c>
      <c r="K173" t="s">
        <v>2021</v>
      </c>
      <c r="L173" t="str">
        <f>_xlfn.XLOOKUP(Orders[[#This Row],[ProductID]],Products!A:A,Products!C:C)</f>
        <v>Home</v>
      </c>
    </row>
    <row r="174" spans="1:12" x14ac:dyDescent="0.3">
      <c r="A174">
        <v>173</v>
      </c>
      <c r="B174">
        <v>173</v>
      </c>
      <c r="C174">
        <v>19</v>
      </c>
      <c r="D174" t="s">
        <v>802</v>
      </c>
      <c r="E174">
        <f t="shared" si="6"/>
        <v>2023</v>
      </c>
      <c r="F174" t="str">
        <f t="shared" si="7"/>
        <v>Jul</v>
      </c>
      <c r="G174">
        <v>3</v>
      </c>
      <c r="H174">
        <f>_xlfn.XLOOKUP(C174,Products!A:A,Products!D:D)</f>
        <v>262.97000000000003</v>
      </c>
      <c r="I174">
        <v>5</v>
      </c>
      <c r="J174">
        <f t="shared" si="8"/>
        <v>749.46450000000004</v>
      </c>
      <c r="K174" t="s">
        <v>2021</v>
      </c>
      <c r="L174" t="str">
        <f>_xlfn.XLOOKUP(Orders[[#This Row],[ProductID]],Products!A:A,Products!C:C)</f>
        <v>Beauty</v>
      </c>
    </row>
    <row r="175" spans="1:12" x14ac:dyDescent="0.3">
      <c r="A175">
        <v>174</v>
      </c>
      <c r="B175">
        <v>174</v>
      </c>
      <c r="C175">
        <v>69</v>
      </c>
      <c r="D175" t="s">
        <v>2062</v>
      </c>
      <c r="E175">
        <f t="shared" si="6"/>
        <v>2024</v>
      </c>
      <c r="F175" t="str">
        <f t="shared" si="7"/>
        <v>May</v>
      </c>
      <c r="G175">
        <v>2</v>
      </c>
      <c r="H175">
        <f>_xlfn.XLOOKUP(C175,Products!A:A,Products!D:D)</f>
        <v>951.81</v>
      </c>
      <c r="I175">
        <v>20</v>
      </c>
      <c r="J175">
        <f t="shared" si="8"/>
        <v>1522.896</v>
      </c>
      <c r="K175" t="s">
        <v>2017</v>
      </c>
      <c r="L175" t="str">
        <f>_xlfn.XLOOKUP(Orders[[#This Row],[ProductID]],Products!A:A,Products!C:C)</f>
        <v>Clothing</v>
      </c>
    </row>
    <row r="176" spans="1:12" x14ac:dyDescent="0.3">
      <c r="A176">
        <v>175</v>
      </c>
      <c r="B176">
        <v>175</v>
      </c>
      <c r="C176">
        <v>6</v>
      </c>
      <c r="D176" t="s">
        <v>2083</v>
      </c>
      <c r="E176">
        <f t="shared" si="6"/>
        <v>2023</v>
      </c>
      <c r="F176" t="str">
        <f t="shared" si="7"/>
        <v>Jan</v>
      </c>
      <c r="G176">
        <v>2</v>
      </c>
      <c r="H176">
        <f>_xlfn.XLOOKUP(C176,Products!A:A,Products!D:D)</f>
        <v>719.19</v>
      </c>
      <c r="I176">
        <v>20</v>
      </c>
      <c r="J176">
        <f t="shared" si="8"/>
        <v>1150.7040000000002</v>
      </c>
      <c r="K176" t="s">
        <v>2024</v>
      </c>
      <c r="L176" t="str">
        <f>_xlfn.XLOOKUP(Orders[[#This Row],[ProductID]],Products!A:A,Products!C:C)</f>
        <v>Clothing</v>
      </c>
    </row>
    <row r="177" spans="1:12" x14ac:dyDescent="0.3">
      <c r="A177">
        <v>176</v>
      </c>
      <c r="B177">
        <v>176</v>
      </c>
      <c r="C177">
        <v>22</v>
      </c>
      <c r="D177" t="s">
        <v>2083</v>
      </c>
      <c r="E177">
        <f t="shared" si="6"/>
        <v>2023</v>
      </c>
      <c r="F177" t="str">
        <f t="shared" si="7"/>
        <v>Jan</v>
      </c>
      <c r="G177">
        <v>1</v>
      </c>
      <c r="H177">
        <f>_xlfn.XLOOKUP(C177,Products!A:A,Products!D:D)</f>
        <v>373.43</v>
      </c>
      <c r="I177">
        <v>15</v>
      </c>
      <c r="J177">
        <f t="shared" si="8"/>
        <v>317.41550000000001</v>
      </c>
      <c r="K177" t="s">
        <v>2024</v>
      </c>
      <c r="L177" t="str">
        <f>_xlfn.XLOOKUP(Orders[[#This Row],[ProductID]],Products!A:A,Products!C:C)</f>
        <v>Beauty</v>
      </c>
    </row>
    <row r="178" spans="1:12" x14ac:dyDescent="0.3">
      <c r="A178">
        <v>177</v>
      </c>
      <c r="B178">
        <v>177</v>
      </c>
      <c r="C178">
        <v>77</v>
      </c>
      <c r="D178" t="s">
        <v>475</v>
      </c>
      <c r="E178">
        <f t="shared" si="6"/>
        <v>2023</v>
      </c>
      <c r="F178" t="str">
        <f t="shared" si="7"/>
        <v>May</v>
      </c>
      <c r="G178">
        <v>3</v>
      </c>
      <c r="H178">
        <f>_xlfn.XLOOKUP(C178,Products!A:A,Products!D:D)</f>
        <v>1078.19</v>
      </c>
      <c r="I178">
        <v>15</v>
      </c>
      <c r="J178">
        <f t="shared" si="8"/>
        <v>2749.3845000000001</v>
      </c>
      <c r="K178" t="s">
        <v>2024</v>
      </c>
      <c r="L178" t="str">
        <f>_xlfn.XLOOKUP(Orders[[#This Row],[ProductID]],Products!A:A,Products!C:C)</f>
        <v>Home</v>
      </c>
    </row>
    <row r="179" spans="1:12" x14ac:dyDescent="0.3">
      <c r="A179">
        <v>178</v>
      </c>
      <c r="B179">
        <v>178</v>
      </c>
      <c r="C179">
        <v>28</v>
      </c>
      <c r="D179" t="s">
        <v>1513</v>
      </c>
      <c r="E179">
        <f t="shared" si="6"/>
        <v>2023</v>
      </c>
      <c r="F179" t="str">
        <f t="shared" si="7"/>
        <v>Oct</v>
      </c>
      <c r="G179">
        <v>3</v>
      </c>
      <c r="H179">
        <f>_xlfn.XLOOKUP(C179,Products!A:A,Products!D:D)</f>
        <v>494.39</v>
      </c>
      <c r="I179">
        <v>10</v>
      </c>
      <c r="J179">
        <f t="shared" si="8"/>
        <v>1334.8530000000001</v>
      </c>
      <c r="K179" t="s">
        <v>2019</v>
      </c>
      <c r="L179" t="str">
        <f>_xlfn.XLOOKUP(Orders[[#This Row],[ProductID]],Products!A:A,Products!C:C)</f>
        <v>Beauty</v>
      </c>
    </row>
    <row r="180" spans="1:12" x14ac:dyDescent="0.3">
      <c r="A180">
        <v>179</v>
      </c>
      <c r="B180">
        <v>179</v>
      </c>
      <c r="C180">
        <v>21</v>
      </c>
      <c r="D180" t="s">
        <v>2084</v>
      </c>
      <c r="E180">
        <f t="shared" si="6"/>
        <v>2024</v>
      </c>
      <c r="F180" t="str">
        <f t="shared" si="7"/>
        <v>Jan</v>
      </c>
      <c r="G180">
        <v>3</v>
      </c>
      <c r="H180">
        <f>_xlfn.XLOOKUP(C180,Products!A:A,Products!D:D)</f>
        <v>420.66</v>
      </c>
      <c r="I180">
        <v>20</v>
      </c>
      <c r="J180">
        <f t="shared" si="8"/>
        <v>1009.5840000000001</v>
      </c>
      <c r="K180" t="s">
        <v>2019</v>
      </c>
      <c r="L180" t="str">
        <f>_xlfn.XLOOKUP(Orders[[#This Row],[ProductID]],Products!A:A,Products!C:C)</f>
        <v>Beauty</v>
      </c>
    </row>
    <row r="181" spans="1:12" x14ac:dyDescent="0.3">
      <c r="A181">
        <v>180</v>
      </c>
      <c r="B181">
        <v>180</v>
      </c>
      <c r="C181">
        <v>39</v>
      </c>
      <c r="D181" t="s">
        <v>1123</v>
      </c>
      <c r="E181">
        <f t="shared" si="6"/>
        <v>2023</v>
      </c>
      <c r="F181" t="str">
        <f t="shared" si="7"/>
        <v>Feb</v>
      </c>
      <c r="G181">
        <v>2</v>
      </c>
      <c r="H181">
        <f>_xlfn.XLOOKUP(C181,Products!A:A,Products!D:D)</f>
        <v>256.08999999999997</v>
      </c>
      <c r="I181">
        <v>0</v>
      </c>
      <c r="J181">
        <f t="shared" si="8"/>
        <v>512.17999999999995</v>
      </c>
      <c r="K181" t="s">
        <v>2021</v>
      </c>
      <c r="L181" t="str">
        <f>_xlfn.XLOOKUP(Orders[[#This Row],[ProductID]],Products!A:A,Products!C:C)</f>
        <v>Clothing</v>
      </c>
    </row>
    <row r="182" spans="1:12" x14ac:dyDescent="0.3">
      <c r="A182">
        <v>181</v>
      </c>
      <c r="B182">
        <v>181</v>
      </c>
      <c r="C182">
        <v>72</v>
      </c>
      <c r="D182" t="s">
        <v>463</v>
      </c>
      <c r="E182">
        <f t="shared" si="6"/>
        <v>2023</v>
      </c>
      <c r="F182" t="str">
        <f t="shared" si="7"/>
        <v>May</v>
      </c>
      <c r="G182">
        <v>2</v>
      </c>
      <c r="H182">
        <f>_xlfn.XLOOKUP(C182,Products!A:A,Products!D:D)</f>
        <v>1157.27</v>
      </c>
      <c r="I182">
        <v>5</v>
      </c>
      <c r="J182">
        <f t="shared" si="8"/>
        <v>2198.8129999999996</v>
      </c>
      <c r="K182" t="s">
        <v>2015</v>
      </c>
      <c r="L182" t="str">
        <f>_xlfn.XLOOKUP(Orders[[#This Row],[ProductID]],Products!A:A,Products!C:C)</f>
        <v>Electronics</v>
      </c>
    </row>
    <row r="183" spans="1:12" x14ac:dyDescent="0.3">
      <c r="A183">
        <v>182</v>
      </c>
      <c r="B183">
        <v>182</v>
      </c>
      <c r="C183">
        <v>65</v>
      </c>
      <c r="D183" t="s">
        <v>2075</v>
      </c>
      <c r="E183">
        <f t="shared" si="6"/>
        <v>2024</v>
      </c>
      <c r="F183" t="str">
        <f t="shared" si="7"/>
        <v>May</v>
      </c>
      <c r="G183">
        <v>2</v>
      </c>
      <c r="H183">
        <f>_xlfn.XLOOKUP(C183,Products!A:A,Products!D:D)</f>
        <v>1189.73</v>
      </c>
      <c r="I183">
        <v>10</v>
      </c>
      <c r="J183">
        <f t="shared" si="8"/>
        <v>2141.5140000000001</v>
      </c>
      <c r="K183" t="s">
        <v>2024</v>
      </c>
      <c r="L183" t="str">
        <f>_xlfn.XLOOKUP(Orders[[#This Row],[ProductID]],Products!A:A,Products!C:C)</f>
        <v>Home</v>
      </c>
    </row>
    <row r="184" spans="1:12" x14ac:dyDescent="0.3">
      <c r="A184">
        <v>183</v>
      </c>
      <c r="B184">
        <v>183</v>
      </c>
      <c r="C184">
        <v>58</v>
      </c>
      <c r="D184" t="s">
        <v>1148</v>
      </c>
      <c r="E184">
        <f t="shared" si="6"/>
        <v>2023</v>
      </c>
      <c r="F184" t="str">
        <f t="shared" si="7"/>
        <v>May</v>
      </c>
      <c r="G184">
        <v>1</v>
      </c>
      <c r="H184">
        <f>_xlfn.XLOOKUP(C184,Products!A:A,Products!D:D)</f>
        <v>334.98</v>
      </c>
      <c r="I184">
        <v>10</v>
      </c>
      <c r="J184">
        <f t="shared" si="8"/>
        <v>301.48200000000003</v>
      </c>
      <c r="K184" t="s">
        <v>2024</v>
      </c>
      <c r="L184" t="str">
        <f>_xlfn.XLOOKUP(Orders[[#This Row],[ProductID]],Products!A:A,Products!C:C)</f>
        <v>Home</v>
      </c>
    </row>
    <row r="185" spans="1:12" x14ac:dyDescent="0.3">
      <c r="A185">
        <v>184</v>
      </c>
      <c r="B185">
        <v>184</v>
      </c>
      <c r="C185">
        <v>27</v>
      </c>
      <c r="D185" t="s">
        <v>505</v>
      </c>
      <c r="E185">
        <f t="shared" si="6"/>
        <v>2023</v>
      </c>
      <c r="F185" t="str">
        <f t="shared" si="7"/>
        <v>Aug</v>
      </c>
      <c r="G185">
        <v>3</v>
      </c>
      <c r="H185">
        <f>_xlfn.XLOOKUP(C185,Products!A:A,Products!D:D)</f>
        <v>76.09</v>
      </c>
      <c r="I185">
        <v>10</v>
      </c>
      <c r="J185">
        <f t="shared" si="8"/>
        <v>205.44300000000001</v>
      </c>
      <c r="K185" t="s">
        <v>2019</v>
      </c>
      <c r="L185" t="str">
        <f>_xlfn.XLOOKUP(Orders[[#This Row],[ProductID]],Products!A:A,Products!C:C)</f>
        <v>Clothing</v>
      </c>
    </row>
    <row r="186" spans="1:12" x14ac:dyDescent="0.3">
      <c r="A186">
        <v>185</v>
      </c>
      <c r="B186">
        <v>185</v>
      </c>
      <c r="C186">
        <v>18</v>
      </c>
      <c r="D186" t="s">
        <v>691</v>
      </c>
      <c r="E186">
        <f t="shared" si="6"/>
        <v>2023</v>
      </c>
      <c r="F186" t="str">
        <f t="shared" si="7"/>
        <v>Nov</v>
      </c>
      <c r="G186">
        <v>1</v>
      </c>
      <c r="H186">
        <f>_xlfn.XLOOKUP(C186,Products!A:A,Products!D:D)</f>
        <v>138.07</v>
      </c>
      <c r="I186">
        <v>20</v>
      </c>
      <c r="J186">
        <f t="shared" si="8"/>
        <v>110.456</v>
      </c>
      <c r="K186" t="s">
        <v>2017</v>
      </c>
      <c r="L186" t="str">
        <f>_xlfn.XLOOKUP(Orders[[#This Row],[ProductID]],Products!A:A,Products!C:C)</f>
        <v>Home</v>
      </c>
    </row>
    <row r="187" spans="1:12" x14ac:dyDescent="0.3">
      <c r="A187">
        <v>186</v>
      </c>
      <c r="B187">
        <v>186</v>
      </c>
      <c r="C187">
        <v>1</v>
      </c>
      <c r="D187" t="s">
        <v>2085</v>
      </c>
      <c r="E187">
        <f t="shared" si="6"/>
        <v>2024</v>
      </c>
      <c r="F187" t="str">
        <f t="shared" si="7"/>
        <v>Apr</v>
      </c>
      <c r="G187">
        <v>1</v>
      </c>
      <c r="H187">
        <f>_xlfn.XLOOKUP(C187,Products!A:A,Products!D:D)</f>
        <v>469.08</v>
      </c>
      <c r="I187">
        <v>5</v>
      </c>
      <c r="J187">
        <f t="shared" si="8"/>
        <v>445.62599999999998</v>
      </c>
      <c r="K187" t="s">
        <v>2017</v>
      </c>
      <c r="L187" t="str">
        <f>_xlfn.XLOOKUP(Orders[[#This Row],[ProductID]],Products!A:A,Products!C:C)</f>
        <v>Clothing</v>
      </c>
    </row>
    <row r="188" spans="1:12" x14ac:dyDescent="0.3">
      <c r="A188">
        <v>187</v>
      </c>
      <c r="B188">
        <v>187</v>
      </c>
      <c r="C188">
        <v>72</v>
      </c>
      <c r="D188" t="s">
        <v>2054</v>
      </c>
      <c r="E188">
        <f t="shared" si="6"/>
        <v>2024</v>
      </c>
      <c r="F188" t="str">
        <f t="shared" si="7"/>
        <v>Apr</v>
      </c>
      <c r="G188">
        <v>3</v>
      </c>
      <c r="H188">
        <f>_xlfn.XLOOKUP(C188,Products!A:A,Products!D:D)</f>
        <v>1157.27</v>
      </c>
      <c r="I188">
        <v>15</v>
      </c>
      <c r="J188">
        <f t="shared" si="8"/>
        <v>2951.0384999999997</v>
      </c>
      <c r="K188" t="s">
        <v>2017</v>
      </c>
      <c r="L188" t="str">
        <f>_xlfn.XLOOKUP(Orders[[#This Row],[ProductID]],Products!A:A,Products!C:C)</f>
        <v>Electronics</v>
      </c>
    </row>
    <row r="189" spans="1:12" x14ac:dyDescent="0.3">
      <c r="A189">
        <v>188</v>
      </c>
      <c r="B189">
        <v>188</v>
      </c>
      <c r="C189">
        <v>69</v>
      </c>
      <c r="D189" t="s">
        <v>1457</v>
      </c>
      <c r="E189">
        <f t="shared" si="6"/>
        <v>2023</v>
      </c>
      <c r="F189" t="str">
        <f t="shared" si="7"/>
        <v>Feb</v>
      </c>
      <c r="G189">
        <v>3</v>
      </c>
      <c r="H189">
        <f>_xlfn.XLOOKUP(C189,Products!A:A,Products!D:D)</f>
        <v>951.81</v>
      </c>
      <c r="I189">
        <v>0</v>
      </c>
      <c r="J189">
        <f t="shared" si="8"/>
        <v>2855.43</v>
      </c>
      <c r="K189" t="s">
        <v>2015</v>
      </c>
      <c r="L189" t="str">
        <f>_xlfn.XLOOKUP(Orders[[#This Row],[ProductID]],Products!A:A,Products!C:C)</f>
        <v>Clothing</v>
      </c>
    </row>
    <row r="190" spans="1:12" x14ac:dyDescent="0.3">
      <c r="A190">
        <v>189</v>
      </c>
      <c r="B190">
        <v>189</v>
      </c>
      <c r="C190">
        <v>4</v>
      </c>
      <c r="D190" t="s">
        <v>2086</v>
      </c>
      <c r="E190">
        <f t="shared" si="6"/>
        <v>2024</v>
      </c>
      <c r="F190" t="str">
        <f t="shared" si="7"/>
        <v>Apr</v>
      </c>
      <c r="G190">
        <v>3</v>
      </c>
      <c r="H190">
        <f>_xlfn.XLOOKUP(C190,Products!A:A,Products!D:D)</f>
        <v>800.26</v>
      </c>
      <c r="I190">
        <v>15</v>
      </c>
      <c r="J190">
        <f t="shared" si="8"/>
        <v>2040.6629999999998</v>
      </c>
      <c r="K190" t="s">
        <v>2019</v>
      </c>
      <c r="L190" t="str">
        <f>_xlfn.XLOOKUP(Orders[[#This Row],[ProductID]],Products!A:A,Products!C:C)</f>
        <v>Electronics</v>
      </c>
    </row>
    <row r="191" spans="1:12" x14ac:dyDescent="0.3">
      <c r="A191">
        <v>190</v>
      </c>
      <c r="B191">
        <v>190</v>
      </c>
      <c r="C191">
        <v>46</v>
      </c>
      <c r="D191" t="s">
        <v>2087</v>
      </c>
      <c r="E191">
        <f t="shared" si="6"/>
        <v>2024</v>
      </c>
      <c r="F191" t="str">
        <f t="shared" si="7"/>
        <v>May</v>
      </c>
      <c r="G191">
        <v>2</v>
      </c>
      <c r="H191">
        <f>_xlfn.XLOOKUP(C191,Products!A:A,Products!D:D)</f>
        <v>1155.3</v>
      </c>
      <c r="I191">
        <v>20</v>
      </c>
      <c r="J191">
        <f t="shared" si="8"/>
        <v>1848.48</v>
      </c>
      <c r="K191" t="s">
        <v>2024</v>
      </c>
      <c r="L191" t="str">
        <f>_xlfn.XLOOKUP(Orders[[#This Row],[ProductID]],Products!A:A,Products!C:C)</f>
        <v>Beauty</v>
      </c>
    </row>
    <row r="192" spans="1:12" x14ac:dyDescent="0.3">
      <c r="A192">
        <v>191</v>
      </c>
      <c r="B192">
        <v>191</v>
      </c>
      <c r="C192">
        <v>50</v>
      </c>
      <c r="D192" t="s">
        <v>2088</v>
      </c>
      <c r="E192">
        <f t="shared" si="6"/>
        <v>2023</v>
      </c>
      <c r="F192" t="str">
        <f t="shared" si="7"/>
        <v>Apr</v>
      </c>
      <c r="G192">
        <v>3</v>
      </c>
      <c r="H192">
        <f>_xlfn.XLOOKUP(C192,Products!A:A,Products!D:D)</f>
        <v>1122.8699999999999</v>
      </c>
      <c r="I192">
        <v>0</v>
      </c>
      <c r="J192">
        <f t="shared" si="8"/>
        <v>3368.6099999999997</v>
      </c>
      <c r="K192" t="s">
        <v>2019</v>
      </c>
      <c r="L192" t="str">
        <f>_xlfn.XLOOKUP(Orders[[#This Row],[ProductID]],Products!A:A,Products!C:C)</f>
        <v>Home</v>
      </c>
    </row>
    <row r="193" spans="1:12" x14ac:dyDescent="0.3">
      <c r="A193">
        <v>192</v>
      </c>
      <c r="B193">
        <v>192</v>
      </c>
      <c r="C193">
        <v>60</v>
      </c>
      <c r="D193" t="s">
        <v>1347</v>
      </c>
      <c r="E193">
        <f t="shared" si="6"/>
        <v>2023</v>
      </c>
      <c r="F193" t="str">
        <f t="shared" si="7"/>
        <v>Jul</v>
      </c>
      <c r="G193">
        <v>1</v>
      </c>
      <c r="H193">
        <f>_xlfn.XLOOKUP(C193,Products!A:A,Products!D:D)</f>
        <v>830.49</v>
      </c>
      <c r="I193">
        <v>15</v>
      </c>
      <c r="J193">
        <f t="shared" si="8"/>
        <v>705.91650000000004</v>
      </c>
      <c r="K193" t="s">
        <v>2019</v>
      </c>
      <c r="L193" t="str">
        <f>_xlfn.XLOOKUP(Orders[[#This Row],[ProductID]],Products!A:A,Products!C:C)</f>
        <v>Clothing</v>
      </c>
    </row>
    <row r="194" spans="1:12" x14ac:dyDescent="0.3">
      <c r="A194">
        <v>193</v>
      </c>
      <c r="B194">
        <v>193</v>
      </c>
      <c r="C194">
        <v>29</v>
      </c>
      <c r="D194" t="s">
        <v>2089</v>
      </c>
      <c r="E194">
        <f t="shared" si="6"/>
        <v>2024</v>
      </c>
      <c r="F194" t="str">
        <f t="shared" si="7"/>
        <v>Jan</v>
      </c>
      <c r="G194">
        <v>1</v>
      </c>
      <c r="H194">
        <f>_xlfn.XLOOKUP(C194,Products!A:A,Products!D:D)</f>
        <v>757</v>
      </c>
      <c r="I194">
        <v>10</v>
      </c>
      <c r="J194">
        <f t="shared" si="8"/>
        <v>681.30000000000007</v>
      </c>
      <c r="K194" t="s">
        <v>2024</v>
      </c>
      <c r="L194" t="str">
        <f>_xlfn.XLOOKUP(Orders[[#This Row],[ProductID]],Products!A:A,Products!C:C)</f>
        <v>Clothing</v>
      </c>
    </row>
    <row r="195" spans="1:12" x14ac:dyDescent="0.3">
      <c r="A195">
        <v>194</v>
      </c>
      <c r="B195">
        <v>194</v>
      </c>
      <c r="C195">
        <v>25</v>
      </c>
      <c r="D195" t="s">
        <v>520</v>
      </c>
      <c r="E195">
        <f t="shared" ref="E195:E258" si="9">YEAR(D195)</f>
        <v>2023</v>
      </c>
      <c r="F195" t="str">
        <f t="shared" ref="F195:F258" si="10">TEXT(D195,"mmm")</f>
        <v>Feb</v>
      </c>
      <c r="G195">
        <v>3</v>
      </c>
      <c r="H195">
        <f>_xlfn.XLOOKUP(C195,Products!A:A,Products!D:D)</f>
        <v>1011.65</v>
      </c>
      <c r="I195">
        <v>10</v>
      </c>
      <c r="J195">
        <f t="shared" ref="J195:J258" si="11">G195*H195*(1-I195/100)</f>
        <v>2731.4549999999999</v>
      </c>
      <c r="K195" t="s">
        <v>2021</v>
      </c>
      <c r="L195" t="str">
        <f>_xlfn.XLOOKUP(Orders[[#This Row],[ProductID]],Products!A:A,Products!C:C)</f>
        <v>Electronics</v>
      </c>
    </row>
    <row r="196" spans="1:12" x14ac:dyDescent="0.3">
      <c r="A196">
        <v>195</v>
      </c>
      <c r="B196">
        <v>195</v>
      </c>
      <c r="C196">
        <v>30</v>
      </c>
      <c r="D196" t="s">
        <v>1355</v>
      </c>
      <c r="E196">
        <f t="shared" si="9"/>
        <v>2023</v>
      </c>
      <c r="F196" t="str">
        <f t="shared" si="10"/>
        <v>Sep</v>
      </c>
      <c r="G196">
        <v>2</v>
      </c>
      <c r="H196">
        <f>_xlfn.XLOOKUP(C196,Products!A:A,Products!D:D)</f>
        <v>866.89</v>
      </c>
      <c r="I196">
        <v>0</v>
      </c>
      <c r="J196">
        <f t="shared" si="11"/>
        <v>1733.78</v>
      </c>
      <c r="K196" t="s">
        <v>2024</v>
      </c>
      <c r="L196" t="str">
        <f>_xlfn.XLOOKUP(Orders[[#This Row],[ProductID]],Products!A:A,Products!C:C)</f>
        <v>Electronics</v>
      </c>
    </row>
    <row r="197" spans="1:12" x14ac:dyDescent="0.3">
      <c r="A197">
        <v>196</v>
      </c>
      <c r="B197">
        <v>196</v>
      </c>
      <c r="C197">
        <v>64</v>
      </c>
      <c r="D197" t="s">
        <v>2090</v>
      </c>
      <c r="E197">
        <f t="shared" si="9"/>
        <v>2024</v>
      </c>
      <c r="F197" t="str">
        <f t="shared" si="10"/>
        <v>Apr</v>
      </c>
      <c r="G197">
        <v>3</v>
      </c>
      <c r="H197">
        <f>_xlfn.XLOOKUP(C197,Products!A:A,Products!D:D)</f>
        <v>567.71</v>
      </c>
      <c r="I197">
        <v>20</v>
      </c>
      <c r="J197">
        <f t="shared" si="11"/>
        <v>1362.5040000000001</v>
      </c>
      <c r="K197" t="s">
        <v>2021</v>
      </c>
      <c r="L197" t="str">
        <f>_xlfn.XLOOKUP(Orders[[#This Row],[ProductID]],Products!A:A,Products!C:C)</f>
        <v>Clothing</v>
      </c>
    </row>
    <row r="198" spans="1:12" x14ac:dyDescent="0.3">
      <c r="A198">
        <v>197</v>
      </c>
      <c r="B198">
        <v>197</v>
      </c>
      <c r="C198">
        <v>1</v>
      </c>
      <c r="D198" t="s">
        <v>502</v>
      </c>
      <c r="E198">
        <f t="shared" si="9"/>
        <v>2023</v>
      </c>
      <c r="F198" t="str">
        <f t="shared" si="10"/>
        <v>Apr</v>
      </c>
      <c r="G198">
        <v>3</v>
      </c>
      <c r="H198">
        <f>_xlfn.XLOOKUP(C198,Products!A:A,Products!D:D)</f>
        <v>469.08</v>
      </c>
      <c r="I198">
        <v>15</v>
      </c>
      <c r="J198">
        <f t="shared" si="11"/>
        <v>1196.154</v>
      </c>
      <c r="K198" t="s">
        <v>2019</v>
      </c>
      <c r="L198" t="str">
        <f>_xlfn.XLOOKUP(Orders[[#This Row],[ProductID]],Products!A:A,Products!C:C)</f>
        <v>Clothing</v>
      </c>
    </row>
    <row r="199" spans="1:12" x14ac:dyDescent="0.3">
      <c r="A199">
        <v>198</v>
      </c>
      <c r="B199">
        <v>198</v>
      </c>
      <c r="C199">
        <v>36</v>
      </c>
      <c r="D199" t="s">
        <v>73</v>
      </c>
      <c r="E199">
        <f t="shared" si="9"/>
        <v>2023</v>
      </c>
      <c r="F199" t="str">
        <f t="shared" si="10"/>
        <v>Oct</v>
      </c>
      <c r="G199">
        <v>3</v>
      </c>
      <c r="H199">
        <f>_xlfn.XLOOKUP(C199,Products!A:A,Products!D:D)</f>
        <v>992.01</v>
      </c>
      <c r="I199">
        <v>15</v>
      </c>
      <c r="J199">
        <f t="shared" si="11"/>
        <v>2529.6254999999996</v>
      </c>
      <c r="K199" t="s">
        <v>2021</v>
      </c>
      <c r="L199" t="str">
        <f>_xlfn.XLOOKUP(Orders[[#This Row],[ProductID]],Products!A:A,Products!C:C)</f>
        <v>Beauty</v>
      </c>
    </row>
    <row r="200" spans="1:12" x14ac:dyDescent="0.3">
      <c r="A200">
        <v>199</v>
      </c>
      <c r="B200">
        <v>199</v>
      </c>
      <c r="C200">
        <v>71</v>
      </c>
      <c r="D200" t="s">
        <v>2091</v>
      </c>
      <c r="E200">
        <f t="shared" si="9"/>
        <v>2023</v>
      </c>
      <c r="F200" t="str">
        <f t="shared" si="10"/>
        <v>Apr</v>
      </c>
      <c r="G200">
        <v>3</v>
      </c>
      <c r="H200">
        <f>_xlfn.XLOOKUP(C200,Products!A:A,Products!D:D)</f>
        <v>780.27</v>
      </c>
      <c r="I200">
        <v>20</v>
      </c>
      <c r="J200">
        <f t="shared" si="11"/>
        <v>1872.6480000000001</v>
      </c>
      <c r="K200" t="s">
        <v>2015</v>
      </c>
      <c r="L200" t="str">
        <f>_xlfn.XLOOKUP(Orders[[#This Row],[ProductID]],Products!A:A,Products!C:C)</f>
        <v>Electronics</v>
      </c>
    </row>
    <row r="201" spans="1:12" x14ac:dyDescent="0.3">
      <c r="A201">
        <v>200</v>
      </c>
      <c r="B201">
        <v>200</v>
      </c>
      <c r="C201">
        <v>73</v>
      </c>
      <c r="D201" t="s">
        <v>497</v>
      </c>
      <c r="E201">
        <f t="shared" si="9"/>
        <v>2023</v>
      </c>
      <c r="F201" t="str">
        <f t="shared" si="10"/>
        <v>Mar</v>
      </c>
      <c r="G201">
        <v>1</v>
      </c>
      <c r="H201">
        <f>_xlfn.XLOOKUP(C201,Products!A:A,Products!D:D)</f>
        <v>943.04</v>
      </c>
      <c r="I201">
        <v>20</v>
      </c>
      <c r="J201">
        <f t="shared" si="11"/>
        <v>754.43200000000002</v>
      </c>
      <c r="K201" t="s">
        <v>2021</v>
      </c>
      <c r="L201" t="str">
        <f>_xlfn.XLOOKUP(Orders[[#This Row],[ProductID]],Products!A:A,Products!C:C)</f>
        <v>Home</v>
      </c>
    </row>
    <row r="202" spans="1:12" x14ac:dyDescent="0.3">
      <c r="A202">
        <v>201</v>
      </c>
      <c r="B202">
        <v>201</v>
      </c>
      <c r="C202">
        <v>9</v>
      </c>
      <c r="D202" t="s">
        <v>262</v>
      </c>
      <c r="E202">
        <f t="shared" si="9"/>
        <v>2023</v>
      </c>
      <c r="F202" t="str">
        <f t="shared" si="10"/>
        <v>Mar</v>
      </c>
      <c r="G202">
        <v>2</v>
      </c>
      <c r="H202">
        <f>_xlfn.XLOOKUP(C202,Products!A:A,Products!D:D)</f>
        <v>43.26</v>
      </c>
      <c r="I202">
        <v>20</v>
      </c>
      <c r="J202">
        <f t="shared" si="11"/>
        <v>69.215999999999994</v>
      </c>
      <c r="K202" t="s">
        <v>2021</v>
      </c>
      <c r="L202" t="str">
        <f>_xlfn.XLOOKUP(Orders[[#This Row],[ProductID]],Products!A:A,Products!C:C)</f>
        <v>Electronics</v>
      </c>
    </row>
    <row r="203" spans="1:12" x14ac:dyDescent="0.3">
      <c r="A203">
        <v>202</v>
      </c>
      <c r="B203">
        <v>202</v>
      </c>
      <c r="C203">
        <v>67</v>
      </c>
      <c r="D203" t="s">
        <v>2092</v>
      </c>
      <c r="E203">
        <f t="shared" si="9"/>
        <v>2024</v>
      </c>
      <c r="F203" t="str">
        <f t="shared" si="10"/>
        <v>Jan</v>
      </c>
      <c r="G203">
        <v>2</v>
      </c>
      <c r="H203">
        <f>_xlfn.XLOOKUP(C203,Products!A:A,Products!D:D)</f>
        <v>258.35000000000002</v>
      </c>
      <c r="I203">
        <v>5</v>
      </c>
      <c r="J203">
        <f t="shared" si="11"/>
        <v>490.86500000000001</v>
      </c>
      <c r="K203" t="s">
        <v>2019</v>
      </c>
      <c r="L203" t="str">
        <f>_xlfn.XLOOKUP(Orders[[#This Row],[ProductID]],Products!A:A,Products!C:C)</f>
        <v>Electronics</v>
      </c>
    </row>
    <row r="204" spans="1:12" x14ac:dyDescent="0.3">
      <c r="A204">
        <v>203</v>
      </c>
      <c r="B204">
        <v>203</v>
      </c>
      <c r="C204">
        <v>69</v>
      </c>
      <c r="D204" t="s">
        <v>329</v>
      </c>
      <c r="E204">
        <f t="shared" si="9"/>
        <v>2023</v>
      </c>
      <c r="F204" t="str">
        <f t="shared" si="10"/>
        <v>Nov</v>
      </c>
      <c r="G204">
        <v>2</v>
      </c>
      <c r="H204">
        <f>_xlfn.XLOOKUP(C204,Products!A:A,Products!D:D)</f>
        <v>951.81</v>
      </c>
      <c r="I204">
        <v>20</v>
      </c>
      <c r="J204">
        <f t="shared" si="11"/>
        <v>1522.896</v>
      </c>
      <c r="K204" t="s">
        <v>2017</v>
      </c>
      <c r="L204" t="str">
        <f>_xlfn.XLOOKUP(Orders[[#This Row],[ProductID]],Products!A:A,Products!C:C)</f>
        <v>Clothing</v>
      </c>
    </row>
    <row r="205" spans="1:12" x14ac:dyDescent="0.3">
      <c r="A205">
        <v>204</v>
      </c>
      <c r="B205">
        <v>204</v>
      </c>
      <c r="C205">
        <v>1</v>
      </c>
      <c r="D205" t="s">
        <v>2093</v>
      </c>
      <c r="E205">
        <f t="shared" si="9"/>
        <v>2024</v>
      </c>
      <c r="F205" t="str">
        <f t="shared" si="10"/>
        <v>Apr</v>
      </c>
      <c r="G205">
        <v>2</v>
      </c>
      <c r="H205">
        <f>_xlfn.XLOOKUP(C205,Products!A:A,Products!D:D)</f>
        <v>469.08</v>
      </c>
      <c r="I205">
        <v>0</v>
      </c>
      <c r="J205">
        <f t="shared" si="11"/>
        <v>938.16</v>
      </c>
      <c r="K205" t="s">
        <v>2024</v>
      </c>
      <c r="L205" t="str">
        <f>_xlfn.XLOOKUP(Orders[[#This Row],[ProductID]],Products!A:A,Products!C:C)</f>
        <v>Clothing</v>
      </c>
    </row>
    <row r="206" spans="1:12" x14ac:dyDescent="0.3">
      <c r="A206">
        <v>205</v>
      </c>
      <c r="B206">
        <v>205</v>
      </c>
      <c r="C206">
        <v>56</v>
      </c>
      <c r="D206" t="s">
        <v>2070</v>
      </c>
      <c r="E206">
        <f t="shared" si="9"/>
        <v>2024</v>
      </c>
      <c r="F206" t="str">
        <f t="shared" si="10"/>
        <v>Mar</v>
      </c>
      <c r="G206">
        <v>2</v>
      </c>
      <c r="H206">
        <f>_xlfn.XLOOKUP(C206,Products!A:A,Products!D:D)</f>
        <v>396.01</v>
      </c>
      <c r="I206">
        <v>10</v>
      </c>
      <c r="J206">
        <f t="shared" si="11"/>
        <v>712.81799999999998</v>
      </c>
      <c r="K206" t="s">
        <v>2019</v>
      </c>
      <c r="L206" t="str">
        <f>_xlfn.XLOOKUP(Orders[[#This Row],[ProductID]],Products!A:A,Products!C:C)</f>
        <v>Home</v>
      </c>
    </row>
    <row r="207" spans="1:12" x14ac:dyDescent="0.3">
      <c r="A207">
        <v>206</v>
      </c>
      <c r="B207">
        <v>206</v>
      </c>
      <c r="C207">
        <v>67</v>
      </c>
      <c r="D207" t="s">
        <v>2094</v>
      </c>
      <c r="E207">
        <f t="shared" si="9"/>
        <v>2023</v>
      </c>
      <c r="F207" t="str">
        <f t="shared" si="10"/>
        <v>Aug</v>
      </c>
      <c r="G207">
        <v>2</v>
      </c>
      <c r="H207">
        <f>_xlfn.XLOOKUP(C207,Products!A:A,Products!D:D)</f>
        <v>258.35000000000002</v>
      </c>
      <c r="I207">
        <v>10</v>
      </c>
      <c r="J207">
        <f t="shared" si="11"/>
        <v>465.03000000000003</v>
      </c>
      <c r="K207" t="s">
        <v>2015</v>
      </c>
      <c r="L207" t="str">
        <f>_xlfn.XLOOKUP(Orders[[#This Row],[ProductID]],Products!A:A,Products!C:C)</f>
        <v>Electronics</v>
      </c>
    </row>
    <row r="208" spans="1:12" x14ac:dyDescent="0.3">
      <c r="A208">
        <v>207</v>
      </c>
      <c r="B208">
        <v>207</v>
      </c>
      <c r="C208">
        <v>6</v>
      </c>
      <c r="D208" t="s">
        <v>2095</v>
      </c>
      <c r="E208">
        <f t="shared" si="9"/>
        <v>2024</v>
      </c>
      <c r="F208" t="str">
        <f t="shared" si="10"/>
        <v>Mar</v>
      </c>
      <c r="G208">
        <v>3</v>
      </c>
      <c r="H208">
        <f>_xlfn.XLOOKUP(C208,Products!A:A,Products!D:D)</f>
        <v>719.19</v>
      </c>
      <c r="I208">
        <v>5</v>
      </c>
      <c r="J208">
        <f t="shared" si="11"/>
        <v>2049.6914999999999</v>
      </c>
      <c r="K208" t="s">
        <v>2019</v>
      </c>
      <c r="L208" t="str">
        <f>_xlfn.XLOOKUP(Orders[[#This Row],[ProductID]],Products!A:A,Products!C:C)</f>
        <v>Clothing</v>
      </c>
    </row>
    <row r="209" spans="1:12" x14ac:dyDescent="0.3">
      <c r="A209">
        <v>208</v>
      </c>
      <c r="B209">
        <v>208</v>
      </c>
      <c r="C209">
        <v>36</v>
      </c>
      <c r="D209" t="s">
        <v>2096</v>
      </c>
      <c r="E209">
        <f t="shared" si="9"/>
        <v>2024</v>
      </c>
      <c r="F209" t="str">
        <f t="shared" si="10"/>
        <v>Apr</v>
      </c>
      <c r="G209">
        <v>2</v>
      </c>
      <c r="H209">
        <f>_xlfn.XLOOKUP(C209,Products!A:A,Products!D:D)</f>
        <v>992.01</v>
      </c>
      <c r="I209">
        <v>20</v>
      </c>
      <c r="J209">
        <f t="shared" si="11"/>
        <v>1587.2160000000001</v>
      </c>
      <c r="K209" t="s">
        <v>2017</v>
      </c>
      <c r="L209" t="str">
        <f>_xlfn.XLOOKUP(Orders[[#This Row],[ProductID]],Products!A:A,Products!C:C)</f>
        <v>Beauty</v>
      </c>
    </row>
    <row r="210" spans="1:12" x14ac:dyDescent="0.3">
      <c r="A210">
        <v>209</v>
      </c>
      <c r="B210">
        <v>209</v>
      </c>
      <c r="C210">
        <v>41</v>
      </c>
      <c r="D210" t="s">
        <v>1013</v>
      </c>
      <c r="E210">
        <f t="shared" si="9"/>
        <v>2023</v>
      </c>
      <c r="F210" t="str">
        <f t="shared" si="10"/>
        <v>Jan</v>
      </c>
      <c r="G210">
        <v>2</v>
      </c>
      <c r="H210">
        <f>_xlfn.XLOOKUP(C210,Products!A:A,Products!D:D)</f>
        <v>554.80999999999995</v>
      </c>
      <c r="I210">
        <v>5</v>
      </c>
      <c r="J210">
        <f t="shared" si="11"/>
        <v>1054.1389999999999</v>
      </c>
      <c r="K210" t="s">
        <v>2024</v>
      </c>
      <c r="L210" t="str">
        <f>_xlfn.XLOOKUP(Orders[[#This Row],[ProductID]],Products!A:A,Products!C:C)</f>
        <v>Home</v>
      </c>
    </row>
    <row r="211" spans="1:12" x14ac:dyDescent="0.3">
      <c r="A211">
        <v>210</v>
      </c>
      <c r="B211">
        <v>210</v>
      </c>
      <c r="C211">
        <v>11</v>
      </c>
      <c r="D211" t="s">
        <v>2097</v>
      </c>
      <c r="E211">
        <f t="shared" si="9"/>
        <v>2024</v>
      </c>
      <c r="F211" t="str">
        <f t="shared" si="10"/>
        <v>Mar</v>
      </c>
      <c r="G211">
        <v>3</v>
      </c>
      <c r="H211">
        <f>_xlfn.XLOOKUP(C211,Products!A:A,Products!D:D)</f>
        <v>1038.77</v>
      </c>
      <c r="I211">
        <v>0</v>
      </c>
      <c r="J211">
        <f t="shared" si="11"/>
        <v>3116.31</v>
      </c>
      <c r="K211" t="s">
        <v>2021</v>
      </c>
      <c r="L211" t="str">
        <f>_xlfn.XLOOKUP(Orders[[#This Row],[ProductID]],Products!A:A,Products!C:C)</f>
        <v>Beauty</v>
      </c>
    </row>
    <row r="212" spans="1:12" x14ac:dyDescent="0.3">
      <c r="A212">
        <v>211</v>
      </c>
      <c r="B212">
        <v>211</v>
      </c>
      <c r="C212">
        <v>55</v>
      </c>
      <c r="D212" t="s">
        <v>2075</v>
      </c>
      <c r="E212">
        <f t="shared" si="9"/>
        <v>2024</v>
      </c>
      <c r="F212" t="str">
        <f t="shared" si="10"/>
        <v>May</v>
      </c>
      <c r="G212">
        <v>1</v>
      </c>
      <c r="H212">
        <f>_xlfn.XLOOKUP(C212,Products!A:A,Products!D:D)</f>
        <v>1016.06</v>
      </c>
      <c r="I212">
        <v>5</v>
      </c>
      <c r="J212">
        <f t="shared" si="11"/>
        <v>965.25699999999995</v>
      </c>
      <c r="K212" t="s">
        <v>2021</v>
      </c>
      <c r="L212" t="str">
        <f>_xlfn.XLOOKUP(Orders[[#This Row],[ProductID]],Products!A:A,Products!C:C)</f>
        <v>Clothing</v>
      </c>
    </row>
    <row r="213" spans="1:12" x14ac:dyDescent="0.3">
      <c r="A213">
        <v>212</v>
      </c>
      <c r="B213">
        <v>212</v>
      </c>
      <c r="C213">
        <v>22</v>
      </c>
      <c r="D213" t="s">
        <v>1236</v>
      </c>
      <c r="E213">
        <f t="shared" si="9"/>
        <v>2023</v>
      </c>
      <c r="F213" t="str">
        <f t="shared" si="10"/>
        <v>Jun</v>
      </c>
      <c r="G213">
        <v>2</v>
      </c>
      <c r="H213">
        <f>_xlfn.XLOOKUP(C213,Products!A:A,Products!D:D)</f>
        <v>373.43</v>
      </c>
      <c r="I213">
        <v>0</v>
      </c>
      <c r="J213">
        <f t="shared" si="11"/>
        <v>746.86</v>
      </c>
      <c r="K213" t="s">
        <v>2019</v>
      </c>
      <c r="L213" t="str">
        <f>_xlfn.XLOOKUP(Orders[[#This Row],[ProductID]],Products!A:A,Products!C:C)</f>
        <v>Beauty</v>
      </c>
    </row>
    <row r="214" spans="1:12" x14ac:dyDescent="0.3">
      <c r="A214">
        <v>213</v>
      </c>
      <c r="B214">
        <v>213</v>
      </c>
      <c r="C214">
        <v>4</v>
      </c>
      <c r="D214" t="s">
        <v>1009</v>
      </c>
      <c r="E214">
        <f t="shared" si="9"/>
        <v>2023</v>
      </c>
      <c r="F214" t="str">
        <f t="shared" si="10"/>
        <v>Sep</v>
      </c>
      <c r="G214">
        <v>2</v>
      </c>
      <c r="H214">
        <f>_xlfn.XLOOKUP(C214,Products!A:A,Products!D:D)</f>
        <v>800.26</v>
      </c>
      <c r="I214">
        <v>0</v>
      </c>
      <c r="J214">
        <f t="shared" si="11"/>
        <v>1600.52</v>
      </c>
      <c r="K214" t="s">
        <v>2015</v>
      </c>
      <c r="L214" t="str">
        <f>_xlfn.XLOOKUP(Orders[[#This Row],[ProductID]],Products!A:A,Products!C:C)</f>
        <v>Electronics</v>
      </c>
    </row>
    <row r="215" spans="1:12" x14ac:dyDescent="0.3">
      <c r="A215">
        <v>214</v>
      </c>
      <c r="B215">
        <v>214</v>
      </c>
      <c r="C215">
        <v>43</v>
      </c>
      <c r="D215" t="s">
        <v>2098</v>
      </c>
      <c r="E215">
        <f t="shared" si="9"/>
        <v>2024</v>
      </c>
      <c r="F215" t="str">
        <f t="shared" si="10"/>
        <v>Mar</v>
      </c>
      <c r="G215">
        <v>2</v>
      </c>
      <c r="H215">
        <f>_xlfn.XLOOKUP(C215,Products!A:A,Products!D:D)</f>
        <v>760.86</v>
      </c>
      <c r="I215">
        <v>5</v>
      </c>
      <c r="J215">
        <f t="shared" si="11"/>
        <v>1445.634</v>
      </c>
      <c r="K215" t="s">
        <v>2019</v>
      </c>
      <c r="L215" t="str">
        <f>_xlfn.XLOOKUP(Orders[[#This Row],[ProductID]],Products!A:A,Products!C:C)</f>
        <v>Electronics</v>
      </c>
    </row>
    <row r="216" spans="1:12" x14ac:dyDescent="0.3">
      <c r="A216">
        <v>215</v>
      </c>
      <c r="B216">
        <v>215</v>
      </c>
      <c r="C216">
        <v>61</v>
      </c>
      <c r="D216" t="s">
        <v>987</v>
      </c>
      <c r="E216">
        <f t="shared" si="9"/>
        <v>2023</v>
      </c>
      <c r="F216" t="str">
        <f t="shared" si="10"/>
        <v>May</v>
      </c>
      <c r="G216">
        <v>2</v>
      </c>
      <c r="H216">
        <f>_xlfn.XLOOKUP(C216,Products!A:A,Products!D:D)</f>
        <v>498.92</v>
      </c>
      <c r="I216">
        <v>0</v>
      </c>
      <c r="J216">
        <f t="shared" si="11"/>
        <v>997.84</v>
      </c>
      <c r="K216" t="s">
        <v>2024</v>
      </c>
      <c r="L216" t="str">
        <f>_xlfn.XLOOKUP(Orders[[#This Row],[ProductID]],Products!A:A,Products!C:C)</f>
        <v>Clothing</v>
      </c>
    </row>
    <row r="217" spans="1:12" x14ac:dyDescent="0.3">
      <c r="A217">
        <v>216</v>
      </c>
      <c r="B217">
        <v>216</v>
      </c>
      <c r="C217">
        <v>67</v>
      </c>
      <c r="D217" t="s">
        <v>2099</v>
      </c>
      <c r="E217">
        <f t="shared" si="9"/>
        <v>2024</v>
      </c>
      <c r="F217" t="str">
        <f t="shared" si="10"/>
        <v>Feb</v>
      </c>
      <c r="G217">
        <v>1</v>
      </c>
      <c r="H217">
        <f>_xlfn.XLOOKUP(C217,Products!A:A,Products!D:D)</f>
        <v>258.35000000000002</v>
      </c>
      <c r="I217">
        <v>0</v>
      </c>
      <c r="J217">
        <f t="shared" si="11"/>
        <v>258.35000000000002</v>
      </c>
      <c r="K217" t="s">
        <v>2015</v>
      </c>
      <c r="L217" t="str">
        <f>_xlfn.XLOOKUP(Orders[[#This Row],[ProductID]],Products!A:A,Products!C:C)</f>
        <v>Electronics</v>
      </c>
    </row>
    <row r="218" spans="1:12" x14ac:dyDescent="0.3">
      <c r="A218">
        <v>217</v>
      </c>
      <c r="B218">
        <v>217</v>
      </c>
      <c r="C218">
        <v>80</v>
      </c>
      <c r="D218" t="s">
        <v>871</v>
      </c>
      <c r="E218">
        <f t="shared" si="9"/>
        <v>2023</v>
      </c>
      <c r="F218" t="str">
        <f t="shared" si="10"/>
        <v>Aug</v>
      </c>
      <c r="G218">
        <v>1</v>
      </c>
      <c r="H218">
        <f>_xlfn.XLOOKUP(C218,Products!A:A,Products!D:D)</f>
        <v>1014.45</v>
      </c>
      <c r="I218">
        <v>15</v>
      </c>
      <c r="J218">
        <f t="shared" si="11"/>
        <v>862.28250000000003</v>
      </c>
      <c r="K218" t="s">
        <v>2015</v>
      </c>
      <c r="L218" t="str">
        <f>_xlfn.XLOOKUP(Orders[[#This Row],[ProductID]],Products!A:A,Products!C:C)</f>
        <v>Beauty</v>
      </c>
    </row>
    <row r="219" spans="1:12" x14ac:dyDescent="0.3">
      <c r="A219">
        <v>218</v>
      </c>
      <c r="B219">
        <v>218</v>
      </c>
      <c r="C219">
        <v>16</v>
      </c>
      <c r="D219" t="s">
        <v>60</v>
      </c>
      <c r="E219">
        <f t="shared" si="9"/>
        <v>2023</v>
      </c>
      <c r="F219" t="str">
        <f t="shared" si="10"/>
        <v>Feb</v>
      </c>
      <c r="G219">
        <v>1</v>
      </c>
      <c r="H219">
        <f>_xlfn.XLOOKUP(C219,Products!A:A,Products!D:D)</f>
        <v>693.02</v>
      </c>
      <c r="I219">
        <v>0</v>
      </c>
      <c r="J219">
        <f t="shared" si="11"/>
        <v>693.02</v>
      </c>
      <c r="K219" t="s">
        <v>2017</v>
      </c>
      <c r="L219" t="str">
        <f>_xlfn.XLOOKUP(Orders[[#This Row],[ProductID]],Products!A:A,Products!C:C)</f>
        <v>Home</v>
      </c>
    </row>
    <row r="220" spans="1:12" x14ac:dyDescent="0.3">
      <c r="A220">
        <v>219</v>
      </c>
      <c r="B220">
        <v>219</v>
      </c>
      <c r="C220">
        <v>41</v>
      </c>
      <c r="D220" t="s">
        <v>2072</v>
      </c>
      <c r="E220">
        <f t="shared" si="9"/>
        <v>2024</v>
      </c>
      <c r="F220" t="str">
        <f t="shared" si="10"/>
        <v>Mar</v>
      </c>
      <c r="G220">
        <v>3</v>
      </c>
      <c r="H220">
        <f>_xlfn.XLOOKUP(C220,Products!A:A,Products!D:D)</f>
        <v>554.80999999999995</v>
      </c>
      <c r="I220">
        <v>0</v>
      </c>
      <c r="J220">
        <f t="shared" si="11"/>
        <v>1664.4299999999998</v>
      </c>
      <c r="K220" t="s">
        <v>2021</v>
      </c>
      <c r="L220" t="str">
        <f>_xlfn.XLOOKUP(Orders[[#This Row],[ProductID]],Products!A:A,Products!C:C)</f>
        <v>Home</v>
      </c>
    </row>
    <row r="221" spans="1:12" x14ac:dyDescent="0.3">
      <c r="A221">
        <v>220</v>
      </c>
      <c r="B221">
        <v>220</v>
      </c>
      <c r="C221">
        <v>8</v>
      </c>
      <c r="D221" t="s">
        <v>2096</v>
      </c>
      <c r="E221">
        <f t="shared" si="9"/>
        <v>2024</v>
      </c>
      <c r="F221" t="str">
        <f t="shared" si="10"/>
        <v>Apr</v>
      </c>
      <c r="G221">
        <v>2</v>
      </c>
      <c r="H221">
        <f>_xlfn.XLOOKUP(C221,Products!A:A,Products!D:D)</f>
        <v>155.08000000000001</v>
      </c>
      <c r="I221">
        <v>0</v>
      </c>
      <c r="J221">
        <f t="shared" si="11"/>
        <v>310.16000000000003</v>
      </c>
      <c r="K221" t="s">
        <v>2024</v>
      </c>
      <c r="L221" t="str">
        <f>_xlfn.XLOOKUP(Orders[[#This Row],[ProductID]],Products!A:A,Products!C:C)</f>
        <v>Clothing</v>
      </c>
    </row>
    <row r="222" spans="1:12" x14ac:dyDescent="0.3">
      <c r="A222">
        <v>221</v>
      </c>
      <c r="B222">
        <v>221</v>
      </c>
      <c r="C222">
        <v>79</v>
      </c>
      <c r="D222" t="s">
        <v>2100</v>
      </c>
      <c r="E222">
        <f t="shared" si="9"/>
        <v>2023</v>
      </c>
      <c r="F222" t="str">
        <f t="shared" si="10"/>
        <v>Nov</v>
      </c>
      <c r="G222">
        <v>2</v>
      </c>
      <c r="H222">
        <f>_xlfn.XLOOKUP(C222,Products!A:A,Products!D:D)</f>
        <v>488.34</v>
      </c>
      <c r="I222">
        <v>0</v>
      </c>
      <c r="J222">
        <f t="shared" si="11"/>
        <v>976.68</v>
      </c>
      <c r="K222" t="s">
        <v>2019</v>
      </c>
      <c r="L222" t="str">
        <f>_xlfn.XLOOKUP(Orders[[#This Row],[ProductID]],Products!A:A,Products!C:C)</f>
        <v>Electronics</v>
      </c>
    </row>
    <row r="223" spans="1:12" x14ac:dyDescent="0.3">
      <c r="A223">
        <v>222</v>
      </c>
      <c r="B223">
        <v>222</v>
      </c>
      <c r="C223">
        <v>8</v>
      </c>
      <c r="D223" t="s">
        <v>2101</v>
      </c>
      <c r="E223">
        <f t="shared" si="9"/>
        <v>2023</v>
      </c>
      <c r="F223" t="str">
        <f t="shared" si="10"/>
        <v>Oct</v>
      </c>
      <c r="G223">
        <v>1</v>
      </c>
      <c r="H223">
        <f>_xlfn.XLOOKUP(C223,Products!A:A,Products!D:D)</f>
        <v>155.08000000000001</v>
      </c>
      <c r="I223">
        <v>10</v>
      </c>
      <c r="J223">
        <f t="shared" si="11"/>
        <v>139.572</v>
      </c>
      <c r="K223" t="s">
        <v>2017</v>
      </c>
      <c r="L223" t="str">
        <f>_xlfn.XLOOKUP(Orders[[#This Row],[ProductID]],Products!A:A,Products!C:C)</f>
        <v>Clothing</v>
      </c>
    </row>
    <row r="224" spans="1:12" x14ac:dyDescent="0.3">
      <c r="A224">
        <v>223</v>
      </c>
      <c r="B224">
        <v>223</v>
      </c>
      <c r="C224">
        <v>52</v>
      </c>
      <c r="D224" t="s">
        <v>1653</v>
      </c>
      <c r="E224">
        <f t="shared" si="9"/>
        <v>2023</v>
      </c>
      <c r="F224" t="str">
        <f t="shared" si="10"/>
        <v>Feb</v>
      </c>
      <c r="G224">
        <v>3</v>
      </c>
      <c r="H224">
        <f>_xlfn.XLOOKUP(C224,Products!A:A,Products!D:D)</f>
        <v>256.76</v>
      </c>
      <c r="I224">
        <v>15</v>
      </c>
      <c r="J224">
        <f t="shared" si="11"/>
        <v>654.73799999999994</v>
      </c>
      <c r="K224" t="s">
        <v>2021</v>
      </c>
      <c r="L224" t="str">
        <f>_xlfn.XLOOKUP(Orders[[#This Row],[ProductID]],Products!A:A,Products!C:C)</f>
        <v>Home</v>
      </c>
    </row>
    <row r="225" spans="1:12" x14ac:dyDescent="0.3">
      <c r="A225">
        <v>224</v>
      </c>
      <c r="B225">
        <v>224</v>
      </c>
      <c r="C225">
        <v>77</v>
      </c>
      <c r="D225" t="s">
        <v>2102</v>
      </c>
      <c r="E225">
        <f t="shared" si="9"/>
        <v>2024</v>
      </c>
      <c r="F225" t="str">
        <f t="shared" si="10"/>
        <v>Feb</v>
      </c>
      <c r="G225">
        <v>3</v>
      </c>
      <c r="H225">
        <f>_xlfn.XLOOKUP(C225,Products!A:A,Products!D:D)</f>
        <v>1078.19</v>
      </c>
      <c r="I225">
        <v>20</v>
      </c>
      <c r="J225">
        <f t="shared" si="11"/>
        <v>2587.6560000000004</v>
      </c>
      <c r="K225" t="s">
        <v>2019</v>
      </c>
      <c r="L225" t="str">
        <f>_xlfn.XLOOKUP(Orders[[#This Row],[ProductID]],Products!A:A,Products!C:C)</f>
        <v>Home</v>
      </c>
    </row>
    <row r="226" spans="1:12" x14ac:dyDescent="0.3">
      <c r="A226">
        <v>225</v>
      </c>
      <c r="B226">
        <v>225</v>
      </c>
      <c r="C226">
        <v>59</v>
      </c>
      <c r="D226" t="s">
        <v>1884</v>
      </c>
      <c r="E226">
        <f t="shared" si="9"/>
        <v>2023</v>
      </c>
      <c r="F226" t="str">
        <f t="shared" si="10"/>
        <v>Jul</v>
      </c>
      <c r="G226">
        <v>2</v>
      </c>
      <c r="H226">
        <f>_xlfn.XLOOKUP(C226,Products!A:A,Products!D:D)</f>
        <v>782.33</v>
      </c>
      <c r="I226">
        <v>15</v>
      </c>
      <c r="J226">
        <f t="shared" si="11"/>
        <v>1329.961</v>
      </c>
      <c r="K226" t="s">
        <v>2015</v>
      </c>
      <c r="L226" t="str">
        <f>_xlfn.XLOOKUP(Orders[[#This Row],[ProductID]],Products!A:A,Products!C:C)</f>
        <v>Clothing</v>
      </c>
    </row>
    <row r="227" spans="1:12" x14ac:dyDescent="0.3">
      <c r="A227">
        <v>226</v>
      </c>
      <c r="B227">
        <v>226</v>
      </c>
      <c r="C227">
        <v>80</v>
      </c>
      <c r="D227" t="s">
        <v>323</v>
      </c>
      <c r="E227">
        <f t="shared" si="9"/>
        <v>2023</v>
      </c>
      <c r="F227" t="str">
        <f t="shared" si="10"/>
        <v>Feb</v>
      </c>
      <c r="G227">
        <v>2</v>
      </c>
      <c r="H227">
        <f>_xlfn.XLOOKUP(C227,Products!A:A,Products!D:D)</f>
        <v>1014.45</v>
      </c>
      <c r="I227">
        <v>0</v>
      </c>
      <c r="J227">
        <f t="shared" si="11"/>
        <v>2028.9</v>
      </c>
      <c r="K227" t="s">
        <v>2017</v>
      </c>
      <c r="L227" t="str">
        <f>_xlfn.XLOOKUP(Orders[[#This Row],[ProductID]],Products!A:A,Products!C:C)</f>
        <v>Beauty</v>
      </c>
    </row>
    <row r="228" spans="1:12" x14ac:dyDescent="0.3">
      <c r="A228">
        <v>227</v>
      </c>
      <c r="B228">
        <v>227</v>
      </c>
      <c r="C228">
        <v>67</v>
      </c>
      <c r="D228" t="s">
        <v>1236</v>
      </c>
      <c r="E228">
        <f t="shared" si="9"/>
        <v>2023</v>
      </c>
      <c r="F228" t="str">
        <f t="shared" si="10"/>
        <v>Jun</v>
      </c>
      <c r="G228">
        <v>3</v>
      </c>
      <c r="H228">
        <f>_xlfn.XLOOKUP(C228,Products!A:A,Products!D:D)</f>
        <v>258.35000000000002</v>
      </c>
      <c r="I228">
        <v>5</v>
      </c>
      <c r="J228">
        <f t="shared" si="11"/>
        <v>736.29750000000001</v>
      </c>
      <c r="K228" t="s">
        <v>2019</v>
      </c>
      <c r="L228" t="str">
        <f>_xlfn.XLOOKUP(Orders[[#This Row],[ProductID]],Products!A:A,Products!C:C)</f>
        <v>Electronics</v>
      </c>
    </row>
    <row r="229" spans="1:12" x14ac:dyDescent="0.3">
      <c r="A229">
        <v>228</v>
      </c>
      <c r="B229">
        <v>228</v>
      </c>
      <c r="C229">
        <v>14</v>
      </c>
      <c r="D229" t="s">
        <v>625</v>
      </c>
      <c r="E229">
        <f t="shared" si="9"/>
        <v>2023</v>
      </c>
      <c r="F229" t="str">
        <f t="shared" si="10"/>
        <v>Jan</v>
      </c>
      <c r="G229">
        <v>3</v>
      </c>
      <c r="H229">
        <f>_xlfn.XLOOKUP(C229,Products!A:A,Products!D:D)</f>
        <v>574.25</v>
      </c>
      <c r="I229">
        <v>0</v>
      </c>
      <c r="J229">
        <f t="shared" si="11"/>
        <v>1722.75</v>
      </c>
      <c r="K229" t="s">
        <v>2015</v>
      </c>
      <c r="L229" t="str">
        <f>_xlfn.XLOOKUP(Orders[[#This Row],[ProductID]],Products!A:A,Products!C:C)</f>
        <v>Beauty</v>
      </c>
    </row>
    <row r="230" spans="1:12" x14ac:dyDescent="0.3">
      <c r="A230">
        <v>229</v>
      </c>
      <c r="B230">
        <v>229</v>
      </c>
      <c r="C230">
        <v>25</v>
      </c>
      <c r="D230" t="s">
        <v>2090</v>
      </c>
      <c r="E230">
        <f t="shared" si="9"/>
        <v>2024</v>
      </c>
      <c r="F230" t="str">
        <f t="shared" si="10"/>
        <v>Apr</v>
      </c>
      <c r="G230">
        <v>3</v>
      </c>
      <c r="H230">
        <f>_xlfn.XLOOKUP(C230,Products!A:A,Products!D:D)</f>
        <v>1011.65</v>
      </c>
      <c r="I230">
        <v>5</v>
      </c>
      <c r="J230">
        <f t="shared" si="11"/>
        <v>2883.2024999999999</v>
      </c>
      <c r="K230" t="s">
        <v>2015</v>
      </c>
      <c r="L230" t="str">
        <f>_xlfn.XLOOKUP(Orders[[#This Row],[ProductID]],Products!A:A,Products!C:C)</f>
        <v>Electronics</v>
      </c>
    </row>
    <row r="231" spans="1:12" x14ac:dyDescent="0.3">
      <c r="A231">
        <v>230</v>
      </c>
      <c r="B231">
        <v>230</v>
      </c>
      <c r="C231">
        <v>33</v>
      </c>
      <c r="D231" t="s">
        <v>1144</v>
      </c>
      <c r="E231">
        <f t="shared" si="9"/>
        <v>2023</v>
      </c>
      <c r="F231" t="str">
        <f t="shared" si="10"/>
        <v>Jul</v>
      </c>
      <c r="G231">
        <v>2</v>
      </c>
      <c r="H231">
        <f>_xlfn.XLOOKUP(C231,Products!A:A,Products!D:D)</f>
        <v>965.4</v>
      </c>
      <c r="I231">
        <v>15</v>
      </c>
      <c r="J231">
        <f t="shared" si="11"/>
        <v>1641.1799999999998</v>
      </c>
      <c r="K231" t="s">
        <v>2015</v>
      </c>
      <c r="L231" t="str">
        <f>_xlfn.XLOOKUP(Orders[[#This Row],[ProductID]],Products!A:A,Products!C:C)</f>
        <v>Beauty</v>
      </c>
    </row>
    <row r="232" spans="1:12" x14ac:dyDescent="0.3">
      <c r="A232">
        <v>231</v>
      </c>
      <c r="B232">
        <v>231</v>
      </c>
      <c r="C232">
        <v>57</v>
      </c>
      <c r="D232" t="s">
        <v>996</v>
      </c>
      <c r="E232">
        <f t="shared" si="9"/>
        <v>2023</v>
      </c>
      <c r="F232" t="str">
        <f t="shared" si="10"/>
        <v>Apr</v>
      </c>
      <c r="G232">
        <v>1</v>
      </c>
      <c r="H232">
        <f>_xlfn.XLOOKUP(C232,Products!A:A,Products!D:D)</f>
        <v>768.03</v>
      </c>
      <c r="I232">
        <v>5</v>
      </c>
      <c r="J232">
        <f t="shared" si="11"/>
        <v>729.62849999999992</v>
      </c>
      <c r="K232" t="s">
        <v>2019</v>
      </c>
      <c r="L232" t="str">
        <f>_xlfn.XLOOKUP(Orders[[#This Row],[ProductID]],Products!A:A,Products!C:C)</f>
        <v>Electronics</v>
      </c>
    </row>
    <row r="233" spans="1:12" x14ac:dyDescent="0.3">
      <c r="A233">
        <v>232</v>
      </c>
      <c r="B233">
        <v>232</v>
      </c>
      <c r="C233">
        <v>8</v>
      </c>
      <c r="D233" t="s">
        <v>262</v>
      </c>
      <c r="E233">
        <f t="shared" si="9"/>
        <v>2023</v>
      </c>
      <c r="F233" t="str">
        <f t="shared" si="10"/>
        <v>Mar</v>
      </c>
      <c r="G233">
        <v>2</v>
      </c>
      <c r="H233">
        <f>_xlfn.XLOOKUP(C233,Products!A:A,Products!D:D)</f>
        <v>155.08000000000001</v>
      </c>
      <c r="I233">
        <v>20</v>
      </c>
      <c r="J233">
        <f t="shared" si="11"/>
        <v>248.12800000000004</v>
      </c>
      <c r="K233" t="s">
        <v>2017</v>
      </c>
      <c r="L233" t="str">
        <f>_xlfn.XLOOKUP(Orders[[#This Row],[ProductID]],Products!A:A,Products!C:C)</f>
        <v>Clothing</v>
      </c>
    </row>
    <row r="234" spans="1:12" x14ac:dyDescent="0.3">
      <c r="A234">
        <v>233</v>
      </c>
      <c r="B234">
        <v>233</v>
      </c>
      <c r="C234">
        <v>66</v>
      </c>
      <c r="D234" t="s">
        <v>2103</v>
      </c>
      <c r="E234">
        <f t="shared" si="9"/>
        <v>2024</v>
      </c>
      <c r="F234" t="str">
        <f t="shared" si="10"/>
        <v>May</v>
      </c>
      <c r="G234">
        <v>3</v>
      </c>
      <c r="H234">
        <f>_xlfn.XLOOKUP(C234,Products!A:A,Products!D:D)</f>
        <v>783.37</v>
      </c>
      <c r="I234">
        <v>10</v>
      </c>
      <c r="J234">
        <f t="shared" si="11"/>
        <v>2115.0990000000002</v>
      </c>
      <c r="K234" t="s">
        <v>2024</v>
      </c>
      <c r="L234" t="str">
        <f>_xlfn.XLOOKUP(Orders[[#This Row],[ProductID]],Products!A:A,Products!C:C)</f>
        <v>Home</v>
      </c>
    </row>
    <row r="235" spans="1:12" x14ac:dyDescent="0.3">
      <c r="A235">
        <v>234</v>
      </c>
      <c r="B235">
        <v>234</v>
      </c>
      <c r="C235">
        <v>75</v>
      </c>
      <c r="D235" t="s">
        <v>2104</v>
      </c>
      <c r="E235">
        <f t="shared" si="9"/>
        <v>2024</v>
      </c>
      <c r="F235" t="str">
        <f t="shared" si="10"/>
        <v>Mar</v>
      </c>
      <c r="G235">
        <v>3</v>
      </c>
      <c r="H235">
        <f>_xlfn.XLOOKUP(C235,Products!A:A,Products!D:D)</f>
        <v>390.41</v>
      </c>
      <c r="I235">
        <v>5</v>
      </c>
      <c r="J235">
        <f t="shared" si="11"/>
        <v>1112.6685</v>
      </c>
      <c r="K235" t="s">
        <v>2021</v>
      </c>
      <c r="L235" t="str">
        <f>_xlfn.XLOOKUP(Orders[[#This Row],[ProductID]],Products!A:A,Products!C:C)</f>
        <v>Electronics</v>
      </c>
    </row>
    <row r="236" spans="1:12" x14ac:dyDescent="0.3">
      <c r="A236">
        <v>235</v>
      </c>
      <c r="B236">
        <v>235</v>
      </c>
      <c r="C236">
        <v>61</v>
      </c>
      <c r="D236" t="s">
        <v>1350</v>
      </c>
      <c r="E236">
        <f t="shared" si="9"/>
        <v>2023</v>
      </c>
      <c r="F236" t="str">
        <f t="shared" si="10"/>
        <v>Jun</v>
      </c>
      <c r="G236">
        <v>3</v>
      </c>
      <c r="H236">
        <f>_xlfn.XLOOKUP(C236,Products!A:A,Products!D:D)</f>
        <v>498.92</v>
      </c>
      <c r="I236">
        <v>10</v>
      </c>
      <c r="J236">
        <f t="shared" si="11"/>
        <v>1347.0840000000001</v>
      </c>
      <c r="K236" t="s">
        <v>2024</v>
      </c>
      <c r="L236" t="str">
        <f>_xlfn.XLOOKUP(Orders[[#This Row],[ProductID]],Products!A:A,Products!C:C)</f>
        <v>Clothing</v>
      </c>
    </row>
    <row r="237" spans="1:12" x14ac:dyDescent="0.3">
      <c r="A237">
        <v>236</v>
      </c>
      <c r="B237">
        <v>236</v>
      </c>
      <c r="C237">
        <v>48</v>
      </c>
      <c r="D237" t="s">
        <v>2059</v>
      </c>
      <c r="E237">
        <f t="shared" si="9"/>
        <v>2024</v>
      </c>
      <c r="F237" t="str">
        <f t="shared" si="10"/>
        <v>May</v>
      </c>
      <c r="G237">
        <v>1</v>
      </c>
      <c r="H237">
        <f>_xlfn.XLOOKUP(C237,Products!A:A,Products!D:D)</f>
        <v>1125.8499999999999</v>
      </c>
      <c r="I237">
        <v>20</v>
      </c>
      <c r="J237">
        <f t="shared" si="11"/>
        <v>900.68</v>
      </c>
      <c r="K237" t="s">
        <v>2015</v>
      </c>
      <c r="L237" t="str">
        <f>_xlfn.XLOOKUP(Orders[[#This Row],[ProductID]],Products!A:A,Products!C:C)</f>
        <v>Clothing</v>
      </c>
    </row>
    <row r="238" spans="1:12" x14ac:dyDescent="0.3">
      <c r="A238">
        <v>237</v>
      </c>
      <c r="B238">
        <v>237</v>
      </c>
      <c r="C238">
        <v>19</v>
      </c>
      <c r="D238" t="s">
        <v>66</v>
      </c>
      <c r="E238">
        <f t="shared" si="9"/>
        <v>2023</v>
      </c>
      <c r="F238" t="str">
        <f t="shared" si="10"/>
        <v>Jan</v>
      </c>
      <c r="G238">
        <v>1</v>
      </c>
      <c r="H238">
        <f>_xlfn.XLOOKUP(C238,Products!A:A,Products!D:D)</f>
        <v>262.97000000000003</v>
      </c>
      <c r="I238">
        <v>20</v>
      </c>
      <c r="J238">
        <f t="shared" si="11"/>
        <v>210.37600000000003</v>
      </c>
      <c r="K238" t="s">
        <v>2015</v>
      </c>
      <c r="L238" t="str">
        <f>_xlfn.XLOOKUP(Orders[[#This Row],[ProductID]],Products!A:A,Products!C:C)</f>
        <v>Beauty</v>
      </c>
    </row>
    <row r="239" spans="1:12" x14ac:dyDescent="0.3">
      <c r="A239">
        <v>238</v>
      </c>
      <c r="B239">
        <v>238</v>
      </c>
      <c r="C239">
        <v>7</v>
      </c>
      <c r="D239" t="s">
        <v>1110</v>
      </c>
      <c r="E239">
        <f t="shared" si="9"/>
        <v>2023</v>
      </c>
      <c r="F239" t="str">
        <f t="shared" si="10"/>
        <v>Aug</v>
      </c>
      <c r="G239">
        <v>2</v>
      </c>
      <c r="H239">
        <f>_xlfn.XLOOKUP(C239,Products!A:A,Products!D:D)</f>
        <v>97.29</v>
      </c>
      <c r="I239">
        <v>5</v>
      </c>
      <c r="J239">
        <f t="shared" si="11"/>
        <v>184.851</v>
      </c>
      <c r="K239" t="s">
        <v>2021</v>
      </c>
      <c r="L239" t="str">
        <f>_xlfn.XLOOKUP(Orders[[#This Row],[ProductID]],Products!A:A,Products!C:C)</f>
        <v>Beauty</v>
      </c>
    </row>
    <row r="240" spans="1:12" x14ac:dyDescent="0.3">
      <c r="A240">
        <v>239</v>
      </c>
      <c r="B240">
        <v>239</v>
      </c>
      <c r="C240">
        <v>26</v>
      </c>
      <c r="D240" t="s">
        <v>2105</v>
      </c>
      <c r="E240">
        <f t="shared" si="9"/>
        <v>2024</v>
      </c>
      <c r="F240" t="str">
        <f t="shared" si="10"/>
        <v>Feb</v>
      </c>
      <c r="G240">
        <v>1</v>
      </c>
      <c r="H240">
        <f>_xlfn.XLOOKUP(C240,Products!A:A,Products!D:D)</f>
        <v>272.61</v>
      </c>
      <c r="I240">
        <v>10</v>
      </c>
      <c r="J240">
        <f t="shared" si="11"/>
        <v>245.34900000000002</v>
      </c>
      <c r="K240" t="s">
        <v>2021</v>
      </c>
      <c r="L240" t="str">
        <f>_xlfn.XLOOKUP(Orders[[#This Row],[ProductID]],Products!A:A,Products!C:C)</f>
        <v>Home</v>
      </c>
    </row>
    <row r="241" spans="1:12" x14ac:dyDescent="0.3">
      <c r="A241">
        <v>240</v>
      </c>
      <c r="B241">
        <v>240</v>
      </c>
      <c r="C241">
        <v>61</v>
      </c>
      <c r="D241" t="s">
        <v>2071</v>
      </c>
      <c r="E241">
        <f t="shared" si="9"/>
        <v>2023</v>
      </c>
      <c r="F241" t="str">
        <f t="shared" si="10"/>
        <v>Dec</v>
      </c>
      <c r="G241">
        <v>3</v>
      </c>
      <c r="H241">
        <f>_xlfn.XLOOKUP(C241,Products!A:A,Products!D:D)</f>
        <v>498.92</v>
      </c>
      <c r="I241">
        <v>15</v>
      </c>
      <c r="J241">
        <f t="shared" si="11"/>
        <v>1272.2459999999999</v>
      </c>
      <c r="K241" t="s">
        <v>2015</v>
      </c>
      <c r="L241" t="str">
        <f>_xlfn.XLOOKUP(Orders[[#This Row],[ProductID]],Products!A:A,Products!C:C)</f>
        <v>Clothing</v>
      </c>
    </row>
    <row r="242" spans="1:12" x14ac:dyDescent="0.3">
      <c r="A242">
        <v>241</v>
      </c>
      <c r="B242">
        <v>241</v>
      </c>
      <c r="C242">
        <v>43</v>
      </c>
      <c r="D242" t="s">
        <v>2106</v>
      </c>
      <c r="E242">
        <f t="shared" si="9"/>
        <v>2024</v>
      </c>
      <c r="F242" t="str">
        <f t="shared" si="10"/>
        <v>Mar</v>
      </c>
      <c r="G242">
        <v>3</v>
      </c>
      <c r="H242">
        <f>_xlfn.XLOOKUP(C242,Products!A:A,Products!D:D)</f>
        <v>760.86</v>
      </c>
      <c r="I242">
        <v>20</v>
      </c>
      <c r="J242">
        <f t="shared" si="11"/>
        <v>1826.0640000000001</v>
      </c>
      <c r="K242" t="s">
        <v>2024</v>
      </c>
      <c r="L242" t="str">
        <f>_xlfn.XLOOKUP(Orders[[#This Row],[ProductID]],Products!A:A,Products!C:C)</f>
        <v>Electronics</v>
      </c>
    </row>
    <row r="243" spans="1:12" x14ac:dyDescent="0.3">
      <c r="A243">
        <v>242</v>
      </c>
      <c r="B243">
        <v>242</v>
      </c>
      <c r="C243">
        <v>79</v>
      </c>
      <c r="D243" t="s">
        <v>158</v>
      </c>
      <c r="E243">
        <f t="shared" si="9"/>
        <v>2023</v>
      </c>
      <c r="F243" t="str">
        <f t="shared" si="10"/>
        <v>Jun</v>
      </c>
      <c r="G243">
        <v>2</v>
      </c>
      <c r="H243">
        <f>_xlfn.XLOOKUP(C243,Products!A:A,Products!D:D)</f>
        <v>488.34</v>
      </c>
      <c r="I243">
        <v>10</v>
      </c>
      <c r="J243">
        <f t="shared" si="11"/>
        <v>879.01199999999994</v>
      </c>
      <c r="K243" t="s">
        <v>2021</v>
      </c>
      <c r="L243" t="str">
        <f>_xlfn.XLOOKUP(Orders[[#This Row],[ProductID]],Products!A:A,Products!C:C)</f>
        <v>Electronics</v>
      </c>
    </row>
    <row r="244" spans="1:12" x14ac:dyDescent="0.3">
      <c r="A244">
        <v>243</v>
      </c>
      <c r="B244">
        <v>243</v>
      </c>
      <c r="C244">
        <v>14</v>
      </c>
      <c r="D244" t="s">
        <v>1976</v>
      </c>
      <c r="E244">
        <f t="shared" si="9"/>
        <v>2023</v>
      </c>
      <c r="F244" t="str">
        <f t="shared" si="10"/>
        <v>Aug</v>
      </c>
      <c r="G244">
        <v>1</v>
      </c>
      <c r="H244">
        <f>_xlfn.XLOOKUP(C244,Products!A:A,Products!D:D)</f>
        <v>574.25</v>
      </c>
      <c r="I244">
        <v>15</v>
      </c>
      <c r="J244">
        <f t="shared" si="11"/>
        <v>488.11250000000001</v>
      </c>
      <c r="K244" t="s">
        <v>2021</v>
      </c>
      <c r="L244" t="str">
        <f>_xlfn.XLOOKUP(Orders[[#This Row],[ProductID]],Products!A:A,Products!C:C)</f>
        <v>Beauty</v>
      </c>
    </row>
    <row r="245" spans="1:12" x14ac:dyDescent="0.3">
      <c r="A245">
        <v>244</v>
      </c>
      <c r="B245">
        <v>244</v>
      </c>
      <c r="C245">
        <v>1</v>
      </c>
      <c r="D245" t="s">
        <v>1307</v>
      </c>
      <c r="E245">
        <f t="shared" si="9"/>
        <v>2023</v>
      </c>
      <c r="F245" t="str">
        <f t="shared" si="10"/>
        <v>Nov</v>
      </c>
      <c r="G245">
        <v>1</v>
      </c>
      <c r="H245">
        <f>_xlfn.XLOOKUP(C245,Products!A:A,Products!D:D)</f>
        <v>469.08</v>
      </c>
      <c r="I245">
        <v>5</v>
      </c>
      <c r="J245">
        <f t="shared" si="11"/>
        <v>445.62599999999998</v>
      </c>
      <c r="K245" t="s">
        <v>2017</v>
      </c>
      <c r="L245" t="str">
        <f>_xlfn.XLOOKUP(Orders[[#This Row],[ProductID]],Products!A:A,Products!C:C)</f>
        <v>Clothing</v>
      </c>
    </row>
    <row r="246" spans="1:12" x14ac:dyDescent="0.3">
      <c r="A246">
        <v>245</v>
      </c>
      <c r="B246">
        <v>245</v>
      </c>
      <c r="C246">
        <v>80</v>
      </c>
      <c r="D246" t="s">
        <v>878</v>
      </c>
      <c r="E246">
        <f t="shared" si="9"/>
        <v>2023</v>
      </c>
      <c r="F246" t="str">
        <f t="shared" si="10"/>
        <v>Apr</v>
      </c>
      <c r="G246">
        <v>1</v>
      </c>
      <c r="H246">
        <f>_xlfn.XLOOKUP(C246,Products!A:A,Products!D:D)</f>
        <v>1014.45</v>
      </c>
      <c r="I246">
        <v>15</v>
      </c>
      <c r="J246">
        <f t="shared" si="11"/>
        <v>862.28250000000003</v>
      </c>
      <c r="K246" t="s">
        <v>2024</v>
      </c>
      <c r="L246" t="str">
        <f>_xlfn.XLOOKUP(Orders[[#This Row],[ProductID]],Products!A:A,Products!C:C)</f>
        <v>Beauty</v>
      </c>
    </row>
    <row r="247" spans="1:12" x14ac:dyDescent="0.3">
      <c r="A247">
        <v>246</v>
      </c>
      <c r="B247">
        <v>246</v>
      </c>
      <c r="C247">
        <v>49</v>
      </c>
      <c r="D247" t="s">
        <v>1312</v>
      </c>
      <c r="E247">
        <f t="shared" si="9"/>
        <v>2023</v>
      </c>
      <c r="F247" t="str">
        <f t="shared" si="10"/>
        <v>Apr</v>
      </c>
      <c r="G247">
        <v>2</v>
      </c>
      <c r="H247">
        <f>_xlfn.XLOOKUP(C247,Products!A:A,Products!D:D)</f>
        <v>974.54</v>
      </c>
      <c r="I247">
        <v>5</v>
      </c>
      <c r="J247">
        <f t="shared" si="11"/>
        <v>1851.6259999999997</v>
      </c>
      <c r="K247" t="s">
        <v>2019</v>
      </c>
      <c r="L247" t="str">
        <f>_xlfn.XLOOKUP(Orders[[#This Row],[ProductID]],Products!A:A,Products!C:C)</f>
        <v>Home</v>
      </c>
    </row>
    <row r="248" spans="1:12" x14ac:dyDescent="0.3">
      <c r="A248">
        <v>247</v>
      </c>
      <c r="B248">
        <v>247</v>
      </c>
      <c r="C248">
        <v>47</v>
      </c>
      <c r="D248" t="s">
        <v>842</v>
      </c>
      <c r="E248">
        <f t="shared" si="9"/>
        <v>2023</v>
      </c>
      <c r="F248" t="str">
        <f t="shared" si="10"/>
        <v>Jan</v>
      </c>
      <c r="G248">
        <v>1</v>
      </c>
      <c r="H248">
        <f>_xlfn.XLOOKUP(C248,Products!A:A,Products!D:D)</f>
        <v>1126.96</v>
      </c>
      <c r="I248">
        <v>10</v>
      </c>
      <c r="J248">
        <f t="shared" si="11"/>
        <v>1014.264</v>
      </c>
      <c r="K248" t="s">
        <v>2019</v>
      </c>
      <c r="L248" t="str">
        <f>_xlfn.XLOOKUP(Orders[[#This Row],[ProductID]],Products!A:A,Products!C:C)</f>
        <v>Beauty</v>
      </c>
    </row>
    <row r="249" spans="1:12" x14ac:dyDescent="0.3">
      <c r="A249">
        <v>248</v>
      </c>
      <c r="B249">
        <v>248</v>
      </c>
      <c r="C249">
        <v>72</v>
      </c>
      <c r="D249" t="s">
        <v>530</v>
      </c>
      <c r="E249">
        <f t="shared" si="9"/>
        <v>2023</v>
      </c>
      <c r="F249" t="str">
        <f t="shared" si="10"/>
        <v>Feb</v>
      </c>
      <c r="G249">
        <v>1</v>
      </c>
      <c r="H249">
        <f>_xlfn.XLOOKUP(C249,Products!A:A,Products!D:D)</f>
        <v>1157.27</v>
      </c>
      <c r="I249">
        <v>10</v>
      </c>
      <c r="J249">
        <f t="shared" si="11"/>
        <v>1041.5430000000001</v>
      </c>
      <c r="K249" t="s">
        <v>2017</v>
      </c>
      <c r="L249" t="str">
        <f>_xlfn.XLOOKUP(Orders[[#This Row],[ProductID]],Products!A:A,Products!C:C)</f>
        <v>Electronics</v>
      </c>
    </row>
    <row r="250" spans="1:12" x14ac:dyDescent="0.3">
      <c r="A250">
        <v>249</v>
      </c>
      <c r="B250">
        <v>249</v>
      </c>
      <c r="C250">
        <v>25</v>
      </c>
      <c r="D250" t="s">
        <v>384</v>
      </c>
      <c r="E250">
        <f t="shared" si="9"/>
        <v>2023</v>
      </c>
      <c r="F250" t="str">
        <f t="shared" si="10"/>
        <v>Nov</v>
      </c>
      <c r="G250">
        <v>3</v>
      </c>
      <c r="H250">
        <f>_xlfn.XLOOKUP(C250,Products!A:A,Products!D:D)</f>
        <v>1011.65</v>
      </c>
      <c r="I250">
        <v>10</v>
      </c>
      <c r="J250">
        <f t="shared" si="11"/>
        <v>2731.4549999999999</v>
      </c>
      <c r="K250" t="s">
        <v>2019</v>
      </c>
      <c r="L250" t="str">
        <f>_xlfn.XLOOKUP(Orders[[#This Row],[ProductID]],Products!A:A,Products!C:C)</f>
        <v>Electronics</v>
      </c>
    </row>
    <row r="251" spans="1:12" x14ac:dyDescent="0.3">
      <c r="A251">
        <v>250</v>
      </c>
      <c r="B251">
        <v>250</v>
      </c>
      <c r="C251">
        <v>4</v>
      </c>
      <c r="D251" t="s">
        <v>2107</v>
      </c>
      <c r="E251">
        <f t="shared" si="9"/>
        <v>2023</v>
      </c>
      <c r="F251" t="str">
        <f t="shared" si="10"/>
        <v>Apr</v>
      </c>
      <c r="G251">
        <v>1</v>
      </c>
      <c r="H251">
        <f>_xlfn.XLOOKUP(C251,Products!A:A,Products!D:D)</f>
        <v>800.26</v>
      </c>
      <c r="I251">
        <v>10</v>
      </c>
      <c r="J251">
        <f t="shared" si="11"/>
        <v>720.23400000000004</v>
      </c>
      <c r="K251" t="s">
        <v>2021</v>
      </c>
      <c r="L251" t="str">
        <f>_xlfn.XLOOKUP(Orders[[#This Row],[ProductID]],Products!A:A,Products!C:C)</f>
        <v>Electronics</v>
      </c>
    </row>
    <row r="252" spans="1:12" x14ac:dyDescent="0.3">
      <c r="A252">
        <v>251</v>
      </c>
      <c r="B252">
        <v>251</v>
      </c>
      <c r="C252">
        <v>29</v>
      </c>
      <c r="D252" t="s">
        <v>2104</v>
      </c>
      <c r="E252">
        <f t="shared" si="9"/>
        <v>2024</v>
      </c>
      <c r="F252" t="str">
        <f t="shared" si="10"/>
        <v>Mar</v>
      </c>
      <c r="G252">
        <v>2</v>
      </c>
      <c r="H252">
        <f>_xlfn.XLOOKUP(C252,Products!A:A,Products!D:D)</f>
        <v>757</v>
      </c>
      <c r="I252">
        <v>5</v>
      </c>
      <c r="J252">
        <f t="shared" si="11"/>
        <v>1438.3</v>
      </c>
      <c r="K252" t="s">
        <v>2024</v>
      </c>
      <c r="L252" t="str">
        <f>_xlfn.XLOOKUP(Orders[[#This Row],[ProductID]],Products!A:A,Products!C:C)</f>
        <v>Clothing</v>
      </c>
    </row>
    <row r="253" spans="1:12" x14ac:dyDescent="0.3">
      <c r="A253">
        <v>252</v>
      </c>
      <c r="B253">
        <v>252</v>
      </c>
      <c r="C253">
        <v>71</v>
      </c>
      <c r="D253" t="s">
        <v>673</v>
      </c>
      <c r="E253">
        <f t="shared" si="9"/>
        <v>2023</v>
      </c>
      <c r="F253" t="str">
        <f t="shared" si="10"/>
        <v>May</v>
      </c>
      <c r="G253">
        <v>1</v>
      </c>
      <c r="H253">
        <f>_xlfn.XLOOKUP(C253,Products!A:A,Products!D:D)</f>
        <v>780.27</v>
      </c>
      <c r="I253">
        <v>5</v>
      </c>
      <c r="J253">
        <f t="shared" si="11"/>
        <v>741.25649999999996</v>
      </c>
      <c r="K253" t="s">
        <v>2019</v>
      </c>
      <c r="L253" t="str">
        <f>_xlfn.XLOOKUP(Orders[[#This Row],[ProductID]],Products!A:A,Products!C:C)</f>
        <v>Electronics</v>
      </c>
    </row>
    <row r="254" spans="1:12" x14ac:dyDescent="0.3">
      <c r="A254">
        <v>253</v>
      </c>
      <c r="B254">
        <v>253</v>
      </c>
      <c r="C254">
        <v>23</v>
      </c>
      <c r="D254" t="s">
        <v>2041</v>
      </c>
      <c r="E254">
        <f t="shared" si="9"/>
        <v>2024</v>
      </c>
      <c r="F254" t="str">
        <f t="shared" si="10"/>
        <v>Mar</v>
      </c>
      <c r="G254">
        <v>2</v>
      </c>
      <c r="H254">
        <f>_xlfn.XLOOKUP(C254,Products!A:A,Products!D:D)</f>
        <v>258.08</v>
      </c>
      <c r="I254">
        <v>0</v>
      </c>
      <c r="J254">
        <f t="shared" si="11"/>
        <v>516.16</v>
      </c>
      <c r="K254" t="s">
        <v>2019</v>
      </c>
      <c r="L254" t="str">
        <f>_xlfn.XLOOKUP(Orders[[#This Row],[ProductID]],Products!A:A,Products!C:C)</f>
        <v>Home</v>
      </c>
    </row>
    <row r="255" spans="1:12" x14ac:dyDescent="0.3">
      <c r="A255">
        <v>254</v>
      </c>
      <c r="B255">
        <v>254</v>
      </c>
      <c r="C255">
        <v>18</v>
      </c>
      <c r="D255" t="s">
        <v>268</v>
      </c>
      <c r="E255">
        <f t="shared" si="9"/>
        <v>2023</v>
      </c>
      <c r="F255" t="str">
        <f t="shared" si="10"/>
        <v>Jul</v>
      </c>
      <c r="G255">
        <v>3</v>
      </c>
      <c r="H255">
        <f>_xlfn.XLOOKUP(C255,Products!A:A,Products!D:D)</f>
        <v>138.07</v>
      </c>
      <c r="I255">
        <v>0</v>
      </c>
      <c r="J255">
        <f t="shared" si="11"/>
        <v>414.21</v>
      </c>
      <c r="K255" t="s">
        <v>2024</v>
      </c>
      <c r="L255" t="str">
        <f>_xlfn.XLOOKUP(Orders[[#This Row],[ProductID]],Products!A:A,Products!C:C)</f>
        <v>Home</v>
      </c>
    </row>
    <row r="256" spans="1:12" x14ac:dyDescent="0.3">
      <c r="A256">
        <v>255</v>
      </c>
      <c r="B256">
        <v>255</v>
      </c>
      <c r="C256">
        <v>27</v>
      </c>
      <c r="D256" t="s">
        <v>773</v>
      </c>
      <c r="E256">
        <f t="shared" si="9"/>
        <v>2023</v>
      </c>
      <c r="F256" t="str">
        <f t="shared" si="10"/>
        <v>Jun</v>
      </c>
      <c r="G256">
        <v>2</v>
      </c>
      <c r="H256">
        <f>_xlfn.XLOOKUP(C256,Products!A:A,Products!D:D)</f>
        <v>76.09</v>
      </c>
      <c r="I256">
        <v>5</v>
      </c>
      <c r="J256">
        <f t="shared" si="11"/>
        <v>144.571</v>
      </c>
      <c r="K256" t="s">
        <v>2024</v>
      </c>
      <c r="L256" t="str">
        <f>_xlfn.XLOOKUP(Orders[[#This Row],[ProductID]],Products!A:A,Products!C:C)</f>
        <v>Clothing</v>
      </c>
    </row>
    <row r="257" spans="1:12" x14ac:dyDescent="0.3">
      <c r="A257">
        <v>256</v>
      </c>
      <c r="B257">
        <v>256</v>
      </c>
      <c r="C257">
        <v>48</v>
      </c>
      <c r="D257" t="s">
        <v>2108</v>
      </c>
      <c r="E257">
        <f t="shared" si="9"/>
        <v>2023</v>
      </c>
      <c r="F257" t="str">
        <f t="shared" si="10"/>
        <v>Dec</v>
      </c>
      <c r="G257">
        <v>1</v>
      </c>
      <c r="H257">
        <f>_xlfn.XLOOKUP(C257,Products!A:A,Products!D:D)</f>
        <v>1125.8499999999999</v>
      </c>
      <c r="I257">
        <v>20</v>
      </c>
      <c r="J257">
        <f t="shared" si="11"/>
        <v>900.68</v>
      </c>
      <c r="K257" t="s">
        <v>2015</v>
      </c>
      <c r="L257" t="str">
        <f>_xlfn.XLOOKUP(Orders[[#This Row],[ProductID]],Products!A:A,Products!C:C)</f>
        <v>Clothing</v>
      </c>
    </row>
    <row r="258" spans="1:12" x14ac:dyDescent="0.3">
      <c r="A258">
        <v>257</v>
      </c>
      <c r="B258">
        <v>257</v>
      </c>
      <c r="C258">
        <v>56</v>
      </c>
      <c r="D258" t="s">
        <v>2018</v>
      </c>
      <c r="E258">
        <f t="shared" si="9"/>
        <v>2024</v>
      </c>
      <c r="F258" t="str">
        <f t="shared" si="10"/>
        <v>Mar</v>
      </c>
      <c r="G258">
        <v>3</v>
      </c>
      <c r="H258">
        <f>_xlfn.XLOOKUP(C258,Products!A:A,Products!D:D)</f>
        <v>396.01</v>
      </c>
      <c r="I258">
        <v>0</v>
      </c>
      <c r="J258">
        <f t="shared" si="11"/>
        <v>1188.03</v>
      </c>
      <c r="K258" t="s">
        <v>2019</v>
      </c>
      <c r="L258" t="str">
        <f>_xlfn.XLOOKUP(Orders[[#This Row],[ProductID]],Products!A:A,Products!C:C)</f>
        <v>Home</v>
      </c>
    </row>
    <row r="259" spans="1:12" x14ac:dyDescent="0.3">
      <c r="A259">
        <v>258</v>
      </c>
      <c r="B259">
        <v>258</v>
      </c>
      <c r="C259">
        <v>19</v>
      </c>
      <c r="D259" t="s">
        <v>2051</v>
      </c>
      <c r="E259">
        <f t="shared" ref="E259:E322" si="12">YEAR(D259)</f>
        <v>2024</v>
      </c>
      <c r="F259" t="str">
        <f t="shared" ref="F259:F322" si="13">TEXT(D259,"mmm")</f>
        <v>Mar</v>
      </c>
      <c r="G259">
        <v>1</v>
      </c>
      <c r="H259">
        <f>_xlfn.XLOOKUP(C259,Products!A:A,Products!D:D)</f>
        <v>262.97000000000003</v>
      </c>
      <c r="I259">
        <v>5</v>
      </c>
      <c r="J259">
        <f t="shared" ref="J259:J322" si="14">G259*H259*(1-I259/100)</f>
        <v>249.82150000000001</v>
      </c>
      <c r="K259" t="s">
        <v>2021</v>
      </c>
      <c r="L259" t="str">
        <f>_xlfn.XLOOKUP(Orders[[#This Row],[ProductID]],Products!A:A,Products!C:C)</f>
        <v>Beauty</v>
      </c>
    </row>
    <row r="260" spans="1:12" x14ac:dyDescent="0.3">
      <c r="A260">
        <v>259</v>
      </c>
      <c r="B260">
        <v>259</v>
      </c>
      <c r="C260">
        <v>69</v>
      </c>
      <c r="D260" t="s">
        <v>1593</v>
      </c>
      <c r="E260">
        <f t="shared" si="12"/>
        <v>2023</v>
      </c>
      <c r="F260" t="str">
        <f t="shared" si="13"/>
        <v>Jul</v>
      </c>
      <c r="G260">
        <v>3</v>
      </c>
      <c r="H260">
        <f>_xlfn.XLOOKUP(C260,Products!A:A,Products!D:D)</f>
        <v>951.81</v>
      </c>
      <c r="I260">
        <v>10</v>
      </c>
      <c r="J260">
        <f t="shared" si="14"/>
        <v>2569.8869999999997</v>
      </c>
      <c r="K260" t="s">
        <v>2024</v>
      </c>
      <c r="L260" t="str">
        <f>_xlfn.XLOOKUP(Orders[[#This Row],[ProductID]],Products!A:A,Products!C:C)</f>
        <v>Clothing</v>
      </c>
    </row>
    <row r="261" spans="1:12" x14ac:dyDescent="0.3">
      <c r="A261">
        <v>260</v>
      </c>
      <c r="B261">
        <v>260</v>
      </c>
      <c r="C261">
        <v>77</v>
      </c>
      <c r="D261" t="s">
        <v>110</v>
      </c>
      <c r="E261">
        <f t="shared" si="12"/>
        <v>2023</v>
      </c>
      <c r="F261" t="str">
        <f t="shared" si="13"/>
        <v>Aug</v>
      </c>
      <c r="G261">
        <v>3</v>
      </c>
      <c r="H261">
        <f>_xlfn.XLOOKUP(C261,Products!A:A,Products!D:D)</f>
        <v>1078.19</v>
      </c>
      <c r="I261">
        <v>5</v>
      </c>
      <c r="J261">
        <f t="shared" si="14"/>
        <v>3072.8415</v>
      </c>
      <c r="K261" t="s">
        <v>2019</v>
      </c>
      <c r="L261" t="str">
        <f>_xlfn.XLOOKUP(Orders[[#This Row],[ProductID]],Products!A:A,Products!C:C)</f>
        <v>Home</v>
      </c>
    </row>
    <row r="262" spans="1:12" x14ac:dyDescent="0.3">
      <c r="A262">
        <v>261</v>
      </c>
      <c r="B262">
        <v>261</v>
      </c>
      <c r="C262">
        <v>79</v>
      </c>
      <c r="D262" t="s">
        <v>924</v>
      </c>
      <c r="E262">
        <f t="shared" si="12"/>
        <v>2023</v>
      </c>
      <c r="F262" t="str">
        <f t="shared" si="13"/>
        <v>Oct</v>
      </c>
      <c r="G262">
        <v>1</v>
      </c>
      <c r="H262">
        <f>_xlfn.XLOOKUP(C262,Products!A:A,Products!D:D)</f>
        <v>488.34</v>
      </c>
      <c r="I262">
        <v>20</v>
      </c>
      <c r="J262">
        <f t="shared" si="14"/>
        <v>390.67200000000003</v>
      </c>
      <c r="K262" t="s">
        <v>2024</v>
      </c>
      <c r="L262" t="str">
        <f>_xlfn.XLOOKUP(Orders[[#This Row],[ProductID]],Products!A:A,Products!C:C)</f>
        <v>Electronics</v>
      </c>
    </row>
    <row r="263" spans="1:12" x14ac:dyDescent="0.3">
      <c r="A263">
        <v>262</v>
      </c>
      <c r="B263">
        <v>262</v>
      </c>
      <c r="C263">
        <v>20</v>
      </c>
      <c r="D263" t="s">
        <v>211</v>
      </c>
      <c r="E263">
        <f t="shared" si="12"/>
        <v>2023</v>
      </c>
      <c r="F263" t="str">
        <f t="shared" si="13"/>
        <v>Jun</v>
      </c>
      <c r="G263">
        <v>1</v>
      </c>
      <c r="H263">
        <f>_xlfn.XLOOKUP(C263,Products!A:A,Products!D:D)</f>
        <v>613.27</v>
      </c>
      <c r="I263">
        <v>0</v>
      </c>
      <c r="J263">
        <f t="shared" si="14"/>
        <v>613.27</v>
      </c>
      <c r="K263" t="s">
        <v>2024</v>
      </c>
      <c r="L263" t="str">
        <f>_xlfn.XLOOKUP(Orders[[#This Row],[ProductID]],Products!A:A,Products!C:C)</f>
        <v>Home</v>
      </c>
    </row>
    <row r="264" spans="1:12" x14ac:dyDescent="0.3">
      <c r="A264">
        <v>263</v>
      </c>
      <c r="B264">
        <v>263</v>
      </c>
      <c r="C264">
        <v>17</v>
      </c>
      <c r="D264" t="s">
        <v>2109</v>
      </c>
      <c r="E264">
        <f t="shared" si="12"/>
        <v>2024</v>
      </c>
      <c r="F264" t="str">
        <f t="shared" si="13"/>
        <v>Mar</v>
      </c>
      <c r="G264">
        <v>3</v>
      </c>
      <c r="H264">
        <f>_xlfn.XLOOKUP(C264,Products!A:A,Products!D:D)</f>
        <v>695.6</v>
      </c>
      <c r="I264">
        <v>20</v>
      </c>
      <c r="J264">
        <f t="shared" si="14"/>
        <v>1669.4400000000003</v>
      </c>
      <c r="K264" t="s">
        <v>2017</v>
      </c>
      <c r="L264" t="str">
        <f>_xlfn.XLOOKUP(Orders[[#This Row],[ProductID]],Products!A:A,Products!C:C)</f>
        <v>Clothing</v>
      </c>
    </row>
    <row r="265" spans="1:12" x14ac:dyDescent="0.3">
      <c r="A265">
        <v>264</v>
      </c>
      <c r="B265">
        <v>264</v>
      </c>
      <c r="C265">
        <v>27</v>
      </c>
      <c r="D265" t="s">
        <v>2110</v>
      </c>
      <c r="E265">
        <f t="shared" si="12"/>
        <v>2024</v>
      </c>
      <c r="F265" t="str">
        <f t="shared" si="13"/>
        <v>Jan</v>
      </c>
      <c r="G265">
        <v>1</v>
      </c>
      <c r="H265">
        <f>_xlfn.XLOOKUP(C265,Products!A:A,Products!D:D)</f>
        <v>76.09</v>
      </c>
      <c r="I265">
        <v>15</v>
      </c>
      <c r="J265">
        <f t="shared" si="14"/>
        <v>64.676500000000004</v>
      </c>
      <c r="K265" t="s">
        <v>2015</v>
      </c>
      <c r="L265" t="str">
        <f>_xlfn.XLOOKUP(Orders[[#This Row],[ProductID]],Products!A:A,Products!C:C)</f>
        <v>Clothing</v>
      </c>
    </row>
    <row r="266" spans="1:12" x14ac:dyDescent="0.3">
      <c r="A266">
        <v>265</v>
      </c>
      <c r="B266">
        <v>265</v>
      </c>
      <c r="C266">
        <v>9</v>
      </c>
      <c r="D266" t="s">
        <v>2058</v>
      </c>
      <c r="E266">
        <f t="shared" si="12"/>
        <v>2023</v>
      </c>
      <c r="F266" t="str">
        <f t="shared" si="13"/>
        <v>Mar</v>
      </c>
      <c r="G266">
        <v>3</v>
      </c>
      <c r="H266">
        <f>_xlfn.XLOOKUP(C266,Products!A:A,Products!D:D)</f>
        <v>43.26</v>
      </c>
      <c r="I266">
        <v>15</v>
      </c>
      <c r="J266">
        <f t="shared" si="14"/>
        <v>110.313</v>
      </c>
      <c r="K266" t="s">
        <v>2015</v>
      </c>
      <c r="L266" t="str">
        <f>_xlfn.XLOOKUP(Orders[[#This Row],[ProductID]],Products!A:A,Products!C:C)</f>
        <v>Electronics</v>
      </c>
    </row>
    <row r="267" spans="1:12" x14ac:dyDescent="0.3">
      <c r="A267">
        <v>266</v>
      </c>
      <c r="B267">
        <v>266</v>
      </c>
      <c r="C267">
        <v>48</v>
      </c>
      <c r="D267" t="s">
        <v>290</v>
      </c>
      <c r="E267">
        <f t="shared" si="12"/>
        <v>2023</v>
      </c>
      <c r="F267" t="str">
        <f t="shared" si="13"/>
        <v>Sep</v>
      </c>
      <c r="G267">
        <v>3</v>
      </c>
      <c r="H267">
        <f>_xlfn.XLOOKUP(C267,Products!A:A,Products!D:D)</f>
        <v>1125.8499999999999</v>
      </c>
      <c r="I267">
        <v>15</v>
      </c>
      <c r="J267">
        <f t="shared" si="14"/>
        <v>2870.9174999999996</v>
      </c>
      <c r="K267" t="s">
        <v>2021</v>
      </c>
      <c r="L267" t="str">
        <f>_xlfn.XLOOKUP(Orders[[#This Row],[ProductID]],Products!A:A,Products!C:C)</f>
        <v>Clothing</v>
      </c>
    </row>
    <row r="268" spans="1:12" x14ac:dyDescent="0.3">
      <c r="A268">
        <v>267</v>
      </c>
      <c r="B268">
        <v>267</v>
      </c>
      <c r="C268">
        <v>42</v>
      </c>
      <c r="D268" t="s">
        <v>2111</v>
      </c>
      <c r="E268">
        <f t="shared" si="12"/>
        <v>2023</v>
      </c>
      <c r="F268" t="str">
        <f t="shared" si="13"/>
        <v>Dec</v>
      </c>
      <c r="G268">
        <v>2</v>
      </c>
      <c r="H268">
        <f>_xlfn.XLOOKUP(C268,Products!A:A,Products!D:D)</f>
        <v>233.11</v>
      </c>
      <c r="I268">
        <v>20</v>
      </c>
      <c r="J268">
        <f t="shared" si="14"/>
        <v>372.97600000000006</v>
      </c>
      <c r="K268" t="s">
        <v>2017</v>
      </c>
      <c r="L268" t="str">
        <f>_xlfn.XLOOKUP(Orders[[#This Row],[ProductID]],Products!A:A,Products!C:C)</f>
        <v>Home</v>
      </c>
    </row>
    <row r="269" spans="1:12" x14ac:dyDescent="0.3">
      <c r="A269">
        <v>268</v>
      </c>
      <c r="B269">
        <v>268</v>
      </c>
      <c r="C269">
        <v>64</v>
      </c>
      <c r="D269" t="s">
        <v>516</v>
      </c>
      <c r="E269">
        <f t="shared" si="12"/>
        <v>2023</v>
      </c>
      <c r="F269" t="str">
        <f t="shared" si="13"/>
        <v>Aug</v>
      </c>
      <c r="G269">
        <v>2</v>
      </c>
      <c r="H269">
        <f>_xlfn.XLOOKUP(C269,Products!A:A,Products!D:D)</f>
        <v>567.71</v>
      </c>
      <c r="I269">
        <v>20</v>
      </c>
      <c r="J269">
        <f t="shared" si="14"/>
        <v>908.33600000000013</v>
      </c>
      <c r="K269" t="s">
        <v>2017</v>
      </c>
      <c r="L269" t="str">
        <f>_xlfn.XLOOKUP(Orders[[#This Row],[ProductID]],Products!A:A,Products!C:C)</f>
        <v>Clothing</v>
      </c>
    </row>
    <row r="270" spans="1:12" x14ac:dyDescent="0.3">
      <c r="A270">
        <v>269</v>
      </c>
      <c r="B270">
        <v>269</v>
      </c>
      <c r="C270">
        <v>75</v>
      </c>
      <c r="D270" t="s">
        <v>2112</v>
      </c>
      <c r="E270">
        <f t="shared" si="12"/>
        <v>2023</v>
      </c>
      <c r="F270" t="str">
        <f t="shared" si="13"/>
        <v>Nov</v>
      </c>
      <c r="G270">
        <v>1</v>
      </c>
      <c r="H270">
        <f>_xlfn.XLOOKUP(C270,Products!A:A,Products!D:D)</f>
        <v>390.41</v>
      </c>
      <c r="I270">
        <v>5</v>
      </c>
      <c r="J270">
        <f t="shared" si="14"/>
        <v>370.8895</v>
      </c>
      <c r="K270" t="s">
        <v>2021</v>
      </c>
      <c r="L270" t="str">
        <f>_xlfn.XLOOKUP(Orders[[#This Row],[ProductID]],Products!A:A,Products!C:C)</f>
        <v>Electronics</v>
      </c>
    </row>
    <row r="271" spans="1:12" x14ac:dyDescent="0.3">
      <c r="A271">
        <v>270</v>
      </c>
      <c r="B271">
        <v>270</v>
      </c>
      <c r="C271">
        <v>26</v>
      </c>
      <c r="D271" t="s">
        <v>1207</v>
      </c>
      <c r="E271">
        <f t="shared" si="12"/>
        <v>2023</v>
      </c>
      <c r="F271" t="str">
        <f t="shared" si="13"/>
        <v>Aug</v>
      </c>
      <c r="G271">
        <v>1</v>
      </c>
      <c r="H271">
        <f>_xlfn.XLOOKUP(C271,Products!A:A,Products!D:D)</f>
        <v>272.61</v>
      </c>
      <c r="I271">
        <v>15</v>
      </c>
      <c r="J271">
        <f t="shared" si="14"/>
        <v>231.71850000000001</v>
      </c>
      <c r="K271" t="s">
        <v>2021</v>
      </c>
      <c r="L271" t="str">
        <f>_xlfn.XLOOKUP(Orders[[#This Row],[ProductID]],Products!A:A,Products!C:C)</f>
        <v>Home</v>
      </c>
    </row>
    <row r="272" spans="1:12" x14ac:dyDescent="0.3">
      <c r="A272">
        <v>271</v>
      </c>
      <c r="B272">
        <v>271</v>
      </c>
      <c r="C272">
        <v>40</v>
      </c>
      <c r="D272" t="s">
        <v>1299</v>
      </c>
      <c r="E272">
        <f t="shared" si="12"/>
        <v>2023</v>
      </c>
      <c r="F272" t="str">
        <f t="shared" si="13"/>
        <v>Aug</v>
      </c>
      <c r="G272">
        <v>2</v>
      </c>
      <c r="H272">
        <f>_xlfn.XLOOKUP(C272,Products!A:A,Products!D:D)</f>
        <v>316.49</v>
      </c>
      <c r="I272">
        <v>20</v>
      </c>
      <c r="J272">
        <f t="shared" si="14"/>
        <v>506.38400000000001</v>
      </c>
      <c r="K272" t="s">
        <v>2021</v>
      </c>
      <c r="L272" t="str">
        <f>_xlfn.XLOOKUP(Orders[[#This Row],[ProductID]],Products!A:A,Products!C:C)</f>
        <v>Home</v>
      </c>
    </row>
    <row r="273" spans="1:12" x14ac:dyDescent="0.3">
      <c r="A273">
        <v>272</v>
      </c>
      <c r="B273">
        <v>272</v>
      </c>
      <c r="C273">
        <v>48</v>
      </c>
      <c r="D273" t="s">
        <v>308</v>
      </c>
      <c r="E273">
        <f t="shared" si="12"/>
        <v>2023</v>
      </c>
      <c r="F273" t="str">
        <f t="shared" si="13"/>
        <v>May</v>
      </c>
      <c r="G273">
        <v>3</v>
      </c>
      <c r="H273">
        <f>_xlfn.XLOOKUP(C273,Products!A:A,Products!D:D)</f>
        <v>1125.8499999999999</v>
      </c>
      <c r="I273">
        <v>0</v>
      </c>
      <c r="J273">
        <f t="shared" si="14"/>
        <v>3377.5499999999997</v>
      </c>
      <c r="K273" t="s">
        <v>2021</v>
      </c>
      <c r="L273" t="str">
        <f>_xlfn.XLOOKUP(Orders[[#This Row],[ProductID]],Products!A:A,Products!C:C)</f>
        <v>Clothing</v>
      </c>
    </row>
    <row r="274" spans="1:12" x14ac:dyDescent="0.3">
      <c r="A274">
        <v>273</v>
      </c>
      <c r="B274">
        <v>273</v>
      </c>
      <c r="C274">
        <v>11</v>
      </c>
      <c r="D274" t="s">
        <v>246</v>
      </c>
      <c r="E274">
        <f t="shared" si="12"/>
        <v>2023</v>
      </c>
      <c r="F274" t="str">
        <f t="shared" si="13"/>
        <v>Jun</v>
      </c>
      <c r="G274">
        <v>2</v>
      </c>
      <c r="H274">
        <f>_xlfn.XLOOKUP(C274,Products!A:A,Products!D:D)</f>
        <v>1038.77</v>
      </c>
      <c r="I274">
        <v>20</v>
      </c>
      <c r="J274">
        <f t="shared" si="14"/>
        <v>1662.0320000000002</v>
      </c>
      <c r="K274" t="s">
        <v>2024</v>
      </c>
      <c r="L274" t="str">
        <f>_xlfn.XLOOKUP(Orders[[#This Row],[ProductID]],Products!A:A,Products!C:C)</f>
        <v>Beauty</v>
      </c>
    </row>
    <row r="275" spans="1:12" x14ac:dyDescent="0.3">
      <c r="A275">
        <v>274</v>
      </c>
      <c r="B275">
        <v>274</v>
      </c>
      <c r="C275">
        <v>30</v>
      </c>
      <c r="D275" t="s">
        <v>408</v>
      </c>
      <c r="E275">
        <f t="shared" si="12"/>
        <v>2023</v>
      </c>
      <c r="F275" t="str">
        <f t="shared" si="13"/>
        <v>Oct</v>
      </c>
      <c r="G275">
        <v>1</v>
      </c>
      <c r="H275">
        <f>_xlfn.XLOOKUP(C275,Products!A:A,Products!D:D)</f>
        <v>866.89</v>
      </c>
      <c r="I275">
        <v>15</v>
      </c>
      <c r="J275">
        <f t="shared" si="14"/>
        <v>736.85649999999998</v>
      </c>
      <c r="K275" t="s">
        <v>2015</v>
      </c>
      <c r="L275" t="str">
        <f>_xlfn.XLOOKUP(Orders[[#This Row],[ProductID]],Products!A:A,Products!C:C)</f>
        <v>Electronics</v>
      </c>
    </row>
    <row r="276" spans="1:12" x14ac:dyDescent="0.3">
      <c r="A276">
        <v>275</v>
      </c>
      <c r="B276">
        <v>275</v>
      </c>
      <c r="C276">
        <v>80</v>
      </c>
      <c r="D276" t="s">
        <v>1909</v>
      </c>
      <c r="E276">
        <f t="shared" si="12"/>
        <v>2023</v>
      </c>
      <c r="F276" t="str">
        <f t="shared" si="13"/>
        <v>Jun</v>
      </c>
      <c r="G276">
        <v>2</v>
      </c>
      <c r="H276">
        <f>_xlfn.XLOOKUP(C276,Products!A:A,Products!D:D)</f>
        <v>1014.45</v>
      </c>
      <c r="I276">
        <v>15</v>
      </c>
      <c r="J276">
        <f t="shared" si="14"/>
        <v>1724.5650000000001</v>
      </c>
      <c r="K276" t="s">
        <v>2017</v>
      </c>
      <c r="L276" t="str">
        <f>_xlfn.XLOOKUP(Orders[[#This Row],[ProductID]],Products!A:A,Products!C:C)</f>
        <v>Beauty</v>
      </c>
    </row>
    <row r="277" spans="1:12" x14ac:dyDescent="0.3">
      <c r="A277">
        <v>276</v>
      </c>
      <c r="B277">
        <v>276</v>
      </c>
      <c r="C277">
        <v>56</v>
      </c>
      <c r="D277" t="s">
        <v>2113</v>
      </c>
      <c r="E277">
        <f t="shared" si="12"/>
        <v>2023</v>
      </c>
      <c r="F277" t="str">
        <f t="shared" si="13"/>
        <v>Jul</v>
      </c>
      <c r="G277">
        <v>2</v>
      </c>
      <c r="H277">
        <f>_xlfn.XLOOKUP(C277,Products!A:A,Products!D:D)</f>
        <v>396.01</v>
      </c>
      <c r="I277">
        <v>15</v>
      </c>
      <c r="J277">
        <f t="shared" si="14"/>
        <v>673.21699999999998</v>
      </c>
      <c r="K277" t="s">
        <v>2024</v>
      </c>
      <c r="L277" t="str">
        <f>_xlfn.XLOOKUP(Orders[[#This Row],[ProductID]],Products!A:A,Products!C:C)</f>
        <v>Home</v>
      </c>
    </row>
    <row r="278" spans="1:12" x14ac:dyDescent="0.3">
      <c r="A278">
        <v>277</v>
      </c>
      <c r="B278">
        <v>277</v>
      </c>
      <c r="C278">
        <v>35</v>
      </c>
      <c r="D278" t="s">
        <v>1339</v>
      </c>
      <c r="E278">
        <f t="shared" si="12"/>
        <v>2023</v>
      </c>
      <c r="F278" t="str">
        <f t="shared" si="13"/>
        <v>Jul</v>
      </c>
      <c r="G278">
        <v>1</v>
      </c>
      <c r="H278">
        <f>_xlfn.XLOOKUP(C278,Products!A:A,Products!D:D)</f>
        <v>958.87</v>
      </c>
      <c r="I278">
        <v>5</v>
      </c>
      <c r="J278">
        <f t="shared" si="14"/>
        <v>910.92649999999992</v>
      </c>
      <c r="K278" t="s">
        <v>2017</v>
      </c>
      <c r="L278" t="str">
        <f>_xlfn.XLOOKUP(Orders[[#This Row],[ProductID]],Products!A:A,Products!C:C)</f>
        <v>Clothing</v>
      </c>
    </row>
    <row r="279" spans="1:12" x14ac:dyDescent="0.3">
      <c r="A279">
        <v>278</v>
      </c>
      <c r="B279">
        <v>278</v>
      </c>
      <c r="C279">
        <v>30</v>
      </c>
      <c r="D279" t="s">
        <v>1225</v>
      </c>
      <c r="E279">
        <f t="shared" si="12"/>
        <v>2023</v>
      </c>
      <c r="F279" t="str">
        <f t="shared" si="13"/>
        <v>May</v>
      </c>
      <c r="G279">
        <v>3</v>
      </c>
      <c r="H279">
        <f>_xlfn.XLOOKUP(C279,Products!A:A,Products!D:D)</f>
        <v>866.89</v>
      </c>
      <c r="I279">
        <v>0</v>
      </c>
      <c r="J279">
        <f t="shared" si="14"/>
        <v>2600.67</v>
      </c>
      <c r="K279" t="s">
        <v>2024</v>
      </c>
      <c r="L279" t="str">
        <f>_xlfn.XLOOKUP(Orders[[#This Row],[ProductID]],Products!A:A,Products!C:C)</f>
        <v>Electronics</v>
      </c>
    </row>
    <row r="280" spans="1:12" x14ac:dyDescent="0.3">
      <c r="A280">
        <v>279</v>
      </c>
      <c r="B280">
        <v>279</v>
      </c>
      <c r="C280">
        <v>11</v>
      </c>
      <c r="D280" t="s">
        <v>1872</v>
      </c>
      <c r="E280">
        <f t="shared" si="12"/>
        <v>2023</v>
      </c>
      <c r="F280" t="str">
        <f t="shared" si="13"/>
        <v>May</v>
      </c>
      <c r="G280">
        <v>3</v>
      </c>
      <c r="H280">
        <f>_xlfn.XLOOKUP(C280,Products!A:A,Products!D:D)</f>
        <v>1038.77</v>
      </c>
      <c r="I280">
        <v>20</v>
      </c>
      <c r="J280">
        <f t="shared" si="14"/>
        <v>2493.0480000000002</v>
      </c>
      <c r="K280" t="s">
        <v>2015</v>
      </c>
      <c r="L280" t="str">
        <f>_xlfn.XLOOKUP(Orders[[#This Row],[ProductID]],Products!A:A,Products!C:C)</f>
        <v>Beauty</v>
      </c>
    </row>
    <row r="281" spans="1:12" x14ac:dyDescent="0.3">
      <c r="A281">
        <v>280</v>
      </c>
      <c r="B281">
        <v>280</v>
      </c>
      <c r="C281">
        <v>11</v>
      </c>
      <c r="D281" t="s">
        <v>2105</v>
      </c>
      <c r="E281">
        <f t="shared" si="12"/>
        <v>2024</v>
      </c>
      <c r="F281" t="str">
        <f t="shared" si="13"/>
        <v>Feb</v>
      </c>
      <c r="G281">
        <v>2</v>
      </c>
      <c r="H281">
        <f>_xlfn.XLOOKUP(C281,Products!A:A,Products!D:D)</f>
        <v>1038.77</v>
      </c>
      <c r="I281">
        <v>5</v>
      </c>
      <c r="J281">
        <f t="shared" si="14"/>
        <v>1973.6629999999998</v>
      </c>
      <c r="K281" t="s">
        <v>2019</v>
      </c>
      <c r="L281" t="str">
        <f>_xlfn.XLOOKUP(Orders[[#This Row],[ProductID]],Products!A:A,Products!C:C)</f>
        <v>Beauty</v>
      </c>
    </row>
    <row r="282" spans="1:12" x14ac:dyDescent="0.3">
      <c r="A282">
        <v>281</v>
      </c>
      <c r="B282">
        <v>281</v>
      </c>
      <c r="C282">
        <v>16</v>
      </c>
      <c r="D282" t="s">
        <v>1002</v>
      </c>
      <c r="E282">
        <f t="shared" si="12"/>
        <v>2023</v>
      </c>
      <c r="F282" t="str">
        <f t="shared" si="13"/>
        <v>Feb</v>
      </c>
      <c r="G282">
        <v>2</v>
      </c>
      <c r="H282">
        <f>_xlfn.XLOOKUP(C282,Products!A:A,Products!D:D)</f>
        <v>693.02</v>
      </c>
      <c r="I282">
        <v>0</v>
      </c>
      <c r="J282">
        <f t="shared" si="14"/>
        <v>1386.04</v>
      </c>
      <c r="K282" t="s">
        <v>2015</v>
      </c>
      <c r="L282" t="str">
        <f>_xlfn.XLOOKUP(Orders[[#This Row],[ProductID]],Products!A:A,Products!C:C)</f>
        <v>Home</v>
      </c>
    </row>
    <row r="283" spans="1:12" x14ac:dyDescent="0.3">
      <c r="A283">
        <v>282</v>
      </c>
      <c r="B283">
        <v>282</v>
      </c>
      <c r="C283">
        <v>26</v>
      </c>
      <c r="D283" t="s">
        <v>150</v>
      </c>
      <c r="E283">
        <f t="shared" si="12"/>
        <v>2023</v>
      </c>
      <c r="F283" t="str">
        <f t="shared" si="13"/>
        <v>Jun</v>
      </c>
      <c r="G283">
        <v>1</v>
      </c>
      <c r="H283">
        <f>_xlfn.XLOOKUP(C283,Products!A:A,Products!D:D)</f>
        <v>272.61</v>
      </c>
      <c r="I283">
        <v>10</v>
      </c>
      <c r="J283">
        <f t="shared" si="14"/>
        <v>245.34900000000002</v>
      </c>
      <c r="K283" t="s">
        <v>2024</v>
      </c>
      <c r="L283" t="str">
        <f>_xlfn.XLOOKUP(Orders[[#This Row],[ProductID]],Products!A:A,Products!C:C)</f>
        <v>Home</v>
      </c>
    </row>
    <row r="284" spans="1:12" x14ac:dyDescent="0.3">
      <c r="A284">
        <v>283</v>
      </c>
      <c r="B284">
        <v>283</v>
      </c>
      <c r="C284">
        <v>39</v>
      </c>
      <c r="D284" t="s">
        <v>2114</v>
      </c>
      <c r="E284">
        <f t="shared" si="12"/>
        <v>2024</v>
      </c>
      <c r="F284" t="str">
        <f t="shared" si="13"/>
        <v>Jan</v>
      </c>
      <c r="G284">
        <v>3</v>
      </c>
      <c r="H284">
        <f>_xlfn.XLOOKUP(C284,Products!A:A,Products!D:D)</f>
        <v>256.08999999999997</v>
      </c>
      <c r="I284">
        <v>10</v>
      </c>
      <c r="J284">
        <f t="shared" si="14"/>
        <v>691.44299999999998</v>
      </c>
      <c r="K284" t="s">
        <v>2021</v>
      </c>
      <c r="L284" t="str">
        <f>_xlfn.XLOOKUP(Orders[[#This Row],[ProductID]],Products!A:A,Products!C:C)</f>
        <v>Clothing</v>
      </c>
    </row>
    <row r="285" spans="1:12" x14ac:dyDescent="0.3">
      <c r="A285">
        <v>284</v>
      </c>
      <c r="B285">
        <v>284</v>
      </c>
      <c r="C285">
        <v>78</v>
      </c>
      <c r="D285" t="s">
        <v>331</v>
      </c>
      <c r="E285">
        <f t="shared" si="12"/>
        <v>2023</v>
      </c>
      <c r="F285" t="str">
        <f t="shared" si="13"/>
        <v>Mar</v>
      </c>
      <c r="G285">
        <v>3</v>
      </c>
      <c r="H285">
        <f>_xlfn.XLOOKUP(C285,Products!A:A,Products!D:D)</f>
        <v>795.77</v>
      </c>
      <c r="I285">
        <v>20</v>
      </c>
      <c r="J285">
        <f t="shared" si="14"/>
        <v>1909.848</v>
      </c>
      <c r="K285" t="s">
        <v>2024</v>
      </c>
      <c r="L285" t="str">
        <f>_xlfn.XLOOKUP(Orders[[#This Row],[ProductID]],Products!A:A,Products!C:C)</f>
        <v>Beauty</v>
      </c>
    </row>
    <row r="286" spans="1:12" x14ac:dyDescent="0.3">
      <c r="A286">
        <v>285</v>
      </c>
      <c r="B286">
        <v>285</v>
      </c>
      <c r="C286">
        <v>2</v>
      </c>
      <c r="D286" t="s">
        <v>2115</v>
      </c>
      <c r="E286">
        <f t="shared" si="12"/>
        <v>2024</v>
      </c>
      <c r="F286" t="str">
        <f t="shared" si="13"/>
        <v>Jan</v>
      </c>
      <c r="G286">
        <v>2</v>
      </c>
      <c r="H286">
        <f>_xlfn.XLOOKUP(C286,Products!A:A,Products!D:D)</f>
        <v>427.27</v>
      </c>
      <c r="I286">
        <v>10</v>
      </c>
      <c r="J286">
        <f t="shared" si="14"/>
        <v>769.08600000000001</v>
      </c>
      <c r="K286" t="s">
        <v>2024</v>
      </c>
      <c r="L286" t="str">
        <f>_xlfn.XLOOKUP(Orders[[#This Row],[ProductID]],Products!A:A,Products!C:C)</f>
        <v>Home</v>
      </c>
    </row>
    <row r="287" spans="1:12" x14ac:dyDescent="0.3">
      <c r="A287">
        <v>286</v>
      </c>
      <c r="B287">
        <v>286</v>
      </c>
      <c r="C287">
        <v>52</v>
      </c>
      <c r="D287" t="s">
        <v>2116</v>
      </c>
      <c r="E287">
        <f t="shared" si="12"/>
        <v>2024</v>
      </c>
      <c r="F287" t="str">
        <f t="shared" si="13"/>
        <v>Apr</v>
      </c>
      <c r="G287">
        <v>2</v>
      </c>
      <c r="H287">
        <f>_xlfn.XLOOKUP(C287,Products!A:A,Products!D:D)</f>
        <v>256.76</v>
      </c>
      <c r="I287">
        <v>20</v>
      </c>
      <c r="J287">
        <f t="shared" si="14"/>
        <v>410.81600000000003</v>
      </c>
      <c r="K287" t="s">
        <v>2019</v>
      </c>
      <c r="L287" t="str">
        <f>_xlfn.XLOOKUP(Orders[[#This Row],[ProductID]],Products!A:A,Products!C:C)</f>
        <v>Home</v>
      </c>
    </row>
    <row r="288" spans="1:12" x14ac:dyDescent="0.3">
      <c r="A288">
        <v>287</v>
      </c>
      <c r="B288">
        <v>287</v>
      </c>
      <c r="C288">
        <v>61</v>
      </c>
      <c r="D288" t="s">
        <v>1201</v>
      </c>
      <c r="E288">
        <f t="shared" si="12"/>
        <v>2023</v>
      </c>
      <c r="F288" t="str">
        <f t="shared" si="13"/>
        <v>Dec</v>
      </c>
      <c r="G288">
        <v>3</v>
      </c>
      <c r="H288">
        <f>_xlfn.XLOOKUP(C288,Products!A:A,Products!D:D)</f>
        <v>498.92</v>
      </c>
      <c r="I288">
        <v>5</v>
      </c>
      <c r="J288">
        <f t="shared" si="14"/>
        <v>1421.922</v>
      </c>
      <c r="K288" t="s">
        <v>2017</v>
      </c>
      <c r="L288" t="str">
        <f>_xlfn.XLOOKUP(Orders[[#This Row],[ProductID]],Products!A:A,Products!C:C)</f>
        <v>Clothing</v>
      </c>
    </row>
    <row r="289" spans="1:12" x14ac:dyDescent="0.3">
      <c r="A289">
        <v>288</v>
      </c>
      <c r="B289">
        <v>288</v>
      </c>
      <c r="C289">
        <v>30</v>
      </c>
      <c r="D289" t="s">
        <v>2117</v>
      </c>
      <c r="E289">
        <f t="shared" si="12"/>
        <v>2023</v>
      </c>
      <c r="F289" t="str">
        <f t="shared" si="13"/>
        <v>Apr</v>
      </c>
      <c r="G289">
        <v>3</v>
      </c>
      <c r="H289">
        <f>_xlfn.XLOOKUP(C289,Products!A:A,Products!D:D)</f>
        <v>866.89</v>
      </c>
      <c r="I289">
        <v>5</v>
      </c>
      <c r="J289">
        <f t="shared" si="14"/>
        <v>2470.6365000000001</v>
      </c>
      <c r="K289" t="s">
        <v>2017</v>
      </c>
      <c r="L289" t="str">
        <f>_xlfn.XLOOKUP(Orders[[#This Row],[ProductID]],Products!A:A,Products!C:C)</f>
        <v>Electronics</v>
      </c>
    </row>
    <row r="290" spans="1:12" x14ac:dyDescent="0.3">
      <c r="A290">
        <v>289</v>
      </c>
      <c r="B290">
        <v>289</v>
      </c>
      <c r="C290">
        <v>30</v>
      </c>
      <c r="D290" t="s">
        <v>1263</v>
      </c>
      <c r="E290">
        <f t="shared" si="12"/>
        <v>2023</v>
      </c>
      <c r="F290" t="str">
        <f t="shared" si="13"/>
        <v>Sep</v>
      </c>
      <c r="G290">
        <v>3</v>
      </c>
      <c r="H290">
        <f>_xlfn.XLOOKUP(C290,Products!A:A,Products!D:D)</f>
        <v>866.89</v>
      </c>
      <c r="I290">
        <v>20</v>
      </c>
      <c r="J290">
        <f t="shared" si="14"/>
        <v>2080.5360000000001</v>
      </c>
      <c r="K290" t="s">
        <v>2017</v>
      </c>
      <c r="L290" t="str">
        <f>_xlfn.XLOOKUP(Orders[[#This Row],[ProductID]],Products!A:A,Products!C:C)</f>
        <v>Electronics</v>
      </c>
    </row>
    <row r="291" spans="1:12" x14ac:dyDescent="0.3">
      <c r="A291">
        <v>290</v>
      </c>
      <c r="B291">
        <v>290</v>
      </c>
      <c r="C291">
        <v>60</v>
      </c>
      <c r="D291" t="s">
        <v>623</v>
      </c>
      <c r="E291">
        <f t="shared" si="12"/>
        <v>2023</v>
      </c>
      <c r="F291" t="str">
        <f t="shared" si="13"/>
        <v>Jun</v>
      </c>
      <c r="G291">
        <v>1</v>
      </c>
      <c r="H291">
        <f>_xlfn.XLOOKUP(C291,Products!A:A,Products!D:D)</f>
        <v>830.49</v>
      </c>
      <c r="I291">
        <v>10</v>
      </c>
      <c r="J291">
        <f t="shared" si="14"/>
        <v>747.44100000000003</v>
      </c>
      <c r="K291" t="s">
        <v>2021</v>
      </c>
      <c r="L291" t="str">
        <f>_xlfn.XLOOKUP(Orders[[#This Row],[ProductID]],Products!A:A,Products!C:C)</f>
        <v>Clothing</v>
      </c>
    </row>
    <row r="292" spans="1:12" x14ac:dyDescent="0.3">
      <c r="A292">
        <v>291</v>
      </c>
      <c r="B292">
        <v>291</v>
      </c>
      <c r="C292">
        <v>55</v>
      </c>
      <c r="D292" t="s">
        <v>2115</v>
      </c>
      <c r="E292">
        <f t="shared" si="12"/>
        <v>2024</v>
      </c>
      <c r="F292" t="str">
        <f t="shared" si="13"/>
        <v>Jan</v>
      </c>
      <c r="G292">
        <v>3</v>
      </c>
      <c r="H292">
        <f>_xlfn.XLOOKUP(C292,Products!A:A,Products!D:D)</f>
        <v>1016.06</v>
      </c>
      <c r="I292">
        <v>15</v>
      </c>
      <c r="J292">
        <f t="shared" si="14"/>
        <v>2590.953</v>
      </c>
      <c r="K292" t="s">
        <v>2021</v>
      </c>
      <c r="L292" t="str">
        <f>_xlfn.XLOOKUP(Orders[[#This Row],[ProductID]],Products!A:A,Products!C:C)</f>
        <v>Clothing</v>
      </c>
    </row>
    <row r="293" spans="1:12" x14ac:dyDescent="0.3">
      <c r="A293">
        <v>292</v>
      </c>
      <c r="B293">
        <v>292</v>
      </c>
      <c r="C293">
        <v>57</v>
      </c>
      <c r="D293" t="s">
        <v>2118</v>
      </c>
      <c r="E293">
        <f t="shared" si="12"/>
        <v>2023</v>
      </c>
      <c r="F293" t="str">
        <f t="shared" si="13"/>
        <v>Aug</v>
      </c>
      <c r="G293">
        <v>3</v>
      </c>
      <c r="H293">
        <f>_xlfn.XLOOKUP(C293,Products!A:A,Products!D:D)</f>
        <v>768.03</v>
      </c>
      <c r="I293">
        <v>0</v>
      </c>
      <c r="J293">
        <f t="shared" si="14"/>
        <v>2304.09</v>
      </c>
      <c r="K293" t="s">
        <v>2024</v>
      </c>
      <c r="L293" t="str">
        <f>_xlfn.XLOOKUP(Orders[[#This Row],[ProductID]],Products!A:A,Products!C:C)</f>
        <v>Electronics</v>
      </c>
    </row>
    <row r="294" spans="1:12" x14ac:dyDescent="0.3">
      <c r="A294">
        <v>293</v>
      </c>
      <c r="B294">
        <v>293</v>
      </c>
      <c r="C294">
        <v>18</v>
      </c>
      <c r="D294" t="s">
        <v>499</v>
      </c>
      <c r="E294">
        <f t="shared" si="12"/>
        <v>2023</v>
      </c>
      <c r="F294" t="str">
        <f t="shared" si="13"/>
        <v>Oct</v>
      </c>
      <c r="G294">
        <v>1</v>
      </c>
      <c r="H294">
        <f>_xlfn.XLOOKUP(C294,Products!A:A,Products!D:D)</f>
        <v>138.07</v>
      </c>
      <c r="I294">
        <v>10</v>
      </c>
      <c r="J294">
        <f t="shared" si="14"/>
        <v>124.26299999999999</v>
      </c>
      <c r="K294" t="s">
        <v>2019</v>
      </c>
      <c r="L294" t="str">
        <f>_xlfn.XLOOKUP(Orders[[#This Row],[ProductID]],Products!A:A,Products!C:C)</f>
        <v>Home</v>
      </c>
    </row>
    <row r="295" spans="1:12" x14ac:dyDescent="0.3">
      <c r="A295">
        <v>294</v>
      </c>
      <c r="B295">
        <v>294</v>
      </c>
      <c r="C295">
        <v>64</v>
      </c>
      <c r="D295" t="s">
        <v>2119</v>
      </c>
      <c r="E295">
        <f t="shared" si="12"/>
        <v>2024</v>
      </c>
      <c r="F295" t="str">
        <f t="shared" si="13"/>
        <v>Feb</v>
      </c>
      <c r="G295">
        <v>3</v>
      </c>
      <c r="H295">
        <f>_xlfn.XLOOKUP(C295,Products!A:A,Products!D:D)</f>
        <v>567.71</v>
      </c>
      <c r="I295">
        <v>10</v>
      </c>
      <c r="J295">
        <f t="shared" si="14"/>
        <v>1532.8170000000002</v>
      </c>
      <c r="K295" t="s">
        <v>2024</v>
      </c>
      <c r="L295" t="str">
        <f>_xlfn.XLOOKUP(Orders[[#This Row],[ProductID]],Products!A:A,Products!C:C)</f>
        <v>Clothing</v>
      </c>
    </row>
    <row r="296" spans="1:12" x14ac:dyDescent="0.3">
      <c r="A296">
        <v>295</v>
      </c>
      <c r="B296">
        <v>295</v>
      </c>
      <c r="C296">
        <v>29</v>
      </c>
      <c r="D296" t="s">
        <v>2120</v>
      </c>
      <c r="E296">
        <f t="shared" si="12"/>
        <v>2023</v>
      </c>
      <c r="F296" t="str">
        <f t="shared" si="13"/>
        <v>Aug</v>
      </c>
      <c r="G296">
        <v>2</v>
      </c>
      <c r="H296">
        <f>_xlfn.XLOOKUP(C296,Products!A:A,Products!D:D)</f>
        <v>757</v>
      </c>
      <c r="I296">
        <v>15</v>
      </c>
      <c r="J296">
        <f t="shared" si="14"/>
        <v>1286.8999999999999</v>
      </c>
      <c r="K296" t="s">
        <v>2015</v>
      </c>
      <c r="L296" t="str">
        <f>_xlfn.XLOOKUP(Orders[[#This Row],[ProductID]],Products!A:A,Products!C:C)</f>
        <v>Clothing</v>
      </c>
    </row>
    <row r="297" spans="1:12" x14ac:dyDescent="0.3">
      <c r="A297">
        <v>296</v>
      </c>
      <c r="B297">
        <v>296</v>
      </c>
      <c r="C297">
        <v>39</v>
      </c>
      <c r="D297" t="s">
        <v>2121</v>
      </c>
      <c r="E297">
        <f t="shared" si="12"/>
        <v>2023</v>
      </c>
      <c r="F297" t="str">
        <f t="shared" si="13"/>
        <v>Jun</v>
      </c>
      <c r="G297">
        <v>3</v>
      </c>
      <c r="H297">
        <f>_xlfn.XLOOKUP(C297,Products!A:A,Products!D:D)</f>
        <v>256.08999999999997</v>
      </c>
      <c r="I297">
        <v>0</v>
      </c>
      <c r="J297">
        <f t="shared" si="14"/>
        <v>768.27</v>
      </c>
      <c r="K297" t="s">
        <v>2015</v>
      </c>
      <c r="L297" t="str">
        <f>_xlfn.XLOOKUP(Orders[[#This Row],[ProductID]],Products!A:A,Products!C:C)</f>
        <v>Clothing</v>
      </c>
    </row>
    <row r="298" spans="1:12" x14ac:dyDescent="0.3">
      <c r="A298">
        <v>297</v>
      </c>
      <c r="B298">
        <v>297</v>
      </c>
      <c r="C298">
        <v>5</v>
      </c>
      <c r="D298" t="s">
        <v>2122</v>
      </c>
      <c r="E298">
        <f t="shared" si="12"/>
        <v>2024</v>
      </c>
      <c r="F298" t="str">
        <f t="shared" si="13"/>
        <v>Apr</v>
      </c>
      <c r="G298">
        <v>1</v>
      </c>
      <c r="H298">
        <f>_xlfn.XLOOKUP(C298,Products!A:A,Products!D:D)</f>
        <v>296.85000000000002</v>
      </c>
      <c r="I298">
        <v>5</v>
      </c>
      <c r="J298">
        <f t="shared" si="14"/>
        <v>282.00749999999999</v>
      </c>
      <c r="K298" t="s">
        <v>2024</v>
      </c>
      <c r="L298" t="str">
        <f>_xlfn.XLOOKUP(Orders[[#This Row],[ProductID]],Products!A:A,Products!C:C)</f>
        <v>Clothing</v>
      </c>
    </row>
    <row r="299" spans="1:12" x14ac:dyDescent="0.3">
      <c r="A299">
        <v>298</v>
      </c>
      <c r="B299">
        <v>298</v>
      </c>
      <c r="C299">
        <v>73</v>
      </c>
      <c r="D299" t="s">
        <v>1396</v>
      </c>
      <c r="E299">
        <f t="shared" si="12"/>
        <v>2023</v>
      </c>
      <c r="F299" t="str">
        <f t="shared" si="13"/>
        <v>Nov</v>
      </c>
      <c r="G299">
        <v>3</v>
      </c>
      <c r="H299">
        <f>_xlfn.XLOOKUP(C299,Products!A:A,Products!D:D)</f>
        <v>943.04</v>
      </c>
      <c r="I299">
        <v>20</v>
      </c>
      <c r="J299">
        <f t="shared" si="14"/>
        <v>2263.2959999999998</v>
      </c>
      <c r="K299" t="s">
        <v>2015</v>
      </c>
      <c r="L299" t="str">
        <f>_xlfn.XLOOKUP(Orders[[#This Row],[ProductID]],Products!A:A,Products!C:C)</f>
        <v>Home</v>
      </c>
    </row>
    <row r="300" spans="1:12" x14ac:dyDescent="0.3">
      <c r="A300">
        <v>299</v>
      </c>
      <c r="B300">
        <v>299</v>
      </c>
      <c r="C300">
        <v>51</v>
      </c>
      <c r="D300" t="s">
        <v>1339</v>
      </c>
      <c r="E300">
        <f t="shared" si="12"/>
        <v>2023</v>
      </c>
      <c r="F300" t="str">
        <f t="shared" si="13"/>
        <v>Jul</v>
      </c>
      <c r="G300">
        <v>1</v>
      </c>
      <c r="H300">
        <f>_xlfn.XLOOKUP(C300,Products!A:A,Products!D:D)</f>
        <v>759.57</v>
      </c>
      <c r="I300">
        <v>15</v>
      </c>
      <c r="J300">
        <f t="shared" si="14"/>
        <v>645.6345</v>
      </c>
      <c r="K300" t="s">
        <v>2019</v>
      </c>
      <c r="L300" t="str">
        <f>_xlfn.XLOOKUP(Orders[[#This Row],[ProductID]],Products!A:A,Products!C:C)</f>
        <v>Beauty</v>
      </c>
    </row>
    <row r="301" spans="1:12" x14ac:dyDescent="0.3">
      <c r="A301">
        <v>300</v>
      </c>
      <c r="B301">
        <v>300</v>
      </c>
      <c r="C301">
        <v>69</v>
      </c>
      <c r="D301" t="s">
        <v>401</v>
      </c>
      <c r="E301">
        <f t="shared" si="12"/>
        <v>2023</v>
      </c>
      <c r="F301" t="str">
        <f t="shared" si="13"/>
        <v>Jul</v>
      </c>
      <c r="G301">
        <v>1</v>
      </c>
      <c r="H301">
        <f>_xlfn.XLOOKUP(C301,Products!A:A,Products!D:D)</f>
        <v>951.81</v>
      </c>
      <c r="I301">
        <v>15</v>
      </c>
      <c r="J301">
        <f t="shared" si="14"/>
        <v>809.03849999999989</v>
      </c>
      <c r="K301" t="s">
        <v>2019</v>
      </c>
      <c r="L301" t="str">
        <f>_xlfn.XLOOKUP(Orders[[#This Row],[ProductID]],Products!A:A,Products!C:C)</f>
        <v>Clothing</v>
      </c>
    </row>
    <row r="302" spans="1:12" x14ac:dyDescent="0.3">
      <c r="A302">
        <v>301</v>
      </c>
      <c r="B302">
        <v>301</v>
      </c>
      <c r="C302">
        <v>43</v>
      </c>
      <c r="D302" t="s">
        <v>73</v>
      </c>
      <c r="E302">
        <f t="shared" si="12"/>
        <v>2023</v>
      </c>
      <c r="F302" t="str">
        <f t="shared" si="13"/>
        <v>Oct</v>
      </c>
      <c r="G302">
        <v>2</v>
      </c>
      <c r="H302">
        <f>_xlfn.XLOOKUP(C302,Products!A:A,Products!D:D)</f>
        <v>760.86</v>
      </c>
      <c r="I302">
        <v>10</v>
      </c>
      <c r="J302">
        <f t="shared" si="14"/>
        <v>1369.548</v>
      </c>
      <c r="K302" t="s">
        <v>2019</v>
      </c>
      <c r="L302" t="str">
        <f>_xlfn.XLOOKUP(Orders[[#This Row],[ProductID]],Products!A:A,Products!C:C)</f>
        <v>Electronics</v>
      </c>
    </row>
    <row r="303" spans="1:12" x14ac:dyDescent="0.3">
      <c r="A303">
        <v>302</v>
      </c>
      <c r="B303">
        <v>302</v>
      </c>
      <c r="C303">
        <v>22</v>
      </c>
      <c r="D303" t="s">
        <v>1452</v>
      </c>
      <c r="E303">
        <f t="shared" si="12"/>
        <v>2023</v>
      </c>
      <c r="F303" t="str">
        <f t="shared" si="13"/>
        <v>Feb</v>
      </c>
      <c r="G303">
        <v>3</v>
      </c>
      <c r="H303">
        <f>_xlfn.XLOOKUP(C303,Products!A:A,Products!D:D)</f>
        <v>373.43</v>
      </c>
      <c r="I303">
        <v>20</v>
      </c>
      <c r="J303">
        <f t="shared" si="14"/>
        <v>896.23199999999997</v>
      </c>
      <c r="K303" t="s">
        <v>2021</v>
      </c>
      <c r="L303" t="str">
        <f>_xlfn.XLOOKUP(Orders[[#This Row],[ProductID]],Products!A:A,Products!C:C)</f>
        <v>Beauty</v>
      </c>
    </row>
    <row r="304" spans="1:12" x14ac:dyDescent="0.3">
      <c r="A304">
        <v>303</v>
      </c>
      <c r="B304">
        <v>303</v>
      </c>
      <c r="C304">
        <v>5</v>
      </c>
      <c r="D304" t="s">
        <v>2052</v>
      </c>
      <c r="E304">
        <f t="shared" si="12"/>
        <v>2024</v>
      </c>
      <c r="F304" t="str">
        <f t="shared" si="13"/>
        <v>Feb</v>
      </c>
      <c r="G304">
        <v>3</v>
      </c>
      <c r="H304">
        <f>_xlfn.XLOOKUP(C304,Products!A:A,Products!D:D)</f>
        <v>296.85000000000002</v>
      </c>
      <c r="I304">
        <v>20</v>
      </c>
      <c r="J304">
        <f t="shared" si="14"/>
        <v>712.44</v>
      </c>
      <c r="K304" t="s">
        <v>2017</v>
      </c>
      <c r="L304" t="str">
        <f>_xlfn.XLOOKUP(Orders[[#This Row],[ProductID]],Products!A:A,Products!C:C)</f>
        <v>Clothing</v>
      </c>
    </row>
    <row r="305" spans="1:12" x14ac:dyDescent="0.3">
      <c r="A305">
        <v>304</v>
      </c>
      <c r="B305">
        <v>304</v>
      </c>
      <c r="C305">
        <v>4</v>
      </c>
      <c r="D305" t="s">
        <v>996</v>
      </c>
      <c r="E305">
        <f t="shared" si="12"/>
        <v>2023</v>
      </c>
      <c r="F305" t="str">
        <f t="shared" si="13"/>
        <v>Apr</v>
      </c>
      <c r="G305">
        <v>1</v>
      </c>
      <c r="H305">
        <f>_xlfn.XLOOKUP(C305,Products!A:A,Products!D:D)</f>
        <v>800.26</v>
      </c>
      <c r="I305">
        <v>0</v>
      </c>
      <c r="J305">
        <f t="shared" si="14"/>
        <v>800.26</v>
      </c>
      <c r="K305" t="s">
        <v>2017</v>
      </c>
      <c r="L305" t="str">
        <f>_xlfn.XLOOKUP(Orders[[#This Row],[ProductID]],Products!A:A,Products!C:C)</f>
        <v>Electronics</v>
      </c>
    </row>
    <row r="306" spans="1:12" x14ac:dyDescent="0.3">
      <c r="A306">
        <v>305</v>
      </c>
      <c r="B306">
        <v>305</v>
      </c>
      <c r="C306">
        <v>37</v>
      </c>
      <c r="D306" t="s">
        <v>1312</v>
      </c>
      <c r="E306">
        <f t="shared" si="12"/>
        <v>2023</v>
      </c>
      <c r="F306" t="str">
        <f t="shared" si="13"/>
        <v>Apr</v>
      </c>
      <c r="G306">
        <v>1</v>
      </c>
      <c r="H306">
        <f>_xlfn.XLOOKUP(C306,Products!A:A,Products!D:D)</f>
        <v>968.87</v>
      </c>
      <c r="I306">
        <v>10</v>
      </c>
      <c r="J306">
        <f t="shared" si="14"/>
        <v>871.98300000000006</v>
      </c>
      <c r="K306" t="s">
        <v>2015</v>
      </c>
      <c r="L306" t="str">
        <f>_xlfn.XLOOKUP(Orders[[#This Row],[ProductID]],Products!A:A,Products!C:C)</f>
        <v>Home</v>
      </c>
    </row>
    <row r="307" spans="1:12" x14ac:dyDescent="0.3">
      <c r="A307">
        <v>306</v>
      </c>
      <c r="B307">
        <v>306</v>
      </c>
      <c r="C307">
        <v>9</v>
      </c>
      <c r="D307" t="s">
        <v>1976</v>
      </c>
      <c r="E307">
        <f t="shared" si="12"/>
        <v>2023</v>
      </c>
      <c r="F307" t="str">
        <f t="shared" si="13"/>
        <v>Aug</v>
      </c>
      <c r="G307">
        <v>1</v>
      </c>
      <c r="H307">
        <f>_xlfn.XLOOKUP(C307,Products!A:A,Products!D:D)</f>
        <v>43.26</v>
      </c>
      <c r="I307">
        <v>10</v>
      </c>
      <c r="J307">
        <f t="shared" si="14"/>
        <v>38.933999999999997</v>
      </c>
      <c r="K307" t="s">
        <v>2015</v>
      </c>
      <c r="L307" t="str">
        <f>_xlfn.XLOOKUP(Orders[[#This Row],[ProductID]],Products!A:A,Products!C:C)</f>
        <v>Electronics</v>
      </c>
    </row>
    <row r="308" spans="1:12" x14ac:dyDescent="0.3">
      <c r="A308">
        <v>307</v>
      </c>
      <c r="B308">
        <v>307</v>
      </c>
      <c r="C308">
        <v>2</v>
      </c>
      <c r="D308" t="s">
        <v>2123</v>
      </c>
      <c r="E308">
        <f t="shared" si="12"/>
        <v>2023</v>
      </c>
      <c r="F308" t="str">
        <f t="shared" si="13"/>
        <v>Mar</v>
      </c>
      <c r="G308">
        <v>2</v>
      </c>
      <c r="H308">
        <f>_xlfn.XLOOKUP(C308,Products!A:A,Products!D:D)</f>
        <v>427.27</v>
      </c>
      <c r="I308">
        <v>15</v>
      </c>
      <c r="J308">
        <f t="shared" si="14"/>
        <v>726.35899999999992</v>
      </c>
      <c r="K308" t="s">
        <v>2017</v>
      </c>
      <c r="L308" t="str">
        <f>_xlfn.XLOOKUP(Orders[[#This Row],[ProductID]],Products!A:A,Products!C:C)</f>
        <v>Home</v>
      </c>
    </row>
    <row r="309" spans="1:12" x14ac:dyDescent="0.3">
      <c r="A309">
        <v>308</v>
      </c>
      <c r="B309">
        <v>308</v>
      </c>
      <c r="C309">
        <v>21</v>
      </c>
      <c r="D309" t="s">
        <v>192</v>
      </c>
      <c r="E309">
        <f t="shared" si="12"/>
        <v>2023</v>
      </c>
      <c r="F309" t="str">
        <f t="shared" si="13"/>
        <v>Feb</v>
      </c>
      <c r="G309">
        <v>1</v>
      </c>
      <c r="H309">
        <f>_xlfn.XLOOKUP(C309,Products!A:A,Products!D:D)</f>
        <v>420.66</v>
      </c>
      <c r="I309">
        <v>20</v>
      </c>
      <c r="J309">
        <f t="shared" si="14"/>
        <v>336.52800000000002</v>
      </c>
      <c r="K309" t="s">
        <v>2017</v>
      </c>
      <c r="L309" t="str">
        <f>_xlfn.XLOOKUP(Orders[[#This Row],[ProductID]],Products!A:A,Products!C:C)</f>
        <v>Beauty</v>
      </c>
    </row>
    <row r="310" spans="1:12" x14ac:dyDescent="0.3">
      <c r="A310">
        <v>309</v>
      </c>
      <c r="B310">
        <v>309</v>
      </c>
      <c r="C310">
        <v>62</v>
      </c>
      <c r="D310" t="s">
        <v>2089</v>
      </c>
      <c r="E310">
        <f t="shared" si="12"/>
        <v>2024</v>
      </c>
      <c r="F310" t="str">
        <f t="shared" si="13"/>
        <v>Jan</v>
      </c>
      <c r="G310">
        <v>1</v>
      </c>
      <c r="H310">
        <f>_xlfn.XLOOKUP(C310,Products!A:A,Products!D:D)</f>
        <v>196.96</v>
      </c>
      <c r="I310">
        <v>15</v>
      </c>
      <c r="J310">
        <f t="shared" si="14"/>
        <v>167.416</v>
      </c>
      <c r="K310" t="s">
        <v>2021</v>
      </c>
      <c r="L310" t="str">
        <f>_xlfn.XLOOKUP(Orders[[#This Row],[ProductID]],Products!A:A,Products!C:C)</f>
        <v>Electronics</v>
      </c>
    </row>
    <row r="311" spans="1:12" x14ac:dyDescent="0.3">
      <c r="A311">
        <v>310</v>
      </c>
      <c r="B311">
        <v>310</v>
      </c>
      <c r="C311">
        <v>17</v>
      </c>
      <c r="D311" t="s">
        <v>2073</v>
      </c>
      <c r="E311">
        <f t="shared" si="12"/>
        <v>2024</v>
      </c>
      <c r="F311" t="str">
        <f t="shared" si="13"/>
        <v>Mar</v>
      </c>
      <c r="G311">
        <v>1</v>
      </c>
      <c r="H311">
        <f>_xlfn.XLOOKUP(C311,Products!A:A,Products!D:D)</f>
        <v>695.6</v>
      </c>
      <c r="I311">
        <v>10</v>
      </c>
      <c r="J311">
        <f t="shared" si="14"/>
        <v>626.04000000000008</v>
      </c>
      <c r="K311" t="s">
        <v>2017</v>
      </c>
      <c r="L311" t="str">
        <f>_xlfn.XLOOKUP(Orders[[#This Row],[ProductID]],Products!A:A,Products!C:C)</f>
        <v>Clothing</v>
      </c>
    </row>
    <row r="312" spans="1:12" x14ac:dyDescent="0.3">
      <c r="A312">
        <v>311</v>
      </c>
      <c r="B312">
        <v>311</v>
      </c>
      <c r="C312">
        <v>61</v>
      </c>
      <c r="D312" t="s">
        <v>1919</v>
      </c>
      <c r="E312">
        <f t="shared" si="12"/>
        <v>2023</v>
      </c>
      <c r="F312" t="str">
        <f t="shared" si="13"/>
        <v>Mar</v>
      </c>
      <c r="G312">
        <v>3</v>
      </c>
      <c r="H312">
        <f>_xlfn.XLOOKUP(C312,Products!A:A,Products!D:D)</f>
        <v>498.92</v>
      </c>
      <c r="I312">
        <v>20</v>
      </c>
      <c r="J312">
        <f t="shared" si="14"/>
        <v>1197.4080000000001</v>
      </c>
      <c r="K312" t="s">
        <v>2024</v>
      </c>
      <c r="L312" t="str">
        <f>_xlfn.XLOOKUP(Orders[[#This Row],[ProductID]],Products!A:A,Products!C:C)</f>
        <v>Clothing</v>
      </c>
    </row>
    <row r="313" spans="1:12" x14ac:dyDescent="0.3">
      <c r="A313">
        <v>312</v>
      </c>
      <c r="B313">
        <v>312</v>
      </c>
      <c r="C313">
        <v>76</v>
      </c>
      <c r="D313" t="s">
        <v>1630</v>
      </c>
      <c r="E313">
        <f t="shared" si="12"/>
        <v>2023</v>
      </c>
      <c r="F313" t="str">
        <f t="shared" si="13"/>
        <v>Apr</v>
      </c>
      <c r="G313">
        <v>3</v>
      </c>
      <c r="H313">
        <f>_xlfn.XLOOKUP(C313,Products!A:A,Products!D:D)</f>
        <v>1043.26</v>
      </c>
      <c r="I313">
        <v>15</v>
      </c>
      <c r="J313">
        <f t="shared" si="14"/>
        <v>2660.3129999999996</v>
      </c>
      <c r="K313" t="s">
        <v>2024</v>
      </c>
      <c r="L313" t="str">
        <f>_xlfn.XLOOKUP(Orders[[#This Row],[ProductID]],Products!A:A,Products!C:C)</f>
        <v>Clothing</v>
      </c>
    </row>
    <row r="314" spans="1:12" x14ac:dyDescent="0.3">
      <c r="A314">
        <v>313</v>
      </c>
      <c r="B314">
        <v>313</v>
      </c>
      <c r="C314">
        <v>26</v>
      </c>
      <c r="D314" t="s">
        <v>1085</v>
      </c>
      <c r="E314">
        <f t="shared" si="12"/>
        <v>2023</v>
      </c>
      <c r="F314" t="str">
        <f t="shared" si="13"/>
        <v>Jan</v>
      </c>
      <c r="G314">
        <v>1</v>
      </c>
      <c r="H314">
        <f>_xlfn.XLOOKUP(C314,Products!A:A,Products!D:D)</f>
        <v>272.61</v>
      </c>
      <c r="I314">
        <v>15</v>
      </c>
      <c r="J314">
        <f t="shared" si="14"/>
        <v>231.71850000000001</v>
      </c>
      <c r="K314" t="s">
        <v>2019</v>
      </c>
      <c r="L314" t="str">
        <f>_xlfn.XLOOKUP(Orders[[#This Row],[ProductID]],Products!A:A,Products!C:C)</f>
        <v>Home</v>
      </c>
    </row>
    <row r="315" spans="1:12" x14ac:dyDescent="0.3">
      <c r="A315">
        <v>314</v>
      </c>
      <c r="B315">
        <v>314</v>
      </c>
      <c r="C315">
        <v>52</v>
      </c>
      <c r="D315" t="s">
        <v>460</v>
      </c>
      <c r="E315">
        <f t="shared" si="12"/>
        <v>2023</v>
      </c>
      <c r="F315" t="str">
        <f t="shared" si="13"/>
        <v>Nov</v>
      </c>
      <c r="G315">
        <v>1</v>
      </c>
      <c r="H315">
        <f>_xlfn.XLOOKUP(C315,Products!A:A,Products!D:D)</f>
        <v>256.76</v>
      </c>
      <c r="I315">
        <v>20</v>
      </c>
      <c r="J315">
        <f t="shared" si="14"/>
        <v>205.40800000000002</v>
      </c>
      <c r="K315" t="s">
        <v>2024</v>
      </c>
      <c r="L315" t="str">
        <f>_xlfn.XLOOKUP(Orders[[#This Row],[ProductID]],Products!A:A,Products!C:C)</f>
        <v>Home</v>
      </c>
    </row>
    <row r="316" spans="1:12" x14ac:dyDescent="0.3">
      <c r="A316">
        <v>315</v>
      </c>
      <c r="B316">
        <v>315</v>
      </c>
      <c r="C316">
        <v>73</v>
      </c>
      <c r="D316" t="s">
        <v>2097</v>
      </c>
      <c r="E316">
        <f t="shared" si="12"/>
        <v>2024</v>
      </c>
      <c r="F316" t="str">
        <f t="shared" si="13"/>
        <v>Mar</v>
      </c>
      <c r="G316">
        <v>2</v>
      </c>
      <c r="H316">
        <f>_xlfn.XLOOKUP(C316,Products!A:A,Products!D:D)</f>
        <v>943.04</v>
      </c>
      <c r="I316">
        <v>15</v>
      </c>
      <c r="J316">
        <f t="shared" si="14"/>
        <v>1603.1679999999999</v>
      </c>
      <c r="K316" t="s">
        <v>2017</v>
      </c>
      <c r="L316" t="str">
        <f>_xlfn.XLOOKUP(Orders[[#This Row],[ProductID]],Products!A:A,Products!C:C)</f>
        <v>Home</v>
      </c>
    </row>
    <row r="317" spans="1:12" x14ac:dyDescent="0.3">
      <c r="A317">
        <v>316</v>
      </c>
      <c r="B317">
        <v>316</v>
      </c>
      <c r="C317">
        <v>74</v>
      </c>
      <c r="D317" t="s">
        <v>2124</v>
      </c>
      <c r="E317">
        <f t="shared" si="12"/>
        <v>2023</v>
      </c>
      <c r="F317" t="str">
        <f t="shared" si="13"/>
        <v>Jan</v>
      </c>
      <c r="G317">
        <v>3</v>
      </c>
      <c r="H317">
        <f>_xlfn.XLOOKUP(C317,Products!A:A,Products!D:D)</f>
        <v>1034.31</v>
      </c>
      <c r="I317">
        <v>0</v>
      </c>
      <c r="J317">
        <f t="shared" si="14"/>
        <v>3102.93</v>
      </c>
      <c r="K317" t="s">
        <v>2024</v>
      </c>
      <c r="L317" t="str">
        <f>_xlfn.XLOOKUP(Orders[[#This Row],[ProductID]],Products!A:A,Products!C:C)</f>
        <v>Electronics</v>
      </c>
    </row>
    <row r="318" spans="1:12" x14ac:dyDescent="0.3">
      <c r="A318">
        <v>317</v>
      </c>
      <c r="B318">
        <v>317</v>
      </c>
      <c r="C318">
        <v>59</v>
      </c>
      <c r="D318" t="s">
        <v>1925</v>
      </c>
      <c r="E318">
        <f t="shared" si="12"/>
        <v>2023</v>
      </c>
      <c r="F318" t="str">
        <f t="shared" si="13"/>
        <v>Jun</v>
      </c>
      <c r="G318">
        <v>3</v>
      </c>
      <c r="H318">
        <f>_xlfn.XLOOKUP(C318,Products!A:A,Products!D:D)</f>
        <v>782.33</v>
      </c>
      <c r="I318">
        <v>10</v>
      </c>
      <c r="J318">
        <f t="shared" si="14"/>
        <v>2112.2910000000002</v>
      </c>
      <c r="K318" t="s">
        <v>2017</v>
      </c>
      <c r="L318" t="str">
        <f>_xlfn.XLOOKUP(Orders[[#This Row],[ProductID]],Products!A:A,Products!C:C)</f>
        <v>Clothing</v>
      </c>
    </row>
    <row r="319" spans="1:12" x14ac:dyDescent="0.3">
      <c r="A319">
        <v>318</v>
      </c>
      <c r="B319">
        <v>318</v>
      </c>
      <c r="C319">
        <v>79</v>
      </c>
      <c r="D319" t="s">
        <v>2057</v>
      </c>
      <c r="E319">
        <f t="shared" si="12"/>
        <v>2024</v>
      </c>
      <c r="F319" t="str">
        <f t="shared" si="13"/>
        <v>Feb</v>
      </c>
      <c r="G319">
        <v>1</v>
      </c>
      <c r="H319">
        <f>_xlfn.XLOOKUP(C319,Products!A:A,Products!D:D)</f>
        <v>488.34</v>
      </c>
      <c r="I319">
        <v>15</v>
      </c>
      <c r="J319">
        <f t="shared" si="14"/>
        <v>415.08899999999994</v>
      </c>
      <c r="K319" t="s">
        <v>2021</v>
      </c>
      <c r="L319" t="str">
        <f>_xlfn.XLOOKUP(Orders[[#This Row],[ProductID]],Products!A:A,Products!C:C)</f>
        <v>Electronics</v>
      </c>
    </row>
    <row r="320" spans="1:12" x14ac:dyDescent="0.3">
      <c r="A320">
        <v>319</v>
      </c>
      <c r="B320">
        <v>319</v>
      </c>
      <c r="C320">
        <v>23</v>
      </c>
      <c r="D320" t="s">
        <v>2074</v>
      </c>
      <c r="E320">
        <f t="shared" si="12"/>
        <v>2024</v>
      </c>
      <c r="F320" t="str">
        <f t="shared" si="13"/>
        <v>Apr</v>
      </c>
      <c r="G320">
        <v>3</v>
      </c>
      <c r="H320">
        <f>_xlfn.XLOOKUP(C320,Products!A:A,Products!D:D)</f>
        <v>258.08</v>
      </c>
      <c r="I320">
        <v>15</v>
      </c>
      <c r="J320">
        <f t="shared" si="14"/>
        <v>658.10400000000004</v>
      </c>
      <c r="K320" t="s">
        <v>2017</v>
      </c>
      <c r="L320" t="str">
        <f>_xlfn.XLOOKUP(Orders[[#This Row],[ProductID]],Products!A:A,Products!C:C)</f>
        <v>Home</v>
      </c>
    </row>
    <row r="321" spans="1:12" x14ac:dyDescent="0.3">
      <c r="A321">
        <v>320</v>
      </c>
      <c r="B321">
        <v>320</v>
      </c>
      <c r="C321">
        <v>50</v>
      </c>
      <c r="D321" t="s">
        <v>2125</v>
      </c>
      <c r="E321">
        <f t="shared" si="12"/>
        <v>2024</v>
      </c>
      <c r="F321" t="str">
        <f t="shared" si="13"/>
        <v>Apr</v>
      </c>
      <c r="G321">
        <v>3</v>
      </c>
      <c r="H321">
        <f>_xlfn.XLOOKUP(C321,Products!A:A,Products!D:D)</f>
        <v>1122.8699999999999</v>
      </c>
      <c r="I321">
        <v>5</v>
      </c>
      <c r="J321">
        <f t="shared" si="14"/>
        <v>3200.1794999999997</v>
      </c>
      <c r="K321" t="s">
        <v>2015</v>
      </c>
      <c r="L321" t="str">
        <f>_xlfn.XLOOKUP(Orders[[#This Row],[ProductID]],Products!A:A,Products!C:C)</f>
        <v>Home</v>
      </c>
    </row>
    <row r="322" spans="1:12" x14ac:dyDescent="0.3">
      <c r="A322">
        <v>321</v>
      </c>
      <c r="B322">
        <v>321</v>
      </c>
      <c r="C322">
        <v>13</v>
      </c>
      <c r="D322" t="s">
        <v>2126</v>
      </c>
      <c r="E322">
        <f t="shared" si="12"/>
        <v>2023</v>
      </c>
      <c r="F322" t="str">
        <f t="shared" si="13"/>
        <v>Jul</v>
      </c>
      <c r="G322">
        <v>3</v>
      </c>
      <c r="H322">
        <f>_xlfn.XLOOKUP(C322,Products!A:A,Products!D:D)</f>
        <v>334.61</v>
      </c>
      <c r="I322">
        <v>0</v>
      </c>
      <c r="J322">
        <f t="shared" si="14"/>
        <v>1003.83</v>
      </c>
      <c r="K322" t="s">
        <v>2021</v>
      </c>
      <c r="L322" t="str">
        <f>_xlfn.XLOOKUP(Orders[[#This Row],[ProductID]],Products!A:A,Products!C:C)</f>
        <v>Home</v>
      </c>
    </row>
    <row r="323" spans="1:12" x14ac:dyDescent="0.3">
      <c r="A323">
        <v>322</v>
      </c>
      <c r="B323">
        <v>322</v>
      </c>
      <c r="C323">
        <v>21</v>
      </c>
      <c r="D323" t="s">
        <v>1100</v>
      </c>
      <c r="E323">
        <f t="shared" ref="E323:E386" si="15">YEAR(D323)</f>
        <v>2023</v>
      </c>
      <c r="F323" t="str">
        <f t="shared" ref="F323:F386" si="16">TEXT(D323,"mmm")</f>
        <v>May</v>
      </c>
      <c r="G323">
        <v>3</v>
      </c>
      <c r="H323">
        <f>_xlfn.XLOOKUP(C323,Products!A:A,Products!D:D)</f>
        <v>420.66</v>
      </c>
      <c r="I323">
        <v>20</v>
      </c>
      <c r="J323">
        <f t="shared" ref="J323:J386" si="17">G323*H323*(1-I323/100)</f>
        <v>1009.5840000000001</v>
      </c>
      <c r="K323" t="s">
        <v>2024</v>
      </c>
      <c r="L323" t="str">
        <f>_xlfn.XLOOKUP(Orders[[#This Row],[ProductID]],Products!A:A,Products!C:C)</f>
        <v>Beauty</v>
      </c>
    </row>
    <row r="324" spans="1:12" x14ac:dyDescent="0.3">
      <c r="A324">
        <v>323</v>
      </c>
      <c r="B324">
        <v>323</v>
      </c>
      <c r="C324">
        <v>9</v>
      </c>
      <c r="D324" t="s">
        <v>2065</v>
      </c>
      <c r="E324">
        <f t="shared" si="15"/>
        <v>2023</v>
      </c>
      <c r="F324" t="str">
        <f t="shared" si="16"/>
        <v>Dec</v>
      </c>
      <c r="G324">
        <v>3</v>
      </c>
      <c r="H324">
        <f>_xlfn.XLOOKUP(C324,Products!A:A,Products!D:D)</f>
        <v>43.26</v>
      </c>
      <c r="I324">
        <v>5</v>
      </c>
      <c r="J324">
        <f t="shared" si="17"/>
        <v>123.291</v>
      </c>
      <c r="K324" t="s">
        <v>2017</v>
      </c>
      <c r="L324" t="str">
        <f>_xlfn.XLOOKUP(Orders[[#This Row],[ProductID]],Products!A:A,Products!C:C)</f>
        <v>Electronics</v>
      </c>
    </row>
    <row r="325" spans="1:12" x14ac:dyDescent="0.3">
      <c r="A325">
        <v>324</v>
      </c>
      <c r="B325">
        <v>324</v>
      </c>
      <c r="C325">
        <v>53</v>
      </c>
      <c r="D325" t="s">
        <v>2127</v>
      </c>
      <c r="E325">
        <f t="shared" si="15"/>
        <v>2024</v>
      </c>
      <c r="F325" t="str">
        <f t="shared" si="16"/>
        <v>Jan</v>
      </c>
      <c r="G325">
        <v>3</v>
      </c>
      <c r="H325">
        <f>_xlfn.XLOOKUP(C325,Products!A:A,Products!D:D)</f>
        <v>194.34</v>
      </c>
      <c r="I325">
        <v>0</v>
      </c>
      <c r="J325">
        <f t="shared" si="17"/>
        <v>583.02</v>
      </c>
      <c r="K325" t="s">
        <v>2024</v>
      </c>
      <c r="L325" t="str">
        <f>_xlfn.XLOOKUP(Orders[[#This Row],[ProductID]],Products!A:A,Products!C:C)</f>
        <v>Home</v>
      </c>
    </row>
    <row r="326" spans="1:12" x14ac:dyDescent="0.3">
      <c r="A326">
        <v>325</v>
      </c>
      <c r="B326">
        <v>325</v>
      </c>
      <c r="C326">
        <v>10</v>
      </c>
      <c r="D326" t="s">
        <v>2128</v>
      </c>
      <c r="E326">
        <f t="shared" si="15"/>
        <v>2024</v>
      </c>
      <c r="F326" t="str">
        <f t="shared" si="16"/>
        <v>Jan</v>
      </c>
      <c r="G326">
        <v>1</v>
      </c>
      <c r="H326">
        <f>_xlfn.XLOOKUP(C326,Products!A:A,Products!D:D)</f>
        <v>64.11</v>
      </c>
      <c r="I326">
        <v>20</v>
      </c>
      <c r="J326">
        <f t="shared" si="17"/>
        <v>51.288000000000004</v>
      </c>
      <c r="K326" t="s">
        <v>2024</v>
      </c>
      <c r="L326" t="str">
        <f>_xlfn.XLOOKUP(Orders[[#This Row],[ProductID]],Products!A:A,Products!C:C)</f>
        <v>Clothing</v>
      </c>
    </row>
    <row r="327" spans="1:12" x14ac:dyDescent="0.3">
      <c r="A327">
        <v>326</v>
      </c>
      <c r="B327">
        <v>326</v>
      </c>
      <c r="C327">
        <v>53</v>
      </c>
      <c r="D327" t="s">
        <v>2118</v>
      </c>
      <c r="E327">
        <f t="shared" si="15"/>
        <v>2023</v>
      </c>
      <c r="F327" t="str">
        <f t="shared" si="16"/>
        <v>Aug</v>
      </c>
      <c r="G327">
        <v>1</v>
      </c>
      <c r="H327">
        <f>_xlfn.XLOOKUP(C327,Products!A:A,Products!D:D)</f>
        <v>194.34</v>
      </c>
      <c r="I327">
        <v>10</v>
      </c>
      <c r="J327">
        <f t="shared" si="17"/>
        <v>174.90600000000001</v>
      </c>
      <c r="K327" t="s">
        <v>2021</v>
      </c>
      <c r="L327" t="str">
        <f>_xlfn.XLOOKUP(Orders[[#This Row],[ProductID]],Products!A:A,Products!C:C)</f>
        <v>Home</v>
      </c>
    </row>
    <row r="328" spans="1:12" x14ac:dyDescent="0.3">
      <c r="A328">
        <v>327</v>
      </c>
      <c r="B328">
        <v>327</v>
      </c>
      <c r="C328">
        <v>65</v>
      </c>
      <c r="D328" t="s">
        <v>2129</v>
      </c>
      <c r="E328">
        <f t="shared" si="15"/>
        <v>2023</v>
      </c>
      <c r="F328" t="str">
        <f t="shared" si="16"/>
        <v>Jan</v>
      </c>
      <c r="G328">
        <v>2</v>
      </c>
      <c r="H328">
        <f>_xlfn.XLOOKUP(C328,Products!A:A,Products!D:D)</f>
        <v>1189.73</v>
      </c>
      <c r="I328">
        <v>0</v>
      </c>
      <c r="J328">
        <f t="shared" si="17"/>
        <v>2379.46</v>
      </c>
      <c r="K328" t="s">
        <v>2019</v>
      </c>
      <c r="L328" t="str">
        <f>_xlfn.XLOOKUP(Orders[[#This Row],[ProductID]],Products!A:A,Products!C:C)</f>
        <v>Home</v>
      </c>
    </row>
    <row r="329" spans="1:12" x14ac:dyDescent="0.3">
      <c r="A329">
        <v>328</v>
      </c>
      <c r="B329">
        <v>328</v>
      </c>
      <c r="C329">
        <v>60</v>
      </c>
      <c r="D329" t="s">
        <v>1339</v>
      </c>
      <c r="E329">
        <f t="shared" si="15"/>
        <v>2023</v>
      </c>
      <c r="F329" t="str">
        <f t="shared" si="16"/>
        <v>Jul</v>
      </c>
      <c r="G329">
        <v>2</v>
      </c>
      <c r="H329">
        <f>_xlfn.XLOOKUP(C329,Products!A:A,Products!D:D)</f>
        <v>830.49</v>
      </c>
      <c r="I329">
        <v>15</v>
      </c>
      <c r="J329">
        <f t="shared" si="17"/>
        <v>1411.8330000000001</v>
      </c>
      <c r="K329" t="s">
        <v>2021</v>
      </c>
      <c r="L329" t="str">
        <f>_xlfn.XLOOKUP(Orders[[#This Row],[ProductID]],Products!A:A,Products!C:C)</f>
        <v>Clothing</v>
      </c>
    </row>
    <row r="330" spans="1:12" x14ac:dyDescent="0.3">
      <c r="A330">
        <v>329</v>
      </c>
      <c r="B330">
        <v>329</v>
      </c>
      <c r="C330">
        <v>51</v>
      </c>
      <c r="D330" t="s">
        <v>1176</v>
      </c>
      <c r="E330">
        <f t="shared" si="15"/>
        <v>2023</v>
      </c>
      <c r="F330" t="str">
        <f t="shared" si="16"/>
        <v>Jan</v>
      </c>
      <c r="G330">
        <v>1</v>
      </c>
      <c r="H330">
        <f>_xlfn.XLOOKUP(C330,Products!A:A,Products!D:D)</f>
        <v>759.57</v>
      </c>
      <c r="I330">
        <v>10</v>
      </c>
      <c r="J330">
        <f t="shared" si="17"/>
        <v>683.61300000000006</v>
      </c>
      <c r="K330" t="s">
        <v>2019</v>
      </c>
      <c r="L330" t="str">
        <f>_xlfn.XLOOKUP(Orders[[#This Row],[ProductID]],Products!A:A,Products!C:C)</f>
        <v>Beauty</v>
      </c>
    </row>
    <row r="331" spans="1:12" x14ac:dyDescent="0.3">
      <c r="A331">
        <v>330</v>
      </c>
      <c r="B331">
        <v>330</v>
      </c>
      <c r="C331">
        <v>18</v>
      </c>
      <c r="D331" t="s">
        <v>211</v>
      </c>
      <c r="E331">
        <f t="shared" si="15"/>
        <v>2023</v>
      </c>
      <c r="F331" t="str">
        <f t="shared" si="16"/>
        <v>Jun</v>
      </c>
      <c r="G331">
        <v>3</v>
      </c>
      <c r="H331">
        <f>_xlfn.XLOOKUP(C331,Products!A:A,Products!D:D)</f>
        <v>138.07</v>
      </c>
      <c r="I331">
        <v>15</v>
      </c>
      <c r="J331">
        <f t="shared" si="17"/>
        <v>352.07849999999996</v>
      </c>
      <c r="K331" t="s">
        <v>2017</v>
      </c>
      <c r="L331" t="str">
        <f>_xlfn.XLOOKUP(Orders[[#This Row],[ProductID]],Products!A:A,Products!C:C)</f>
        <v>Home</v>
      </c>
    </row>
    <row r="332" spans="1:12" x14ac:dyDescent="0.3">
      <c r="A332">
        <v>331</v>
      </c>
      <c r="B332">
        <v>331</v>
      </c>
      <c r="C332">
        <v>60</v>
      </c>
      <c r="D332" t="s">
        <v>2130</v>
      </c>
      <c r="E332">
        <f t="shared" si="15"/>
        <v>2023</v>
      </c>
      <c r="F332" t="str">
        <f t="shared" si="16"/>
        <v>Feb</v>
      </c>
      <c r="G332">
        <v>1</v>
      </c>
      <c r="H332">
        <f>_xlfn.XLOOKUP(C332,Products!A:A,Products!D:D)</f>
        <v>830.49</v>
      </c>
      <c r="I332">
        <v>20</v>
      </c>
      <c r="J332">
        <f t="shared" si="17"/>
        <v>664.39200000000005</v>
      </c>
      <c r="K332" t="s">
        <v>2021</v>
      </c>
      <c r="L332" t="str">
        <f>_xlfn.XLOOKUP(Orders[[#This Row],[ProductID]],Products!A:A,Products!C:C)</f>
        <v>Clothing</v>
      </c>
    </row>
    <row r="333" spans="1:12" x14ac:dyDescent="0.3">
      <c r="A333">
        <v>332</v>
      </c>
      <c r="B333">
        <v>332</v>
      </c>
      <c r="C333">
        <v>57</v>
      </c>
      <c r="D333" t="s">
        <v>1131</v>
      </c>
      <c r="E333">
        <f t="shared" si="15"/>
        <v>2023</v>
      </c>
      <c r="F333" t="str">
        <f t="shared" si="16"/>
        <v>Mar</v>
      </c>
      <c r="G333">
        <v>2</v>
      </c>
      <c r="H333">
        <f>_xlfn.XLOOKUP(C333,Products!A:A,Products!D:D)</f>
        <v>768.03</v>
      </c>
      <c r="I333">
        <v>10</v>
      </c>
      <c r="J333">
        <f t="shared" si="17"/>
        <v>1382.454</v>
      </c>
      <c r="K333" t="s">
        <v>2021</v>
      </c>
      <c r="L333" t="str">
        <f>_xlfn.XLOOKUP(Orders[[#This Row],[ProductID]],Products!A:A,Products!C:C)</f>
        <v>Electronics</v>
      </c>
    </row>
    <row r="334" spans="1:12" x14ac:dyDescent="0.3">
      <c r="A334">
        <v>333</v>
      </c>
      <c r="B334">
        <v>333</v>
      </c>
      <c r="C334">
        <v>22</v>
      </c>
      <c r="D334" t="s">
        <v>2131</v>
      </c>
      <c r="E334">
        <f t="shared" si="15"/>
        <v>2024</v>
      </c>
      <c r="F334" t="str">
        <f t="shared" si="16"/>
        <v>Mar</v>
      </c>
      <c r="G334">
        <v>1</v>
      </c>
      <c r="H334">
        <f>_xlfn.XLOOKUP(C334,Products!A:A,Products!D:D)</f>
        <v>373.43</v>
      </c>
      <c r="I334">
        <v>20</v>
      </c>
      <c r="J334">
        <f t="shared" si="17"/>
        <v>298.74400000000003</v>
      </c>
      <c r="K334" t="s">
        <v>2019</v>
      </c>
      <c r="L334" t="str">
        <f>_xlfn.XLOOKUP(Orders[[#This Row],[ProductID]],Products!A:A,Products!C:C)</f>
        <v>Beauty</v>
      </c>
    </row>
    <row r="335" spans="1:12" x14ac:dyDescent="0.3">
      <c r="A335">
        <v>334</v>
      </c>
      <c r="B335">
        <v>334</v>
      </c>
      <c r="C335">
        <v>23</v>
      </c>
      <c r="D335" t="s">
        <v>1872</v>
      </c>
      <c r="E335">
        <f t="shared" si="15"/>
        <v>2023</v>
      </c>
      <c r="F335" t="str">
        <f t="shared" si="16"/>
        <v>May</v>
      </c>
      <c r="G335">
        <v>1</v>
      </c>
      <c r="H335">
        <f>_xlfn.XLOOKUP(C335,Products!A:A,Products!D:D)</f>
        <v>258.08</v>
      </c>
      <c r="I335">
        <v>20</v>
      </c>
      <c r="J335">
        <f t="shared" si="17"/>
        <v>206.464</v>
      </c>
      <c r="K335" t="s">
        <v>2017</v>
      </c>
      <c r="L335" t="str">
        <f>_xlfn.XLOOKUP(Orders[[#This Row],[ProductID]],Products!A:A,Products!C:C)</f>
        <v>Home</v>
      </c>
    </row>
    <row r="336" spans="1:12" x14ac:dyDescent="0.3">
      <c r="A336">
        <v>335</v>
      </c>
      <c r="B336">
        <v>335</v>
      </c>
      <c r="C336">
        <v>22</v>
      </c>
      <c r="D336" t="s">
        <v>480</v>
      </c>
      <c r="E336">
        <f t="shared" si="15"/>
        <v>2023</v>
      </c>
      <c r="F336" t="str">
        <f t="shared" si="16"/>
        <v>Feb</v>
      </c>
      <c r="G336">
        <v>3</v>
      </c>
      <c r="H336">
        <f>_xlfn.XLOOKUP(C336,Products!A:A,Products!D:D)</f>
        <v>373.43</v>
      </c>
      <c r="I336">
        <v>0</v>
      </c>
      <c r="J336">
        <f t="shared" si="17"/>
        <v>1120.29</v>
      </c>
      <c r="K336" t="s">
        <v>2024</v>
      </c>
      <c r="L336" t="str">
        <f>_xlfn.XLOOKUP(Orders[[#This Row],[ProductID]],Products!A:A,Products!C:C)</f>
        <v>Beauty</v>
      </c>
    </row>
    <row r="337" spans="1:12" x14ac:dyDescent="0.3">
      <c r="A337">
        <v>336</v>
      </c>
      <c r="B337">
        <v>336</v>
      </c>
      <c r="C337">
        <v>20</v>
      </c>
      <c r="D337" t="s">
        <v>1603</v>
      </c>
      <c r="E337">
        <f t="shared" si="15"/>
        <v>2023</v>
      </c>
      <c r="F337" t="str">
        <f t="shared" si="16"/>
        <v>Aug</v>
      </c>
      <c r="G337">
        <v>2</v>
      </c>
      <c r="H337">
        <f>_xlfn.XLOOKUP(C337,Products!A:A,Products!D:D)</f>
        <v>613.27</v>
      </c>
      <c r="I337">
        <v>5</v>
      </c>
      <c r="J337">
        <f t="shared" si="17"/>
        <v>1165.213</v>
      </c>
      <c r="K337" t="s">
        <v>2021</v>
      </c>
      <c r="L337" t="str">
        <f>_xlfn.XLOOKUP(Orders[[#This Row],[ProductID]],Products!A:A,Products!C:C)</f>
        <v>Home</v>
      </c>
    </row>
    <row r="338" spans="1:12" x14ac:dyDescent="0.3">
      <c r="A338">
        <v>337</v>
      </c>
      <c r="B338">
        <v>337</v>
      </c>
      <c r="C338">
        <v>5</v>
      </c>
      <c r="D338" t="s">
        <v>2047</v>
      </c>
      <c r="E338">
        <f t="shared" si="15"/>
        <v>2024</v>
      </c>
      <c r="F338" t="str">
        <f t="shared" si="16"/>
        <v>Apr</v>
      </c>
      <c r="G338">
        <v>3</v>
      </c>
      <c r="H338">
        <f>_xlfn.XLOOKUP(C338,Products!A:A,Products!D:D)</f>
        <v>296.85000000000002</v>
      </c>
      <c r="I338">
        <v>20</v>
      </c>
      <c r="J338">
        <f t="shared" si="17"/>
        <v>712.44</v>
      </c>
      <c r="K338" t="s">
        <v>2021</v>
      </c>
      <c r="L338" t="str">
        <f>_xlfn.XLOOKUP(Orders[[#This Row],[ProductID]],Products!A:A,Products!C:C)</f>
        <v>Clothing</v>
      </c>
    </row>
    <row r="339" spans="1:12" x14ac:dyDescent="0.3">
      <c r="A339">
        <v>338</v>
      </c>
      <c r="B339">
        <v>338</v>
      </c>
      <c r="C339">
        <v>57</v>
      </c>
      <c r="D339" t="s">
        <v>2132</v>
      </c>
      <c r="E339">
        <f t="shared" si="15"/>
        <v>2023</v>
      </c>
      <c r="F339" t="str">
        <f t="shared" si="16"/>
        <v>Dec</v>
      </c>
      <c r="G339">
        <v>1</v>
      </c>
      <c r="H339">
        <f>_xlfn.XLOOKUP(C339,Products!A:A,Products!D:D)</f>
        <v>768.03</v>
      </c>
      <c r="I339">
        <v>20</v>
      </c>
      <c r="J339">
        <f t="shared" si="17"/>
        <v>614.42399999999998</v>
      </c>
      <c r="K339" t="s">
        <v>2019</v>
      </c>
      <c r="L339" t="str">
        <f>_xlfn.XLOOKUP(Orders[[#This Row],[ProductID]],Products!A:A,Products!C:C)</f>
        <v>Electronics</v>
      </c>
    </row>
    <row r="340" spans="1:12" x14ac:dyDescent="0.3">
      <c r="A340">
        <v>339</v>
      </c>
      <c r="B340">
        <v>339</v>
      </c>
      <c r="C340">
        <v>50</v>
      </c>
      <c r="D340" t="s">
        <v>2133</v>
      </c>
      <c r="E340">
        <f t="shared" si="15"/>
        <v>2023</v>
      </c>
      <c r="F340" t="str">
        <f t="shared" si="16"/>
        <v>Dec</v>
      </c>
      <c r="G340">
        <v>2</v>
      </c>
      <c r="H340">
        <f>_xlfn.XLOOKUP(C340,Products!A:A,Products!D:D)</f>
        <v>1122.8699999999999</v>
      </c>
      <c r="I340">
        <v>15</v>
      </c>
      <c r="J340">
        <f t="shared" si="17"/>
        <v>1908.8789999999997</v>
      </c>
      <c r="K340" t="s">
        <v>2019</v>
      </c>
      <c r="L340" t="str">
        <f>_xlfn.XLOOKUP(Orders[[#This Row],[ProductID]],Products!A:A,Products!C:C)</f>
        <v>Home</v>
      </c>
    </row>
    <row r="341" spans="1:12" x14ac:dyDescent="0.3">
      <c r="A341">
        <v>340</v>
      </c>
      <c r="B341">
        <v>340</v>
      </c>
      <c r="C341">
        <v>77</v>
      </c>
      <c r="D341" t="s">
        <v>1013</v>
      </c>
      <c r="E341">
        <f t="shared" si="15"/>
        <v>2023</v>
      </c>
      <c r="F341" t="str">
        <f t="shared" si="16"/>
        <v>Jan</v>
      </c>
      <c r="G341">
        <v>1</v>
      </c>
      <c r="H341">
        <f>_xlfn.XLOOKUP(C341,Products!A:A,Products!D:D)</f>
        <v>1078.19</v>
      </c>
      <c r="I341">
        <v>15</v>
      </c>
      <c r="J341">
        <f t="shared" si="17"/>
        <v>916.4615</v>
      </c>
      <c r="K341" t="s">
        <v>2021</v>
      </c>
      <c r="L341" t="str">
        <f>_xlfn.XLOOKUP(Orders[[#This Row],[ProductID]],Products!A:A,Products!C:C)</f>
        <v>Home</v>
      </c>
    </row>
    <row r="342" spans="1:12" x14ac:dyDescent="0.3">
      <c r="A342">
        <v>341</v>
      </c>
      <c r="B342">
        <v>341</v>
      </c>
      <c r="C342">
        <v>32</v>
      </c>
      <c r="D342" t="s">
        <v>802</v>
      </c>
      <c r="E342">
        <f t="shared" si="15"/>
        <v>2023</v>
      </c>
      <c r="F342" t="str">
        <f t="shared" si="16"/>
        <v>Jul</v>
      </c>
      <c r="G342">
        <v>1</v>
      </c>
      <c r="H342">
        <f>_xlfn.XLOOKUP(C342,Products!A:A,Products!D:D)</f>
        <v>342.57</v>
      </c>
      <c r="I342">
        <v>5</v>
      </c>
      <c r="J342">
        <f t="shared" si="17"/>
        <v>325.44149999999996</v>
      </c>
      <c r="K342" t="s">
        <v>2019</v>
      </c>
      <c r="L342" t="str">
        <f>_xlfn.XLOOKUP(Orders[[#This Row],[ProductID]],Products!A:A,Products!C:C)</f>
        <v>Clothing</v>
      </c>
    </row>
    <row r="343" spans="1:12" x14ac:dyDescent="0.3">
      <c r="A343">
        <v>342</v>
      </c>
      <c r="B343">
        <v>342</v>
      </c>
      <c r="C343">
        <v>3</v>
      </c>
      <c r="D343" t="s">
        <v>88</v>
      </c>
      <c r="E343">
        <f t="shared" si="15"/>
        <v>2023</v>
      </c>
      <c r="F343" t="str">
        <f t="shared" si="16"/>
        <v>Aug</v>
      </c>
      <c r="G343">
        <v>1</v>
      </c>
      <c r="H343">
        <f>_xlfn.XLOOKUP(C343,Products!A:A,Products!D:D)</f>
        <v>506.08</v>
      </c>
      <c r="I343">
        <v>0</v>
      </c>
      <c r="J343">
        <f t="shared" si="17"/>
        <v>506.08</v>
      </c>
      <c r="K343" t="s">
        <v>2024</v>
      </c>
      <c r="L343" t="str">
        <f>_xlfn.XLOOKUP(Orders[[#This Row],[ProductID]],Products!A:A,Products!C:C)</f>
        <v>Clothing</v>
      </c>
    </row>
    <row r="344" spans="1:12" x14ac:dyDescent="0.3">
      <c r="A344">
        <v>343</v>
      </c>
      <c r="B344">
        <v>343</v>
      </c>
      <c r="C344">
        <v>25</v>
      </c>
      <c r="D344" t="s">
        <v>2030</v>
      </c>
      <c r="E344">
        <f t="shared" si="15"/>
        <v>2023</v>
      </c>
      <c r="F344" t="str">
        <f t="shared" si="16"/>
        <v>Dec</v>
      </c>
      <c r="G344">
        <v>3</v>
      </c>
      <c r="H344">
        <f>_xlfn.XLOOKUP(C344,Products!A:A,Products!D:D)</f>
        <v>1011.65</v>
      </c>
      <c r="I344">
        <v>0</v>
      </c>
      <c r="J344">
        <f t="shared" si="17"/>
        <v>3034.95</v>
      </c>
      <c r="K344" t="s">
        <v>2021</v>
      </c>
      <c r="L344" t="str">
        <f>_xlfn.XLOOKUP(Orders[[#This Row],[ProductID]],Products!A:A,Products!C:C)</f>
        <v>Electronics</v>
      </c>
    </row>
    <row r="345" spans="1:12" x14ac:dyDescent="0.3">
      <c r="A345">
        <v>344</v>
      </c>
      <c r="B345">
        <v>344</v>
      </c>
      <c r="C345">
        <v>13</v>
      </c>
      <c r="D345" t="s">
        <v>2032</v>
      </c>
      <c r="E345">
        <f t="shared" si="15"/>
        <v>2024</v>
      </c>
      <c r="F345" t="str">
        <f t="shared" si="16"/>
        <v>Feb</v>
      </c>
      <c r="G345">
        <v>3</v>
      </c>
      <c r="H345">
        <f>_xlfn.XLOOKUP(C345,Products!A:A,Products!D:D)</f>
        <v>334.61</v>
      </c>
      <c r="I345">
        <v>5</v>
      </c>
      <c r="J345">
        <f t="shared" si="17"/>
        <v>953.63850000000002</v>
      </c>
      <c r="K345" t="s">
        <v>2021</v>
      </c>
      <c r="L345" t="str">
        <f>_xlfn.XLOOKUP(Orders[[#This Row],[ProductID]],Products!A:A,Products!C:C)</f>
        <v>Home</v>
      </c>
    </row>
    <row r="346" spans="1:12" x14ac:dyDescent="0.3">
      <c r="A346">
        <v>345</v>
      </c>
      <c r="B346">
        <v>345</v>
      </c>
      <c r="C346">
        <v>6</v>
      </c>
      <c r="D346" t="s">
        <v>594</v>
      </c>
      <c r="E346">
        <f t="shared" si="15"/>
        <v>2023</v>
      </c>
      <c r="F346" t="str">
        <f t="shared" si="16"/>
        <v>Aug</v>
      </c>
      <c r="G346">
        <v>3</v>
      </c>
      <c r="H346">
        <f>_xlfn.XLOOKUP(C346,Products!A:A,Products!D:D)</f>
        <v>719.19</v>
      </c>
      <c r="I346">
        <v>0</v>
      </c>
      <c r="J346">
        <f t="shared" si="17"/>
        <v>2157.5700000000002</v>
      </c>
      <c r="K346" t="s">
        <v>2024</v>
      </c>
      <c r="L346" t="str">
        <f>_xlfn.XLOOKUP(Orders[[#This Row],[ProductID]],Products!A:A,Products!C:C)</f>
        <v>Clothing</v>
      </c>
    </row>
    <row r="347" spans="1:12" x14ac:dyDescent="0.3">
      <c r="A347">
        <v>346</v>
      </c>
      <c r="B347">
        <v>346</v>
      </c>
      <c r="C347">
        <v>42</v>
      </c>
      <c r="D347" t="s">
        <v>1317</v>
      </c>
      <c r="E347">
        <f t="shared" si="15"/>
        <v>2023</v>
      </c>
      <c r="F347" t="str">
        <f t="shared" si="16"/>
        <v>Oct</v>
      </c>
      <c r="G347">
        <v>3</v>
      </c>
      <c r="H347">
        <f>_xlfn.XLOOKUP(C347,Products!A:A,Products!D:D)</f>
        <v>233.11</v>
      </c>
      <c r="I347">
        <v>5</v>
      </c>
      <c r="J347">
        <f t="shared" si="17"/>
        <v>664.36350000000004</v>
      </c>
      <c r="K347" t="s">
        <v>2015</v>
      </c>
      <c r="L347" t="str">
        <f>_xlfn.XLOOKUP(Orders[[#This Row],[ProductID]],Products!A:A,Products!C:C)</f>
        <v>Home</v>
      </c>
    </row>
    <row r="348" spans="1:12" x14ac:dyDescent="0.3">
      <c r="A348">
        <v>347</v>
      </c>
      <c r="B348">
        <v>347</v>
      </c>
      <c r="C348">
        <v>27</v>
      </c>
      <c r="D348" t="s">
        <v>2134</v>
      </c>
      <c r="E348">
        <f t="shared" si="15"/>
        <v>2024</v>
      </c>
      <c r="F348" t="str">
        <f t="shared" si="16"/>
        <v>Apr</v>
      </c>
      <c r="G348">
        <v>3</v>
      </c>
      <c r="H348">
        <f>_xlfn.XLOOKUP(C348,Products!A:A,Products!D:D)</f>
        <v>76.09</v>
      </c>
      <c r="I348">
        <v>15</v>
      </c>
      <c r="J348">
        <f t="shared" si="17"/>
        <v>194.02950000000001</v>
      </c>
      <c r="K348" t="s">
        <v>2017</v>
      </c>
      <c r="L348" t="str">
        <f>_xlfn.XLOOKUP(Orders[[#This Row],[ProductID]],Products!A:A,Products!C:C)</f>
        <v>Clothing</v>
      </c>
    </row>
    <row r="349" spans="1:12" x14ac:dyDescent="0.3">
      <c r="A349">
        <v>348</v>
      </c>
      <c r="B349">
        <v>348</v>
      </c>
      <c r="C349">
        <v>16</v>
      </c>
      <c r="D349" t="s">
        <v>855</v>
      </c>
      <c r="E349">
        <f t="shared" si="15"/>
        <v>2023</v>
      </c>
      <c r="F349" t="str">
        <f t="shared" si="16"/>
        <v>Apr</v>
      </c>
      <c r="G349">
        <v>1</v>
      </c>
      <c r="H349">
        <f>_xlfn.XLOOKUP(C349,Products!A:A,Products!D:D)</f>
        <v>693.02</v>
      </c>
      <c r="I349">
        <v>0</v>
      </c>
      <c r="J349">
        <f t="shared" si="17"/>
        <v>693.02</v>
      </c>
      <c r="K349" t="s">
        <v>2024</v>
      </c>
      <c r="L349" t="str">
        <f>_xlfn.XLOOKUP(Orders[[#This Row],[ProductID]],Products!A:A,Products!C:C)</f>
        <v>Home</v>
      </c>
    </row>
    <row r="350" spans="1:12" x14ac:dyDescent="0.3">
      <c r="A350">
        <v>349</v>
      </c>
      <c r="B350">
        <v>349</v>
      </c>
      <c r="C350">
        <v>42</v>
      </c>
      <c r="D350" t="s">
        <v>355</v>
      </c>
      <c r="E350">
        <f t="shared" si="15"/>
        <v>2023</v>
      </c>
      <c r="F350" t="str">
        <f t="shared" si="16"/>
        <v>Mar</v>
      </c>
      <c r="G350">
        <v>1</v>
      </c>
      <c r="H350">
        <f>_xlfn.XLOOKUP(C350,Products!A:A,Products!D:D)</f>
        <v>233.11</v>
      </c>
      <c r="I350">
        <v>15</v>
      </c>
      <c r="J350">
        <f t="shared" si="17"/>
        <v>198.14350000000002</v>
      </c>
      <c r="K350" t="s">
        <v>2024</v>
      </c>
      <c r="L350" t="str">
        <f>_xlfn.XLOOKUP(Orders[[#This Row],[ProductID]],Products!A:A,Products!C:C)</f>
        <v>Home</v>
      </c>
    </row>
    <row r="351" spans="1:12" x14ac:dyDescent="0.3">
      <c r="A351">
        <v>350</v>
      </c>
      <c r="B351">
        <v>350</v>
      </c>
      <c r="C351">
        <v>2</v>
      </c>
      <c r="D351" t="s">
        <v>2135</v>
      </c>
      <c r="E351">
        <f t="shared" si="15"/>
        <v>2023</v>
      </c>
      <c r="F351" t="str">
        <f t="shared" si="16"/>
        <v>Jul</v>
      </c>
      <c r="G351">
        <v>1</v>
      </c>
      <c r="H351">
        <f>_xlfn.XLOOKUP(C351,Products!A:A,Products!D:D)</f>
        <v>427.27</v>
      </c>
      <c r="I351">
        <v>15</v>
      </c>
      <c r="J351">
        <f t="shared" si="17"/>
        <v>363.17949999999996</v>
      </c>
      <c r="K351" t="s">
        <v>2021</v>
      </c>
      <c r="L351" t="str">
        <f>_xlfn.XLOOKUP(Orders[[#This Row],[ProductID]],Products!A:A,Products!C:C)</f>
        <v>Home</v>
      </c>
    </row>
    <row r="352" spans="1:12" x14ac:dyDescent="0.3">
      <c r="A352">
        <v>351</v>
      </c>
      <c r="B352">
        <v>351</v>
      </c>
      <c r="C352">
        <v>9</v>
      </c>
      <c r="D352" t="s">
        <v>2136</v>
      </c>
      <c r="E352">
        <f t="shared" si="15"/>
        <v>2023</v>
      </c>
      <c r="F352" t="str">
        <f t="shared" si="16"/>
        <v>Dec</v>
      </c>
      <c r="G352">
        <v>2</v>
      </c>
      <c r="H352">
        <f>_xlfn.XLOOKUP(C352,Products!A:A,Products!D:D)</f>
        <v>43.26</v>
      </c>
      <c r="I352">
        <v>20</v>
      </c>
      <c r="J352">
        <f t="shared" si="17"/>
        <v>69.215999999999994</v>
      </c>
      <c r="K352" t="s">
        <v>2024</v>
      </c>
      <c r="L352" t="str">
        <f>_xlfn.XLOOKUP(Orders[[#This Row],[ProductID]],Products!A:A,Products!C:C)</f>
        <v>Electronics</v>
      </c>
    </row>
    <row r="353" spans="1:12" x14ac:dyDescent="0.3">
      <c r="A353">
        <v>352</v>
      </c>
      <c r="B353">
        <v>352</v>
      </c>
      <c r="C353">
        <v>6</v>
      </c>
      <c r="D353" t="s">
        <v>2130</v>
      </c>
      <c r="E353">
        <f t="shared" si="15"/>
        <v>2023</v>
      </c>
      <c r="F353" t="str">
        <f t="shared" si="16"/>
        <v>Feb</v>
      </c>
      <c r="G353">
        <v>1</v>
      </c>
      <c r="H353">
        <f>_xlfn.XLOOKUP(C353,Products!A:A,Products!D:D)</f>
        <v>719.19</v>
      </c>
      <c r="I353">
        <v>15</v>
      </c>
      <c r="J353">
        <f t="shared" si="17"/>
        <v>611.31150000000002</v>
      </c>
      <c r="K353" t="s">
        <v>2024</v>
      </c>
      <c r="L353" t="str">
        <f>_xlfn.XLOOKUP(Orders[[#This Row],[ProductID]],Products!A:A,Products!C:C)</f>
        <v>Clothing</v>
      </c>
    </row>
    <row r="354" spans="1:12" x14ac:dyDescent="0.3">
      <c r="A354">
        <v>353</v>
      </c>
      <c r="B354">
        <v>353</v>
      </c>
      <c r="C354">
        <v>77</v>
      </c>
      <c r="D354" t="s">
        <v>290</v>
      </c>
      <c r="E354">
        <f t="shared" si="15"/>
        <v>2023</v>
      </c>
      <c r="F354" t="str">
        <f t="shared" si="16"/>
        <v>Sep</v>
      </c>
      <c r="G354">
        <v>1</v>
      </c>
      <c r="H354">
        <f>_xlfn.XLOOKUP(C354,Products!A:A,Products!D:D)</f>
        <v>1078.19</v>
      </c>
      <c r="I354">
        <v>20</v>
      </c>
      <c r="J354">
        <f t="shared" si="17"/>
        <v>862.55200000000013</v>
      </c>
      <c r="K354" t="s">
        <v>2015</v>
      </c>
      <c r="L354" t="str">
        <f>_xlfn.XLOOKUP(Orders[[#This Row],[ProductID]],Products!A:A,Products!C:C)</f>
        <v>Home</v>
      </c>
    </row>
    <row r="355" spans="1:12" x14ac:dyDescent="0.3">
      <c r="A355">
        <v>354</v>
      </c>
      <c r="B355">
        <v>354</v>
      </c>
      <c r="C355">
        <v>22</v>
      </c>
      <c r="D355" t="s">
        <v>475</v>
      </c>
      <c r="E355">
        <f t="shared" si="15"/>
        <v>2023</v>
      </c>
      <c r="F355" t="str">
        <f t="shared" si="16"/>
        <v>May</v>
      </c>
      <c r="G355">
        <v>1</v>
      </c>
      <c r="H355">
        <f>_xlfn.XLOOKUP(C355,Products!A:A,Products!D:D)</f>
        <v>373.43</v>
      </c>
      <c r="I355">
        <v>20</v>
      </c>
      <c r="J355">
        <f t="shared" si="17"/>
        <v>298.74400000000003</v>
      </c>
      <c r="K355" t="s">
        <v>2024</v>
      </c>
      <c r="L355" t="str">
        <f>_xlfn.XLOOKUP(Orders[[#This Row],[ProductID]],Products!A:A,Products!C:C)</f>
        <v>Beauty</v>
      </c>
    </row>
    <row r="356" spans="1:12" x14ac:dyDescent="0.3">
      <c r="A356">
        <v>355</v>
      </c>
      <c r="B356">
        <v>355</v>
      </c>
      <c r="C356">
        <v>50</v>
      </c>
      <c r="D356" t="s">
        <v>2137</v>
      </c>
      <c r="E356">
        <f t="shared" si="15"/>
        <v>2023</v>
      </c>
      <c r="F356" t="str">
        <f t="shared" si="16"/>
        <v>Dec</v>
      </c>
      <c r="G356">
        <v>3</v>
      </c>
      <c r="H356">
        <f>_xlfn.XLOOKUP(C356,Products!A:A,Products!D:D)</f>
        <v>1122.8699999999999</v>
      </c>
      <c r="I356">
        <v>5</v>
      </c>
      <c r="J356">
        <f t="shared" si="17"/>
        <v>3200.1794999999997</v>
      </c>
      <c r="K356" t="s">
        <v>2024</v>
      </c>
      <c r="L356" t="str">
        <f>_xlfn.XLOOKUP(Orders[[#This Row],[ProductID]],Products!A:A,Products!C:C)</f>
        <v>Home</v>
      </c>
    </row>
    <row r="357" spans="1:12" x14ac:dyDescent="0.3">
      <c r="A357">
        <v>356</v>
      </c>
      <c r="B357">
        <v>356</v>
      </c>
      <c r="C357">
        <v>23</v>
      </c>
      <c r="D357" t="s">
        <v>432</v>
      </c>
      <c r="E357">
        <f t="shared" si="15"/>
        <v>2023</v>
      </c>
      <c r="F357" t="str">
        <f t="shared" si="16"/>
        <v>Nov</v>
      </c>
      <c r="G357">
        <v>3</v>
      </c>
      <c r="H357">
        <f>_xlfn.XLOOKUP(C357,Products!A:A,Products!D:D)</f>
        <v>258.08</v>
      </c>
      <c r="I357">
        <v>10</v>
      </c>
      <c r="J357">
        <f t="shared" si="17"/>
        <v>696.81600000000003</v>
      </c>
      <c r="K357" t="s">
        <v>2017</v>
      </c>
      <c r="L357" t="str">
        <f>_xlfn.XLOOKUP(Orders[[#This Row],[ProductID]],Products!A:A,Products!C:C)</f>
        <v>Home</v>
      </c>
    </row>
    <row r="358" spans="1:12" x14ac:dyDescent="0.3">
      <c r="A358">
        <v>357</v>
      </c>
      <c r="B358">
        <v>357</v>
      </c>
      <c r="C358">
        <v>9</v>
      </c>
      <c r="D358" t="s">
        <v>918</v>
      </c>
      <c r="E358">
        <f t="shared" si="15"/>
        <v>2023</v>
      </c>
      <c r="F358" t="str">
        <f t="shared" si="16"/>
        <v>Jun</v>
      </c>
      <c r="G358">
        <v>1</v>
      </c>
      <c r="H358">
        <f>_xlfn.XLOOKUP(C358,Products!A:A,Products!D:D)</f>
        <v>43.26</v>
      </c>
      <c r="I358">
        <v>20</v>
      </c>
      <c r="J358">
        <f t="shared" si="17"/>
        <v>34.607999999999997</v>
      </c>
      <c r="K358" t="s">
        <v>2015</v>
      </c>
      <c r="L358" t="str">
        <f>_xlfn.XLOOKUP(Orders[[#This Row],[ProductID]],Products!A:A,Products!C:C)</f>
        <v>Electronics</v>
      </c>
    </row>
    <row r="359" spans="1:12" x14ac:dyDescent="0.3">
      <c r="A359">
        <v>358</v>
      </c>
      <c r="B359">
        <v>358</v>
      </c>
      <c r="C359">
        <v>58</v>
      </c>
      <c r="D359" t="s">
        <v>1339</v>
      </c>
      <c r="E359">
        <f t="shared" si="15"/>
        <v>2023</v>
      </c>
      <c r="F359" t="str">
        <f t="shared" si="16"/>
        <v>Jul</v>
      </c>
      <c r="G359">
        <v>3</v>
      </c>
      <c r="H359">
        <f>_xlfn.XLOOKUP(C359,Products!A:A,Products!D:D)</f>
        <v>334.98</v>
      </c>
      <c r="I359">
        <v>5</v>
      </c>
      <c r="J359">
        <f t="shared" si="17"/>
        <v>954.69299999999998</v>
      </c>
      <c r="K359" t="s">
        <v>2015</v>
      </c>
      <c r="L359" t="str">
        <f>_xlfn.XLOOKUP(Orders[[#This Row],[ProductID]],Products!A:A,Products!C:C)</f>
        <v>Home</v>
      </c>
    </row>
    <row r="360" spans="1:12" x14ac:dyDescent="0.3">
      <c r="A360">
        <v>359</v>
      </c>
      <c r="B360">
        <v>359</v>
      </c>
      <c r="C360">
        <v>76</v>
      </c>
      <c r="D360" t="s">
        <v>2138</v>
      </c>
      <c r="E360">
        <f t="shared" si="15"/>
        <v>2023</v>
      </c>
      <c r="F360" t="str">
        <f t="shared" si="16"/>
        <v>Dec</v>
      </c>
      <c r="G360">
        <v>1</v>
      </c>
      <c r="H360">
        <f>_xlfn.XLOOKUP(C360,Products!A:A,Products!D:D)</f>
        <v>1043.26</v>
      </c>
      <c r="I360">
        <v>5</v>
      </c>
      <c r="J360">
        <f t="shared" si="17"/>
        <v>991.09699999999998</v>
      </c>
      <c r="K360" t="s">
        <v>2019</v>
      </c>
      <c r="L360" t="str">
        <f>_xlfn.XLOOKUP(Orders[[#This Row],[ProductID]],Products!A:A,Products!C:C)</f>
        <v>Clothing</v>
      </c>
    </row>
    <row r="361" spans="1:12" x14ac:dyDescent="0.3">
      <c r="A361">
        <v>360</v>
      </c>
      <c r="B361">
        <v>360</v>
      </c>
      <c r="C361">
        <v>79</v>
      </c>
      <c r="D361" t="s">
        <v>2139</v>
      </c>
      <c r="E361">
        <f t="shared" si="15"/>
        <v>2024</v>
      </c>
      <c r="F361" t="str">
        <f t="shared" si="16"/>
        <v>Jan</v>
      </c>
      <c r="G361">
        <v>1</v>
      </c>
      <c r="H361">
        <f>_xlfn.XLOOKUP(C361,Products!A:A,Products!D:D)</f>
        <v>488.34</v>
      </c>
      <c r="I361">
        <v>10</v>
      </c>
      <c r="J361">
        <f t="shared" si="17"/>
        <v>439.50599999999997</v>
      </c>
      <c r="K361" t="s">
        <v>2021</v>
      </c>
      <c r="L361" t="str">
        <f>_xlfn.XLOOKUP(Orders[[#This Row],[ProductID]],Products!A:A,Products!C:C)</f>
        <v>Electronics</v>
      </c>
    </row>
    <row r="362" spans="1:12" x14ac:dyDescent="0.3">
      <c r="A362">
        <v>361</v>
      </c>
      <c r="B362">
        <v>361</v>
      </c>
      <c r="C362">
        <v>55</v>
      </c>
      <c r="D362" t="s">
        <v>2140</v>
      </c>
      <c r="E362">
        <f t="shared" si="15"/>
        <v>2024</v>
      </c>
      <c r="F362" t="str">
        <f t="shared" si="16"/>
        <v>Jan</v>
      </c>
      <c r="G362">
        <v>1</v>
      </c>
      <c r="H362">
        <f>_xlfn.XLOOKUP(C362,Products!A:A,Products!D:D)</f>
        <v>1016.06</v>
      </c>
      <c r="I362">
        <v>20</v>
      </c>
      <c r="J362">
        <f t="shared" si="17"/>
        <v>812.84799999999996</v>
      </c>
      <c r="K362" t="s">
        <v>2019</v>
      </c>
      <c r="L362" t="str">
        <f>_xlfn.XLOOKUP(Orders[[#This Row],[ProductID]],Products!A:A,Products!C:C)</f>
        <v>Clothing</v>
      </c>
    </row>
    <row r="363" spans="1:12" x14ac:dyDescent="0.3">
      <c r="A363">
        <v>362</v>
      </c>
      <c r="B363">
        <v>362</v>
      </c>
      <c r="C363">
        <v>8</v>
      </c>
      <c r="D363" t="s">
        <v>331</v>
      </c>
      <c r="E363">
        <f t="shared" si="15"/>
        <v>2023</v>
      </c>
      <c r="F363" t="str">
        <f t="shared" si="16"/>
        <v>Mar</v>
      </c>
      <c r="G363">
        <v>2</v>
      </c>
      <c r="H363">
        <f>_xlfn.XLOOKUP(C363,Products!A:A,Products!D:D)</f>
        <v>155.08000000000001</v>
      </c>
      <c r="I363">
        <v>15</v>
      </c>
      <c r="J363">
        <f t="shared" si="17"/>
        <v>263.63600000000002</v>
      </c>
      <c r="K363" t="s">
        <v>2024</v>
      </c>
      <c r="L363" t="str">
        <f>_xlfn.XLOOKUP(Orders[[#This Row],[ProductID]],Products!A:A,Products!C:C)</f>
        <v>Clothing</v>
      </c>
    </row>
    <row r="364" spans="1:12" x14ac:dyDescent="0.3">
      <c r="A364">
        <v>363</v>
      </c>
      <c r="B364">
        <v>363</v>
      </c>
      <c r="C364">
        <v>26</v>
      </c>
      <c r="D364" t="s">
        <v>2060</v>
      </c>
      <c r="E364">
        <f t="shared" si="15"/>
        <v>2023</v>
      </c>
      <c r="F364" t="str">
        <f t="shared" si="16"/>
        <v>Mar</v>
      </c>
      <c r="G364">
        <v>2</v>
      </c>
      <c r="H364">
        <f>_xlfn.XLOOKUP(C364,Products!A:A,Products!D:D)</f>
        <v>272.61</v>
      </c>
      <c r="I364">
        <v>5</v>
      </c>
      <c r="J364">
        <f t="shared" si="17"/>
        <v>517.95899999999995</v>
      </c>
      <c r="K364" t="s">
        <v>2019</v>
      </c>
      <c r="L364" t="str">
        <f>_xlfn.XLOOKUP(Orders[[#This Row],[ProductID]],Products!A:A,Products!C:C)</f>
        <v>Home</v>
      </c>
    </row>
    <row r="365" spans="1:12" x14ac:dyDescent="0.3">
      <c r="A365">
        <v>364</v>
      </c>
      <c r="B365">
        <v>364</v>
      </c>
      <c r="C365">
        <v>31</v>
      </c>
      <c r="D365" t="s">
        <v>2122</v>
      </c>
      <c r="E365">
        <f t="shared" si="15"/>
        <v>2024</v>
      </c>
      <c r="F365" t="str">
        <f t="shared" si="16"/>
        <v>Apr</v>
      </c>
      <c r="G365">
        <v>3</v>
      </c>
      <c r="H365">
        <f>_xlfn.XLOOKUP(C365,Products!A:A,Products!D:D)</f>
        <v>131.79</v>
      </c>
      <c r="I365">
        <v>20</v>
      </c>
      <c r="J365">
        <f t="shared" si="17"/>
        <v>316.29600000000005</v>
      </c>
      <c r="K365" t="s">
        <v>2017</v>
      </c>
      <c r="L365" t="str">
        <f>_xlfn.XLOOKUP(Orders[[#This Row],[ProductID]],Products!A:A,Products!C:C)</f>
        <v>Beauty</v>
      </c>
    </row>
    <row r="366" spans="1:12" x14ac:dyDescent="0.3">
      <c r="A366">
        <v>365</v>
      </c>
      <c r="B366">
        <v>365</v>
      </c>
      <c r="C366">
        <v>43</v>
      </c>
      <c r="D366" t="s">
        <v>852</v>
      </c>
      <c r="E366">
        <f t="shared" si="15"/>
        <v>2023</v>
      </c>
      <c r="F366" t="str">
        <f t="shared" si="16"/>
        <v>Mar</v>
      </c>
      <c r="G366">
        <v>2</v>
      </c>
      <c r="H366">
        <f>_xlfn.XLOOKUP(C366,Products!A:A,Products!D:D)</f>
        <v>760.86</v>
      </c>
      <c r="I366">
        <v>10</v>
      </c>
      <c r="J366">
        <f t="shared" si="17"/>
        <v>1369.548</v>
      </c>
      <c r="K366" t="s">
        <v>2019</v>
      </c>
      <c r="L366" t="str">
        <f>_xlfn.XLOOKUP(Orders[[#This Row],[ProductID]],Products!A:A,Products!C:C)</f>
        <v>Electronics</v>
      </c>
    </row>
    <row r="367" spans="1:12" x14ac:dyDescent="0.3">
      <c r="A367">
        <v>366</v>
      </c>
      <c r="B367">
        <v>366</v>
      </c>
      <c r="C367">
        <v>67</v>
      </c>
      <c r="D367" t="s">
        <v>2141</v>
      </c>
      <c r="E367">
        <f t="shared" si="15"/>
        <v>2024</v>
      </c>
      <c r="F367" t="str">
        <f t="shared" si="16"/>
        <v>Feb</v>
      </c>
      <c r="G367">
        <v>2</v>
      </c>
      <c r="H367">
        <f>_xlfn.XLOOKUP(C367,Products!A:A,Products!D:D)</f>
        <v>258.35000000000002</v>
      </c>
      <c r="I367">
        <v>10</v>
      </c>
      <c r="J367">
        <f t="shared" si="17"/>
        <v>465.03000000000003</v>
      </c>
      <c r="K367" t="s">
        <v>2019</v>
      </c>
      <c r="L367" t="str">
        <f>_xlfn.XLOOKUP(Orders[[#This Row],[ProductID]],Products!A:A,Products!C:C)</f>
        <v>Electronics</v>
      </c>
    </row>
    <row r="368" spans="1:12" x14ac:dyDescent="0.3">
      <c r="A368">
        <v>367</v>
      </c>
      <c r="B368">
        <v>367</v>
      </c>
      <c r="C368">
        <v>30</v>
      </c>
      <c r="D368" t="s">
        <v>2142</v>
      </c>
      <c r="E368">
        <f t="shared" si="15"/>
        <v>2024</v>
      </c>
      <c r="F368" t="str">
        <f t="shared" si="16"/>
        <v>Mar</v>
      </c>
      <c r="G368">
        <v>3</v>
      </c>
      <c r="H368">
        <f>_xlfn.XLOOKUP(C368,Products!A:A,Products!D:D)</f>
        <v>866.89</v>
      </c>
      <c r="I368">
        <v>10</v>
      </c>
      <c r="J368">
        <f t="shared" si="17"/>
        <v>2340.6030000000001</v>
      </c>
      <c r="K368" t="s">
        <v>2024</v>
      </c>
      <c r="L368" t="str">
        <f>_xlfn.XLOOKUP(Orders[[#This Row],[ProductID]],Products!A:A,Products!C:C)</f>
        <v>Electronics</v>
      </c>
    </row>
    <row r="369" spans="1:12" x14ac:dyDescent="0.3">
      <c r="A369">
        <v>368</v>
      </c>
      <c r="B369">
        <v>368</v>
      </c>
      <c r="C369">
        <v>32</v>
      </c>
      <c r="D369" t="s">
        <v>1312</v>
      </c>
      <c r="E369">
        <f t="shared" si="15"/>
        <v>2023</v>
      </c>
      <c r="F369" t="str">
        <f t="shared" si="16"/>
        <v>Apr</v>
      </c>
      <c r="G369">
        <v>3</v>
      </c>
      <c r="H369">
        <f>_xlfn.XLOOKUP(C369,Products!A:A,Products!D:D)</f>
        <v>342.57</v>
      </c>
      <c r="I369">
        <v>0</v>
      </c>
      <c r="J369">
        <f t="shared" si="17"/>
        <v>1027.71</v>
      </c>
      <c r="K369" t="s">
        <v>2021</v>
      </c>
      <c r="L369" t="str">
        <f>_xlfn.XLOOKUP(Orders[[#This Row],[ProductID]],Products!A:A,Products!C:C)</f>
        <v>Clothing</v>
      </c>
    </row>
    <row r="370" spans="1:12" x14ac:dyDescent="0.3">
      <c r="A370">
        <v>369</v>
      </c>
      <c r="B370">
        <v>369</v>
      </c>
      <c r="C370">
        <v>29</v>
      </c>
      <c r="D370" t="s">
        <v>360</v>
      </c>
      <c r="E370">
        <f t="shared" si="15"/>
        <v>2023</v>
      </c>
      <c r="F370" t="str">
        <f t="shared" si="16"/>
        <v>Nov</v>
      </c>
      <c r="G370">
        <v>2</v>
      </c>
      <c r="H370">
        <f>_xlfn.XLOOKUP(C370,Products!A:A,Products!D:D)</f>
        <v>757</v>
      </c>
      <c r="I370">
        <v>20</v>
      </c>
      <c r="J370">
        <f t="shared" si="17"/>
        <v>1211.2</v>
      </c>
      <c r="K370" t="s">
        <v>2024</v>
      </c>
      <c r="L370" t="str">
        <f>_xlfn.XLOOKUP(Orders[[#This Row],[ProductID]],Products!A:A,Products!C:C)</f>
        <v>Clothing</v>
      </c>
    </row>
    <row r="371" spans="1:12" x14ac:dyDescent="0.3">
      <c r="A371">
        <v>370</v>
      </c>
      <c r="B371">
        <v>370</v>
      </c>
      <c r="C371">
        <v>24</v>
      </c>
      <c r="D371" t="s">
        <v>2143</v>
      </c>
      <c r="E371">
        <f t="shared" si="15"/>
        <v>2023</v>
      </c>
      <c r="F371" t="str">
        <f t="shared" si="16"/>
        <v>Aug</v>
      </c>
      <c r="G371">
        <v>3</v>
      </c>
      <c r="H371">
        <f>_xlfn.XLOOKUP(C371,Products!A:A,Products!D:D)</f>
        <v>1019.85</v>
      </c>
      <c r="I371">
        <v>0</v>
      </c>
      <c r="J371">
        <f t="shared" si="17"/>
        <v>3059.55</v>
      </c>
      <c r="K371" t="s">
        <v>2019</v>
      </c>
      <c r="L371" t="str">
        <f>_xlfn.XLOOKUP(Orders[[#This Row],[ProductID]],Products!A:A,Products!C:C)</f>
        <v>Beauty</v>
      </c>
    </row>
    <row r="372" spans="1:12" x14ac:dyDescent="0.3">
      <c r="A372">
        <v>371</v>
      </c>
      <c r="B372">
        <v>371</v>
      </c>
      <c r="C372">
        <v>63</v>
      </c>
      <c r="D372" t="s">
        <v>2144</v>
      </c>
      <c r="E372">
        <f t="shared" si="15"/>
        <v>2023</v>
      </c>
      <c r="F372" t="str">
        <f t="shared" si="16"/>
        <v>Feb</v>
      </c>
      <c r="G372">
        <v>1</v>
      </c>
      <c r="H372">
        <f>_xlfn.XLOOKUP(C372,Products!A:A,Products!D:D)</f>
        <v>309.79000000000002</v>
      </c>
      <c r="I372">
        <v>0</v>
      </c>
      <c r="J372">
        <f t="shared" si="17"/>
        <v>309.79000000000002</v>
      </c>
      <c r="K372" t="s">
        <v>2021</v>
      </c>
      <c r="L372" t="str">
        <f>_xlfn.XLOOKUP(Orders[[#This Row],[ProductID]],Products!A:A,Products!C:C)</f>
        <v>Electronics</v>
      </c>
    </row>
    <row r="373" spans="1:12" x14ac:dyDescent="0.3">
      <c r="A373">
        <v>372</v>
      </c>
      <c r="B373">
        <v>372</v>
      </c>
      <c r="C373">
        <v>27</v>
      </c>
      <c r="D373" t="s">
        <v>1138</v>
      </c>
      <c r="E373">
        <f t="shared" si="15"/>
        <v>2023</v>
      </c>
      <c r="F373" t="str">
        <f t="shared" si="16"/>
        <v>Mar</v>
      </c>
      <c r="G373">
        <v>1</v>
      </c>
      <c r="H373">
        <f>_xlfn.XLOOKUP(C373,Products!A:A,Products!D:D)</f>
        <v>76.09</v>
      </c>
      <c r="I373">
        <v>5</v>
      </c>
      <c r="J373">
        <f t="shared" si="17"/>
        <v>72.285499999999999</v>
      </c>
      <c r="K373" t="s">
        <v>2015</v>
      </c>
      <c r="L373" t="str">
        <f>_xlfn.XLOOKUP(Orders[[#This Row],[ProductID]],Products!A:A,Products!C:C)</f>
        <v>Clothing</v>
      </c>
    </row>
    <row r="374" spans="1:12" x14ac:dyDescent="0.3">
      <c r="A374">
        <v>373</v>
      </c>
      <c r="B374">
        <v>373</v>
      </c>
      <c r="C374">
        <v>71</v>
      </c>
      <c r="D374" t="s">
        <v>2145</v>
      </c>
      <c r="E374">
        <f t="shared" si="15"/>
        <v>2024</v>
      </c>
      <c r="F374" t="str">
        <f t="shared" si="16"/>
        <v>Mar</v>
      </c>
      <c r="G374">
        <v>1</v>
      </c>
      <c r="H374">
        <f>_xlfn.XLOOKUP(C374,Products!A:A,Products!D:D)</f>
        <v>780.27</v>
      </c>
      <c r="I374">
        <v>5</v>
      </c>
      <c r="J374">
        <f t="shared" si="17"/>
        <v>741.25649999999996</v>
      </c>
      <c r="K374" t="s">
        <v>2015</v>
      </c>
      <c r="L374" t="str">
        <f>_xlfn.XLOOKUP(Orders[[#This Row],[ProductID]],Products!A:A,Products!C:C)</f>
        <v>Electronics</v>
      </c>
    </row>
    <row r="375" spans="1:12" x14ac:dyDescent="0.3">
      <c r="A375">
        <v>374</v>
      </c>
      <c r="B375">
        <v>374</v>
      </c>
      <c r="C375">
        <v>11</v>
      </c>
      <c r="D375" t="s">
        <v>761</v>
      </c>
      <c r="E375">
        <f t="shared" si="15"/>
        <v>2023</v>
      </c>
      <c r="F375" t="str">
        <f t="shared" si="16"/>
        <v>Aug</v>
      </c>
      <c r="G375">
        <v>3</v>
      </c>
      <c r="H375">
        <f>_xlfn.XLOOKUP(C375,Products!A:A,Products!D:D)</f>
        <v>1038.77</v>
      </c>
      <c r="I375">
        <v>15</v>
      </c>
      <c r="J375">
        <f t="shared" si="17"/>
        <v>2648.8634999999999</v>
      </c>
      <c r="K375" t="s">
        <v>2024</v>
      </c>
      <c r="L375" t="str">
        <f>_xlfn.XLOOKUP(Orders[[#This Row],[ProductID]],Products!A:A,Products!C:C)</f>
        <v>Beauty</v>
      </c>
    </row>
    <row r="376" spans="1:12" x14ac:dyDescent="0.3">
      <c r="A376">
        <v>375</v>
      </c>
      <c r="B376">
        <v>375</v>
      </c>
      <c r="C376">
        <v>22</v>
      </c>
      <c r="D376" t="s">
        <v>2146</v>
      </c>
      <c r="E376">
        <f t="shared" si="15"/>
        <v>2024</v>
      </c>
      <c r="F376" t="str">
        <f t="shared" si="16"/>
        <v>Jan</v>
      </c>
      <c r="G376">
        <v>1</v>
      </c>
      <c r="H376">
        <f>_xlfn.XLOOKUP(C376,Products!A:A,Products!D:D)</f>
        <v>373.43</v>
      </c>
      <c r="I376">
        <v>5</v>
      </c>
      <c r="J376">
        <f t="shared" si="17"/>
        <v>354.75849999999997</v>
      </c>
      <c r="K376" t="s">
        <v>2017</v>
      </c>
      <c r="L376" t="str">
        <f>_xlfn.XLOOKUP(Orders[[#This Row],[ProductID]],Products!A:A,Products!C:C)</f>
        <v>Beauty</v>
      </c>
    </row>
    <row r="377" spans="1:12" x14ac:dyDescent="0.3">
      <c r="A377">
        <v>376</v>
      </c>
      <c r="B377">
        <v>376</v>
      </c>
      <c r="C377">
        <v>23</v>
      </c>
      <c r="D377" t="s">
        <v>912</v>
      </c>
      <c r="E377">
        <f t="shared" si="15"/>
        <v>2023</v>
      </c>
      <c r="F377" t="str">
        <f t="shared" si="16"/>
        <v>Nov</v>
      </c>
      <c r="G377">
        <v>1</v>
      </c>
      <c r="H377">
        <f>_xlfn.XLOOKUP(C377,Products!A:A,Products!D:D)</f>
        <v>258.08</v>
      </c>
      <c r="I377">
        <v>10</v>
      </c>
      <c r="J377">
        <f t="shared" si="17"/>
        <v>232.27199999999999</v>
      </c>
      <c r="K377" t="s">
        <v>2024</v>
      </c>
      <c r="L377" t="str">
        <f>_xlfn.XLOOKUP(Orders[[#This Row],[ProductID]],Products!A:A,Products!C:C)</f>
        <v>Home</v>
      </c>
    </row>
    <row r="378" spans="1:12" x14ac:dyDescent="0.3">
      <c r="A378">
        <v>377</v>
      </c>
      <c r="B378">
        <v>377</v>
      </c>
      <c r="C378">
        <v>74</v>
      </c>
      <c r="D378" t="s">
        <v>981</v>
      </c>
      <c r="E378">
        <f t="shared" si="15"/>
        <v>2023</v>
      </c>
      <c r="F378" t="str">
        <f t="shared" si="16"/>
        <v>Aug</v>
      </c>
      <c r="G378">
        <v>3</v>
      </c>
      <c r="H378">
        <f>_xlfn.XLOOKUP(C378,Products!A:A,Products!D:D)</f>
        <v>1034.31</v>
      </c>
      <c r="I378">
        <v>5</v>
      </c>
      <c r="J378">
        <f t="shared" si="17"/>
        <v>2947.7834999999995</v>
      </c>
      <c r="K378" t="s">
        <v>2024</v>
      </c>
      <c r="L378" t="str">
        <f>_xlfn.XLOOKUP(Orders[[#This Row],[ProductID]],Products!A:A,Products!C:C)</f>
        <v>Electronics</v>
      </c>
    </row>
    <row r="379" spans="1:12" x14ac:dyDescent="0.3">
      <c r="A379">
        <v>378</v>
      </c>
      <c r="B379">
        <v>378</v>
      </c>
      <c r="C379">
        <v>62</v>
      </c>
      <c r="D379" t="s">
        <v>153</v>
      </c>
      <c r="E379">
        <f t="shared" si="15"/>
        <v>2023</v>
      </c>
      <c r="F379" t="str">
        <f t="shared" si="16"/>
        <v>Feb</v>
      </c>
      <c r="G379">
        <v>2</v>
      </c>
      <c r="H379">
        <f>_xlfn.XLOOKUP(C379,Products!A:A,Products!D:D)</f>
        <v>196.96</v>
      </c>
      <c r="I379">
        <v>15</v>
      </c>
      <c r="J379">
        <f t="shared" si="17"/>
        <v>334.83199999999999</v>
      </c>
      <c r="K379" t="s">
        <v>2017</v>
      </c>
      <c r="L379" t="str">
        <f>_xlfn.XLOOKUP(Orders[[#This Row],[ProductID]],Products!A:A,Products!C:C)</f>
        <v>Electronics</v>
      </c>
    </row>
    <row r="380" spans="1:12" x14ac:dyDescent="0.3">
      <c r="A380">
        <v>379</v>
      </c>
      <c r="B380">
        <v>379</v>
      </c>
      <c r="C380">
        <v>22</v>
      </c>
      <c r="D380" t="s">
        <v>295</v>
      </c>
      <c r="E380">
        <f t="shared" si="15"/>
        <v>2023</v>
      </c>
      <c r="F380" t="str">
        <f t="shared" si="16"/>
        <v>Aug</v>
      </c>
      <c r="G380">
        <v>2</v>
      </c>
      <c r="H380">
        <f>_xlfn.XLOOKUP(C380,Products!A:A,Products!D:D)</f>
        <v>373.43</v>
      </c>
      <c r="I380">
        <v>15</v>
      </c>
      <c r="J380">
        <f t="shared" si="17"/>
        <v>634.83100000000002</v>
      </c>
      <c r="K380" t="s">
        <v>2015</v>
      </c>
      <c r="L380" t="str">
        <f>_xlfn.XLOOKUP(Orders[[#This Row],[ProductID]],Products!A:A,Products!C:C)</f>
        <v>Beauty</v>
      </c>
    </row>
    <row r="381" spans="1:12" x14ac:dyDescent="0.3">
      <c r="A381">
        <v>380</v>
      </c>
      <c r="B381">
        <v>380</v>
      </c>
      <c r="C381">
        <v>79</v>
      </c>
      <c r="D381" t="s">
        <v>2147</v>
      </c>
      <c r="E381">
        <f t="shared" si="15"/>
        <v>2024</v>
      </c>
      <c r="F381" t="str">
        <f t="shared" si="16"/>
        <v>Jan</v>
      </c>
      <c r="G381">
        <v>2</v>
      </c>
      <c r="H381">
        <f>_xlfn.XLOOKUP(C381,Products!A:A,Products!D:D)</f>
        <v>488.34</v>
      </c>
      <c r="I381">
        <v>5</v>
      </c>
      <c r="J381">
        <f t="shared" si="17"/>
        <v>927.84599999999989</v>
      </c>
      <c r="K381" t="s">
        <v>2017</v>
      </c>
      <c r="L381" t="str">
        <f>_xlfn.XLOOKUP(Orders[[#This Row],[ProductID]],Products!A:A,Products!C:C)</f>
        <v>Electronics</v>
      </c>
    </row>
    <row r="382" spans="1:12" x14ac:dyDescent="0.3">
      <c r="A382">
        <v>381</v>
      </c>
      <c r="B382">
        <v>381</v>
      </c>
      <c r="C382">
        <v>3</v>
      </c>
      <c r="D382" t="s">
        <v>2127</v>
      </c>
      <c r="E382">
        <f t="shared" si="15"/>
        <v>2024</v>
      </c>
      <c r="F382" t="str">
        <f t="shared" si="16"/>
        <v>Jan</v>
      </c>
      <c r="G382">
        <v>2</v>
      </c>
      <c r="H382">
        <f>_xlfn.XLOOKUP(C382,Products!A:A,Products!D:D)</f>
        <v>506.08</v>
      </c>
      <c r="I382">
        <v>15</v>
      </c>
      <c r="J382">
        <f t="shared" si="17"/>
        <v>860.3359999999999</v>
      </c>
      <c r="K382" t="s">
        <v>2019</v>
      </c>
      <c r="L382" t="str">
        <f>_xlfn.XLOOKUP(Orders[[#This Row],[ProductID]],Products!A:A,Products!C:C)</f>
        <v>Clothing</v>
      </c>
    </row>
    <row r="383" spans="1:12" x14ac:dyDescent="0.3">
      <c r="A383">
        <v>382</v>
      </c>
      <c r="B383">
        <v>382</v>
      </c>
      <c r="C383">
        <v>39</v>
      </c>
      <c r="D383" t="s">
        <v>1413</v>
      </c>
      <c r="E383">
        <f t="shared" si="15"/>
        <v>2023</v>
      </c>
      <c r="F383" t="str">
        <f t="shared" si="16"/>
        <v>Nov</v>
      </c>
      <c r="G383">
        <v>3</v>
      </c>
      <c r="H383">
        <f>_xlfn.XLOOKUP(C383,Products!A:A,Products!D:D)</f>
        <v>256.08999999999997</v>
      </c>
      <c r="I383">
        <v>5</v>
      </c>
      <c r="J383">
        <f t="shared" si="17"/>
        <v>729.85649999999998</v>
      </c>
      <c r="K383" t="s">
        <v>2015</v>
      </c>
      <c r="L383" t="str">
        <f>_xlfn.XLOOKUP(Orders[[#This Row],[ProductID]],Products!A:A,Products!C:C)</f>
        <v>Clothing</v>
      </c>
    </row>
    <row r="384" spans="1:12" x14ac:dyDescent="0.3">
      <c r="A384">
        <v>383</v>
      </c>
      <c r="B384">
        <v>383</v>
      </c>
      <c r="C384">
        <v>23</v>
      </c>
      <c r="D384" t="s">
        <v>1628</v>
      </c>
      <c r="E384">
        <f t="shared" si="15"/>
        <v>2023</v>
      </c>
      <c r="F384" t="str">
        <f t="shared" si="16"/>
        <v>May</v>
      </c>
      <c r="G384">
        <v>2</v>
      </c>
      <c r="H384">
        <f>_xlfn.XLOOKUP(C384,Products!A:A,Products!D:D)</f>
        <v>258.08</v>
      </c>
      <c r="I384">
        <v>15</v>
      </c>
      <c r="J384">
        <f t="shared" si="17"/>
        <v>438.73599999999993</v>
      </c>
      <c r="K384" t="s">
        <v>2024</v>
      </c>
      <c r="L384" t="str">
        <f>_xlfn.XLOOKUP(Orders[[#This Row],[ProductID]],Products!A:A,Products!C:C)</f>
        <v>Home</v>
      </c>
    </row>
    <row r="385" spans="1:12" x14ac:dyDescent="0.3">
      <c r="A385">
        <v>384</v>
      </c>
      <c r="B385">
        <v>384</v>
      </c>
      <c r="C385">
        <v>59</v>
      </c>
      <c r="D385" t="s">
        <v>2067</v>
      </c>
      <c r="E385">
        <f t="shared" si="15"/>
        <v>2023</v>
      </c>
      <c r="F385" t="str">
        <f t="shared" si="16"/>
        <v>May</v>
      </c>
      <c r="G385">
        <v>2</v>
      </c>
      <c r="H385">
        <f>_xlfn.XLOOKUP(C385,Products!A:A,Products!D:D)</f>
        <v>782.33</v>
      </c>
      <c r="I385">
        <v>20</v>
      </c>
      <c r="J385">
        <f t="shared" si="17"/>
        <v>1251.7280000000001</v>
      </c>
      <c r="K385" t="s">
        <v>2015</v>
      </c>
      <c r="L385" t="str">
        <f>_xlfn.XLOOKUP(Orders[[#This Row],[ProductID]],Products!A:A,Products!C:C)</f>
        <v>Clothing</v>
      </c>
    </row>
    <row r="386" spans="1:12" x14ac:dyDescent="0.3">
      <c r="A386">
        <v>385</v>
      </c>
      <c r="B386">
        <v>385</v>
      </c>
      <c r="C386">
        <v>62</v>
      </c>
      <c r="D386" t="s">
        <v>1002</v>
      </c>
      <c r="E386">
        <f t="shared" si="15"/>
        <v>2023</v>
      </c>
      <c r="F386" t="str">
        <f t="shared" si="16"/>
        <v>Feb</v>
      </c>
      <c r="G386">
        <v>2</v>
      </c>
      <c r="H386">
        <f>_xlfn.XLOOKUP(C386,Products!A:A,Products!D:D)</f>
        <v>196.96</v>
      </c>
      <c r="I386">
        <v>5</v>
      </c>
      <c r="J386">
        <f t="shared" si="17"/>
        <v>374.22399999999999</v>
      </c>
      <c r="K386" t="s">
        <v>2017</v>
      </c>
      <c r="L386" t="str">
        <f>_xlfn.XLOOKUP(Orders[[#This Row],[ProductID]],Products!A:A,Products!C:C)</f>
        <v>Electronics</v>
      </c>
    </row>
    <row r="387" spans="1:12" x14ac:dyDescent="0.3">
      <c r="A387">
        <v>386</v>
      </c>
      <c r="B387">
        <v>386</v>
      </c>
      <c r="C387">
        <v>26</v>
      </c>
      <c r="D387" t="s">
        <v>927</v>
      </c>
      <c r="E387">
        <f t="shared" ref="E387:E450" si="18">YEAR(D387)</f>
        <v>2023</v>
      </c>
      <c r="F387" t="str">
        <f t="shared" ref="F387:F450" si="19">TEXT(D387,"mmm")</f>
        <v>Mar</v>
      </c>
      <c r="G387">
        <v>1</v>
      </c>
      <c r="H387">
        <f>_xlfn.XLOOKUP(C387,Products!A:A,Products!D:D)</f>
        <v>272.61</v>
      </c>
      <c r="I387">
        <v>0</v>
      </c>
      <c r="J387">
        <f t="shared" ref="J387:J450" si="20">G387*H387*(1-I387/100)</f>
        <v>272.61</v>
      </c>
      <c r="K387" t="s">
        <v>2019</v>
      </c>
      <c r="L387" t="str">
        <f>_xlfn.XLOOKUP(Orders[[#This Row],[ProductID]],Products!A:A,Products!C:C)</f>
        <v>Home</v>
      </c>
    </row>
    <row r="388" spans="1:12" x14ac:dyDescent="0.3">
      <c r="A388">
        <v>387</v>
      </c>
      <c r="B388">
        <v>387</v>
      </c>
      <c r="C388">
        <v>65</v>
      </c>
      <c r="D388" t="s">
        <v>2092</v>
      </c>
      <c r="E388">
        <f t="shared" si="18"/>
        <v>2024</v>
      </c>
      <c r="F388" t="str">
        <f t="shared" si="19"/>
        <v>Jan</v>
      </c>
      <c r="G388">
        <v>3</v>
      </c>
      <c r="H388">
        <f>_xlfn.XLOOKUP(C388,Products!A:A,Products!D:D)</f>
        <v>1189.73</v>
      </c>
      <c r="I388">
        <v>10</v>
      </c>
      <c r="J388">
        <f t="shared" si="20"/>
        <v>3212.2710000000002</v>
      </c>
      <c r="K388" t="s">
        <v>2017</v>
      </c>
      <c r="L388" t="str">
        <f>_xlfn.XLOOKUP(Orders[[#This Row],[ProductID]],Products!A:A,Products!C:C)</f>
        <v>Home</v>
      </c>
    </row>
    <row r="389" spans="1:12" x14ac:dyDescent="0.3">
      <c r="A389">
        <v>388</v>
      </c>
      <c r="B389">
        <v>388</v>
      </c>
      <c r="C389">
        <v>52</v>
      </c>
      <c r="D389" t="s">
        <v>2148</v>
      </c>
      <c r="E389">
        <f t="shared" si="18"/>
        <v>2024</v>
      </c>
      <c r="F389" t="str">
        <f t="shared" si="19"/>
        <v>Apr</v>
      </c>
      <c r="G389">
        <v>2</v>
      </c>
      <c r="H389">
        <f>_xlfn.XLOOKUP(C389,Products!A:A,Products!D:D)</f>
        <v>256.76</v>
      </c>
      <c r="I389">
        <v>15</v>
      </c>
      <c r="J389">
        <f t="shared" si="20"/>
        <v>436.49199999999996</v>
      </c>
      <c r="K389" t="s">
        <v>2024</v>
      </c>
      <c r="L389" t="str">
        <f>_xlfn.XLOOKUP(Orders[[#This Row],[ProductID]],Products!A:A,Products!C:C)</f>
        <v>Home</v>
      </c>
    </row>
    <row r="390" spans="1:12" x14ac:dyDescent="0.3">
      <c r="A390">
        <v>389</v>
      </c>
      <c r="B390">
        <v>389</v>
      </c>
      <c r="C390">
        <v>50</v>
      </c>
      <c r="D390" t="s">
        <v>2034</v>
      </c>
      <c r="E390">
        <f t="shared" si="18"/>
        <v>2023</v>
      </c>
      <c r="F390" t="str">
        <f t="shared" si="19"/>
        <v>Sep</v>
      </c>
      <c r="G390">
        <v>2</v>
      </c>
      <c r="H390">
        <f>_xlfn.XLOOKUP(C390,Products!A:A,Products!D:D)</f>
        <v>1122.8699999999999</v>
      </c>
      <c r="I390">
        <v>20</v>
      </c>
      <c r="J390">
        <f t="shared" si="20"/>
        <v>1796.5919999999999</v>
      </c>
      <c r="K390" t="s">
        <v>2019</v>
      </c>
      <c r="L390" t="str">
        <f>_xlfn.XLOOKUP(Orders[[#This Row],[ProductID]],Products!A:A,Products!C:C)</f>
        <v>Home</v>
      </c>
    </row>
    <row r="391" spans="1:12" x14ac:dyDescent="0.3">
      <c r="A391">
        <v>390</v>
      </c>
      <c r="B391">
        <v>390</v>
      </c>
      <c r="C391">
        <v>53</v>
      </c>
      <c r="D391" t="s">
        <v>2104</v>
      </c>
      <c r="E391">
        <f t="shared" si="18"/>
        <v>2024</v>
      </c>
      <c r="F391" t="str">
        <f t="shared" si="19"/>
        <v>Mar</v>
      </c>
      <c r="G391">
        <v>1</v>
      </c>
      <c r="H391">
        <f>_xlfn.XLOOKUP(C391,Products!A:A,Products!D:D)</f>
        <v>194.34</v>
      </c>
      <c r="I391">
        <v>0</v>
      </c>
      <c r="J391">
        <f t="shared" si="20"/>
        <v>194.34</v>
      </c>
      <c r="K391" t="s">
        <v>2017</v>
      </c>
      <c r="L391" t="str">
        <f>_xlfn.XLOOKUP(Orders[[#This Row],[ProductID]],Products!A:A,Products!C:C)</f>
        <v>Home</v>
      </c>
    </row>
    <row r="392" spans="1:12" x14ac:dyDescent="0.3">
      <c r="A392">
        <v>391</v>
      </c>
      <c r="B392">
        <v>391</v>
      </c>
      <c r="C392">
        <v>73</v>
      </c>
      <c r="D392" t="s">
        <v>378</v>
      </c>
      <c r="E392">
        <f t="shared" si="18"/>
        <v>2023</v>
      </c>
      <c r="F392" t="str">
        <f t="shared" si="19"/>
        <v>Mar</v>
      </c>
      <c r="G392">
        <v>1</v>
      </c>
      <c r="H392">
        <f>_xlfn.XLOOKUP(C392,Products!A:A,Products!D:D)</f>
        <v>943.04</v>
      </c>
      <c r="I392">
        <v>15</v>
      </c>
      <c r="J392">
        <f t="shared" si="20"/>
        <v>801.58399999999995</v>
      </c>
      <c r="K392" t="s">
        <v>2024</v>
      </c>
      <c r="L392" t="str">
        <f>_xlfn.XLOOKUP(Orders[[#This Row],[ProductID]],Products!A:A,Products!C:C)</f>
        <v>Home</v>
      </c>
    </row>
    <row r="393" spans="1:12" x14ac:dyDescent="0.3">
      <c r="A393">
        <v>392</v>
      </c>
      <c r="B393">
        <v>392</v>
      </c>
      <c r="C393">
        <v>45</v>
      </c>
      <c r="D393" t="s">
        <v>2149</v>
      </c>
      <c r="E393">
        <f t="shared" si="18"/>
        <v>2023</v>
      </c>
      <c r="F393" t="str">
        <f t="shared" si="19"/>
        <v>Sep</v>
      </c>
      <c r="G393">
        <v>3</v>
      </c>
      <c r="H393">
        <f>_xlfn.XLOOKUP(C393,Products!A:A,Products!D:D)</f>
        <v>609.05999999999995</v>
      </c>
      <c r="I393">
        <v>15</v>
      </c>
      <c r="J393">
        <f t="shared" si="20"/>
        <v>1553.1029999999998</v>
      </c>
      <c r="K393" t="s">
        <v>2024</v>
      </c>
      <c r="L393" t="str">
        <f>_xlfn.XLOOKUP(Orders[[#This Row],[ProductID]],Products!A:A,Products!C:C)</f>
        <v>Beauty</v>
      </c>
    </row>
    <row r="394" spans="1:12" x14ac:dyDescent="0.3">
      <c r="A394">
        <v>393</v>
      </c>
      <c r="B394">
        <v>393</v>
      </c>
      <c r="C394">
        <v>8</v>
      </c>
      <c r="D394" t="s">
        <v>444</v>
      </c>
      <c r="E394">
        <f t="shared" si="18"/>
        <v>2023</v>
      </c>
      <c r="F394" t="str">
        <f t="shared" si="19"/>
        <v>Nov</v>
      </c>
      <c r="G394">
        <v>2</v>
      </c>
      <c r="H394">
        <f>_xlfn.XLOOKUP(C394,Products!A:A,Products!D:D)</f>
        <v>155.08000000000001</v>
      </c>
      <c r="I394">
        <v>15</v>
      </c>
      <c r="J394">
        <f t="shared" si="20"/>
        <v>263.63600000000002</v>
      </c>
      <c r="K394" t="s">
        <v>2021</v>
      </c>
      <c r="L394" t="str">
        <f>_xlfn.XLOOKUP(Orders[[#This Row],[ProductID]],Products!A:A,Products!C:C)</f>
        <v>Clothing</v>
      </c>
    </row>
    <row r="395" spans="1:12" x14ac:dyDescent="0.3">
      <c r="A395">
        <v>394</v>
      </c>
      <c r="B395">
        <v>394</v>
      </c>
      <c r="C395">
        <v>32</v>
      </c>
      <c r="D395" t="s">
        <v>1680</v>
      </c>
      <c r="E395">
        <f t="shared" si="18"/>
        <v>2023</v>
      </c>
      <c r="F395" t="str">
        <f t="shared" si="19"/>
        <v>Sep</v>
      </c>
      <c r="G395">
        <v>1</v>
      </c>
      <c r="H395">
        <f>_xlfn.XLOOKUP(C395,Products!A:A,Products!D:D)</f>
        <v>342.57</v>
      </c>
      <c r="I395">
        <v>10</v>
      </c>
      <c r="J395">
        <f t="shared" si="20"/>
        <v>308.31299999999999</v>
      </c>
      <c r="K395" t="s">
        <v>2019</v>
      </c>
      <c r="L395" t="str">
        <f>_xlfn.XLOOKUP(Orders[[#This Row],[ProductID]],Products!A:A,Products!C:C)</f>
        <v>Clothing</v>
      </c>
    </row>
    <row r="396" spans="1:12" x14ac:dyDescent="0.3">
      <c r="A396">
        <v>395</v>
      </c>
      <c r="B396">
        <v>395</v>
      </c>
      <c r="C396">
        <v>19</v>
      </c>
      <c r="D396" t="s">
        <v>2016</v>
      </c>
      <c r="E396">
        <f t="shared" si="18"/>
        <v>2023</v>
      </c>
      <c r="F396" t="str">
        <f t="shared" si="19"/>
        <v>May</v>
      </c>
      <c r="G396">
        <v>3</v>
      </c>
      <c r="H396">
        <f>_xlfn.XLOOKUP(C396,Products!A:A,Products!D:D)</f>
        <v>262.97000000000003</v>
      </c>
      <c r="I396">
        <v>15</v>
      </c>
      <c r="J396">
        <f t="shared" si="20"/>
        <v>670.57350000000008</v>
      </c>
      <c r="K396" t="s">
        <v>2021</v>
      </c>
      <c r="L396" t="str">
        <f>_xlfn.XLOOKUP(Orders[[#This Row],[ProductID]],Products!A:A,Products!C:C)</f>
        <v>Beauty</v>
      </c>
    </row>
    <row r="397" spans="1:12" x14ac:dyDescent="0.3">
      <c r="A397">
        <v>396</v>
      </c>
      <c r="B397">
        <v>396</v>
      </c>
      <c r="C397">
        <v>33</v>
      </c>
      <c r="D397" t="s">
        <v>2150</v>
      </c>
      <c r="E397">
        <f t="shared" si="18"/>
        <v>2023</v>
      </c>
      <c r="F397" t="str">
        <f t="shared" si="19"/>
        <v>May</v>
      </c>
      <c r="G397">
        <v>3</v>
      </c>
      <c r="H397">
        <f>_xlfn.XLOOKUP(C397,Products!A:A,Products!D:D)</f>
        <v>965.4</v>
      </c>
      <c r="I397">
        <v>20</v>
      </c>
      <c r="J397">
        <f t="shared" si="20"/>
        <v>2316.96</v>
      </c>
      <c r="K397" t="s">
        <v>2021</v>
      </c>
      <c r="L397" t="str">
        <f>_xlfn.XLOOKUP(Orders[[#This Row],[ProductID]],Products!A:A,Products!C:C)</f>
        <v>Beauty</v>
      </c>
    </row>
    <row r="398" spans="1:12" x14ac:dyDescent="0.3">
      <c r="A398">
        <v>397</v>
      </c>
      <c r="B398">
        <v>397</v>
      </c>
      <c r="C398">
        <v>2</v>
      </c>
      <c r="D398" t="s">
        <v>414</v>
      </c>
      <c r="E398">
        <f t="shared" si="18"/>
        <v>2023</v>
      </c>
      <c r="F398" t="str">
        <f t="shared" si="19"/>
        <v>Mar</v>
      </c>
      <c r="G398">
        <v>1</v>
      </c>
      <c r="H398">
        <f>_xlfn.XLOOKUP(C398,Products!A:A,Products!D:D)</f>
        <v>427.27</v>
      </c>
      <c r="I398">
        <v>15</v>
      </c>
      <c r="J398">
        <f t="shared" si="20"/>
        <v>363.17949999999996</v>
      </c>
      <c r="K398" t="s">
        <v>2017</v>
      </c>
      <c r="L398" t="str">
        <f>_xlfn.XLOOKUP(Orders[[#This Row],[ProductID]],Products!A:A,Products!C:C)</f>
        <v>Home</v>
      </c>
    </row>
    <row r="399" spans="1:12" x14ac:dyDescent="0.3">
      <c r="A399">
        <v>398</v>
      </c>
      <c r="B399">
        <v>398</v>
      </c>
      <c r="C399">
        <v>76</v>
      </c>
      <c r="D399" t="s">
        <v>2151</v>
      </c>
      <c r="E399">
        <f t="shared" si="18"/>
        <v>2024</v>
      </c>
      <c r="F399" t="str">
        <f t="shared" si="19"/>
        <v>May</v>
      </c>
      <c r="G399">
        <v>1</v>
      </c>
      <c r="H399">
        <f>_xlfn.XLOOKUP(C399,Products!A:A,Products!D:D)</f>
        <v>1043.26</v>
      </c>
      <c r="I399">
        <v>20</v>
      </c>
      <c r="J399">
        <f t="shared" si="20"/>
        <v>834.60800000000006</v>
      </c>
      <c r="K399" t="s">
        <v>2021</v>
      </c>
      <c r="L399" t="str">
        <f>_xlfn.XLOOKUP(Orders[[#This Row],[ProductID]],Products!A:A,Products!C:C)</f>
        <v>Clothing</v>
      </c>
    </row>
    <row r="400" spans="1:12" x14ac:dyDescent="0.3">
      <c r="A400">
        <v>399</v>
      </c>
      <c r="B400">
        <v>399</v>
      </c>
      <c r="C400">
        <v>55</v>
      </c>
      <c r="D400" t="s">
        <v>1825</v>
      </c>
      <c r="E400">
        <f t="shared" si="18"/>
        <v>2023</v>
      </c>
      <c r="F400" t="str">
        <f t="shared" si="19"/>
        <v>Mar</v>
      </c>
      <c r="G400">
        <v>2</v>
      </c>
      <c r="H400">
        <f>_xlfn.XLOOKUP(C400,Products!A:A,Products!D:D)</f>
        <v>1016.06</v>
      </c>
      <c r="I400">
        <v>10</v>
      </c>
      <c r="J400">
        <f t="shared" si="20"/>
        <v>1828.9079999999999</v>
      </c>
      <c r="K400" t="s">
        <v>2024</v>
      </c>
      <c r="L400" t="str">
        <f>_xlfn.XLOOKUP(Orders[[#This Row],[ProductID]],Products!A:A,Products!C:C)</f>
        <v>Clothing</v>
      </c>
    </row>
    <row r="401" spans="1:12" x14ac:dyDescent="0.3">
      <c r="A401">
        <v>400</v>
      </c>
      <c r="B401">
        <v>400</v>
      </c>
      <c r="C401">
        <v>65</v>
      </c>
      <c r="D401" t="s">
        <v>2014</v>
      </c>
      <c r="E401">
        <f t="shared" si="18"/>
        <v>2024</v>
      </c>
      <c r="F401" t="str">
        <f t="shared" si="19"/>
        <v>May</v>
      </c>
      <c r="G401">
        <v>3</v>
      </c>
      <c r="H401">
        <f>_xlfn.XLOOKUP(C401,Products!A:A,Products!D:D)</f>
        <v>1189.73</v>
      </c>
      <c r="I401">
        <v>15</v>
      </c>
      <c r="J401">
        <f t="shared" si="20"/>
        <v>3033.8114999999998</v>
      </c>
      <c r="K401" t="s">
        <v>2015</v>
      </c>
      <c r="L401" t="str">
        <f>_xlfn.XLOOKUP(Orders[[#This Row],[ProductID]],Products!A:A,Products!C:C)</f>
        <v>Home</v>
      </c>
    </row>
    <row r="402" spans="1:12" x14ac:dyDescent="0.3">
      <c r="A402">
        <v>401</v>
      </c>
      <c r="B402">
        <v>401</v>
      </c>
      <c r="C402">
        <v>40</v>
      </c>
      <c r="D402" t="s">
        <v>2152</v>
      </c>
      <c r="E402">
        <f t="shared" si="18"/>
        <v>2024</v>
      </c>
      <c r="F402" t="str">
        <f t="shared" si="19"/>
        <v>Jan</v>
      </c>
      <c r="G402">
        <v>2</v>
      </c>
      <c r="H402">
        <f>_xlfn.XLOOKUP(C402,Products!A:A,Products!D:D)</f>
        <v>316.49</v>
      </c>
      <c r="I402">
        <v>0</v>
      </c>
      <c r="J402">
        <f t="shared" si="20"/>
        <v>632.98</v>
      </c>
      <c r="K402" t="s">
        <v>2019</v>
      </c>
      <c r="L402" t="str">
        <f>_xlfn.XLOOKUP(Orders[[#This Row],[ProductID]],Products!A:A,Products!C:C)</f>
        <v>Home</v>
      </c>
    </row>
    <row r="403" spans="1:12" x14ac:dyDescent="0.3">
      <c r="A403">
        <v>402</v>
      </c>
      <c r="B403">
        <v>402</v>
      </c>
      <c r="C403">
        <v>74</v>
      </c>
      <c r="D403" t="s">
        <v>2153</v>
      </c>
      <c r="E403">
        <f t="shared" si="18"/>
        <v>2024</v>
      </c>
      <c r="F403" t="str">
        <f t="shared" si="19"/>
        <v>Feb</v>
      </c>
      <c r="G403">
        <v>2</v>
      </c>
      <c r="H403">
        <f>_xlfn.XLOOKUP(C403,Products!A:A,Products!D:D)</f>
        <v>1034.31</v>
      </c>
      <c r="I403">
        <v>5</v>
      </c>
      <c r="J403">
        <f t="shared" si="20"/>
        <v>1965.1889999999999</v>
      </c>
      <c r="K403" t="s">
        <v>2024</v>
      </c>
      <c r="L403" t="str">
        <f>_xlfn.XLOOKUP(Orders[[#This Row],[ProductID]],Products!A:A,Products!C:C)</f>
        <v>Electronics</v>
      </c>
    </row>
    <row r="404" spans="1:12" x14ac:dyDescent="0.3">
      <c r="A404">
        <v>403</v>
      </c>
      <c r="B404">
        <v>403</v>
      </c>
      <c r="C404">
        <v>27</v>
      </c>
      <c r="D404" t="s">
        <v>2154</v>
      </c>
      <c r="E404">
        <f t="shared" si="18"/>
        <v>2024</v>
      </c>
      <c r="F404" t="str">
        <f t="shared" si="19"/>
        <v>Apr</v>
      </c>
      <c r="G404">
        <v>3</v>
      </c>
      <c r="H404">
        <f>_xlfn.XLOOKUP(C404,Products!A:A,Products!D:D)</f>
        <v>76.09</v>
      </c>
      <c r="I404">
        <v>15</v>
      </c>
      <c r="J404">
        <f t="shared" si="20"/>
        <v>194.02950000000001</v>
      </c>
      <c r="K404" t="s">
        <v>2024</v>
      </c>
      <c r="L404" t="str">
        <f>_xlfn.XLOOKUP(Orders[[#This Row],[ProductID]],Products!A:A,Products!C:C)</f>
        <v>Clothing</v>
      </c>
    </row>
    <row r="405" spans="1:12" x14ac:dyDescent="0.3">
      <c r="A405">
        <v>404</v>
      </c>
      <c r="B405">
        <v>404</v>
      </c>
      <c r="C405">
        <v>1</v>
      </c>
      <c r="D405" t="s">
        <v>467</v>
      </c>
      <c r="E405">
        <f t="shared" si="18"/>
        <v>2023</v>
      </c>
      <c r="F405" t="str">
        <f t="shared" si="19"/>
        <v>Mar</v>
      </c>
      <c r="G405">
        <v>2</v>
      </c>
      <c r="H405">
        <f>_xlfn.XLOOKUP(C405,Products!A:A,Products!D:D)</f>
        <v>469.08</v>
      </c>
      <c r="I405">
        <v>0</v>
      </c>
      <c r="J405">
        <f t="shared" si="20"/>
        <v>938.16</v>
      </c>
      <c r="K405" t="s">
        <v>2019</v>
      </c>
      <c r="L405" t="str">
        <f>_xlfn.XLOOKUP(Orders[[#This Row],[ProductID]],Products!A:A,Products!C:C)</f>
        <v>Clothing</v>
      </c>
    </row>
    <row r="406" spans="1:12" x14ac:dyDescent="0.3">
      <c r="A406">
        <v>405</v>
      </c>
      <c r="B406">
        <v>405</v>
      </c>
      <c r="C406">
        <v>9</v>
      </c>
      <c r="D406" t="s">
        <v>2155</v>
      </c>
      <c r="E406">
        <f t="shared" si="18"/>
        <v>2024</v>
      </c>
      <c r="F406" t="str">
        <f t="shared" si="19"/>
        <v>Feb</v>
      </c>
      <c r="G406">
        <v>3</v>
      </c>
      <c r="H406">
        <f>_xlfn.XLOOKUP(C406,Products!A:A,Products!D:D)</f>
        <v>43.26</v>
      </c>
      <c r="I406">
        <v>15</v>
      </c>
      <c r="J406">
        <f t="shared" si="20"/>
        <v>110.313</v>
      </c>
      <c r="K406" t="s">
        <v>2015</v>
      </c>
      <c r="L406" t="str">
        <f>_xlfn.XLOOKUP(Orders[[#This Row],[ProductID]],Products!A:A,Products!C:C)</f>
        <v>Electronics</v>
      </c>
    </row>
    <row r="407" spans="1:12" x14ac:dyDescent="0.3">
      <c r="A407">
        <v>406</v>
      </c>
      <c r="B407">
        <v>406</v>
      </c>
      <c r="C407">
        <v>54</v>
      </c>
      <c r="D407" t="s">
        <v>298</v>
      </c>
      <c r="E407">
        <f t="shared" si="18"/>
        <v>2023</v>
      </c>
      <c r="F407" t="str">
        <f t="shared" si="19"/>
        <v>Dec</v>
      </c>
      <c r="G407">
        <v>2</v>
      </c>
      <c r="H407">
        <f>_xlfn.XLOOKUP(C407,Products!A:A,Products!D:D)</f>
        <v>900.79</v>
      </c>
      <c r="I407">
        <v>15</v>
      </c>
      <c r="J407">
        <f t="shared" si="20"/>
        <v>1531.3429999999998</v>
      </c>
      <c r="K407" t="s">
        <v>2021</v>
      </c>
      <c r="L407" t="str">
        <f>_xlfn.XLOOKUP(Orders[[#This Row],[ProductID]],Products!A:A,Products!C:C)</f>
        <v>Electronics</v>
      </c>
    </row>
    <row r="408" spans="1:12" x14ac:dyDescent="0.3">
      <c r="A408">
        <v>407</v>
      </c>
      <c r="B408">
        <v>407</v>
      </c>
      <c r="C408">
        <v>23</v>
      </c>
      <c r="D408" t="s">
        <v>802</v>
      </c>
      <c r="E408">
        <f t="shared" si="18"/>
        <v>2023</v>
      </c>
      <c r="F408" t="str">
        <f t="shared" si="19"/>
        <v>Jul</v>
      </c>
      <c r="G408">
        <v>1</v>
      </c>
      <c r="H408">
        <f>_xlfn.XLOOKUP(C408,Products!A:A,Products!D:D)</f>
        <v>258.08</v>
      </c>
      <c r="I408">
        <v>5</v>
      </c>
      <c r="J408">
        <f t="shared" si="20"/>
        <v>245.17599999999996</v>
      </c>
      <c r="K408" t="s">
        <v>2021</v>
      </c>
      <c r="L408" t="str">
        <f>_xlfn.XLOOKUP(Orders[[#This Row],[ProductID]],Products!A:A,Products!C:C)</f>
        <v>Home</v>
      </c>
    </row>
    <row r="409" spans="1:12" x14ac:dyDescent="0.3">
      <c r="A409">
        <v>408</v>
      </c>
      <c r="B409">
        <v>408</v>
      </c>
      <c r="C409">
        <v>63</v>
      </c>
      <c r="D409" t="s">
        <v>2080</v>
      </c>
      <c r="E409">
        <f t="shared" si="18"/>
        <v>2023</v>
      </c>
      <c r="F409" t="str">
        <f t="shared" si="19"/>
        <v>Apr</v>
      </c>
      <c r="G409">
        <v>3</v>
      </c>
      <c r="H409">
        <f>_xlfn.XLOOKUP(C409,Products!A:A,Products!D:D)</f>
        <v>309.79000000000002</v>
      </c>
      <c r="I409">
        <v>0</v>
      </c>
      <c r="J409">
        <f t="shared" si="20"/>
        <v>929.37000000000012</v>
      </c>
      <c r="K409" t="s">
        <v>2017</v>
      </c>
      <c r="L409" t="str">
        <f>_xlfn.XLOOKUP(Orders[[#This Row],[ProductID]],Products!A:A,Products!C:C)</f>
        <v>Electronics</v>
      </c>
    </row>
    <row r="410" spans="1:12" x14ac:dyDescent="0.3">
      <c r="A410">
        <v>409</v>
      </c>
      <c r="B410">
        <v>409</v>
      </c>
      <c r="C410">
        <v>73</v>
      </c>
      <c r="D410" t="s">
        <v>2036</v>
      </c>
      <c r="E410">
        <f t="shared" si="18"/>
        <v>2024</v>
      </c>
      <c r="F410" t="str">
        <f t="shared" si="19"/>
        <v>Feb</v>
      </c>
      <c r="G410">
        <v>1</v>
      </c>
      <c r="H410">
        <f>_xlfn.XLOOKUP(C410,Products!A:A,Products!D:D)</f>
        <v>943.04</v>
      </c>
      <c r="I410">
        <v>5</v>
      </c>
      <c r="J410">
        <f t="shared" si="20"/>
        <v>895.88799999999992</v>
      </c>
      <c r="K410" t="s">
        <v>2021</v>
      </c>
      <c r="L410" t="str">
        <f>_xlfn.XLOOKUP(Orders[[#This Row],[ProductID]],Products!A:A,Products!C:C)</f>
        <v>Home</v>
      </c>
    </row>
    <row r="411" spans="1:12" x14ac:dyDescent="0.3">
      <c r="A411">
        <v>410</v>
      </c>
      <c r="B411">
        <v>410</v>
      </c>
      <c r="C411">
        <v>8</v>
      </c>
      <c r="D411" t="s">
        <v>2027</v>
      </c>
      <c r="E411">
        <f t="shared" si="18"/>
        <v>2024</v>
      </c>
      <c r="F411" t="str">
        <f t="shared" si="19"/>
        <v>Jan</v>
      </c>
      <c r="G411">
        <v>1</v>
      </c>
      <c r="H411">
        <f>_xlfn.XLOOKUP(C411,Products!A:A,Products!D:D)</f>
        <v>155.08000000000001</v>
      </c>
      <c r="I411">
        <v>5</v>
      </c>
      <c r="J411">
        <f t="shared" si="20"/>
        <v>147.32599999999999</v>
      </c>
      <c r="K411" t="s">
        <v>2024</v>
      </c>
      <c r="L411" t="str">
        <f>_xlfn.XLOOKUP(Orders[[#This Row],[ProductID]],Products!A:A,Products!C:C)</f>
        <v>Clothing</v>
      </c>
    </row>
    <row r="412" spans="1:12" x14ac:dyDescent="0.3">
      <c r="A412">
        <v>411</v>
      </c>
      <c r="B412">
        <v>411</v>
      </c>
      <c r="C412">
        <v>53</v>
      </c>
      <c r="D412" t="s">
        <v>1603</v>
      </c>
      <c r="E412">
        <f t="shared" si="18"/>
        <v>2023</v>
      </c>
      <c r="F412" t="str">
        <f t="shared" si="19"/>
        <v>Aug</v>
      </c>
      <c r="G412">
        <v>3</v>
      </c>
      <c r="H412">
        <f>_xlfn.XLOOKUP(C412,Products!A:A,Products!D:D)</f>
        <v>194.34</v>
      </c>
      <c r="I412">
        <v>20</v>
      </c>
      <c r="J412">
        <f t="shared" si="20"/>
        <v>466.416</v>
      </c>
      <c r="K412" t="s">
        <v>2019</v>
      </c>
      <c r="L412" t="str">
        <f>_xlfn.XLOOKUP(Orders[[#This Row],[ProductID]],Products!A:A,Products!C:C)</f>
        <v>Home</v>
      </c>
    </row>
    <row r="413" spans="1:12" x14ac:dyDescent="0.3">
      <c r="A413">
        <v>412</v>
      </c>
      <c r="B413">
        <v>412</v>
      </c>
      <c r="C413">
        <v>22</v>
      </c>
      <c r="D413" t="s">
        <v>153</v>
      </c>
      <c r="E413">
        <f t="shared" si="18"/>
        <v>2023</v>
      </c>
      <c r="F413" t="str">
        <f t="shared" si="19"/>
        <v>Feb</v>
      </c>
      <c r="G413">
        <v>2</v>
      </c>
      <c r="H413">
        <f>_xlfn.XLOOKUP(C413,Products!A:A,Products!D:D)</f>
        <v>373.43</v>
      </c>
      <c r="I413">
        <v>0</v>
      </c>
      <c r="J413">
        <f t="shared" si="20"/>
        <v>746.86</v>
      </c>
      <c r="K413" t="s">
        <v>2017</v>
      </c>
      <c r="L413" t="str">
        <f>_xlfn.XLOOKUP(Orders[[#This Row],[ProductID]],Products!A:A,Products!C:C)</f>
        <v>Beauty</v>
      </c>
    </row>
    <row r="414" spans="1:12" x14ac:dyDescent="0.3">
      <c r="A414">
        <v>413</v>
      </c>
      <c r="B414">
        <v>413</v>
      </c>
      <c r="C414">
        <v>16</v>
      </c>
      <c r="D414" t="s">
        <v>1742</v>
      </c>
      <c r="E414">
        <f t="shared" si="18"/>
        <v>2023</v>
      </c>
      <c r="F414" t="str">
        <f t="shared" si="19"/>
        <v>May</v>
      </c>
      <c r="G414">
        <v>1</v>
      </c>
      <c r="H414">
        <f>_xlfn.XLOOKUP(C414,Products!A:A,Products!D:D)</f>
        <v>693.02</v>
      </c>
      <c r="I414">
        <v>10</v>
      </c>
      <c r="J414">
        <f t="shared" si="20"/>
        <v>623.71799999999996</v>
      </c>
      <c r="K414" t="s">
        <v>2019</v>
      </c>
      <c r="L414" t="str">
        <f>_xlfn.XLOOKUP(Orders[[#This Row],[ProductID]],Products!A:A,Products!C:C)</f>
        <v>Home</v>
      </c>
    </row>
    <row r="415" spans="1:12" x14ac:dyDescent="0.3">
      <c r="A415">
        <v>414</v>
      </c>
      <c r="B415">
        <v>414</v>
      </c>
      <c r="C415">
        <v>75</v>
      </c>
      <c r="D415" t="s">
        <v>534</v>
      </c>
      <c r="E415">
        <f t="shared" si="18"/>
        <v>2023</v>
      </c>
      <c r="F415" t="str">
        <f t="shared" si="19"/>
        <v>May</v>
      </c>
      <c r="G415">
        <v>2</v>
      </c>
      <c r="H415">
        <f>_xlfn.XLOOKUP(C415,Products!A:A,Products!D:D)</f>
        <v>390.41</v>
      </c>
      <c r="I415">
        <v>15</v>
      </c>
      <c r="J415">
        <f t="shared" si="20"/>
        <v>663.697</v>
      </c>
      <c r="K415" t="s">
        <v>2019</v>
      </c>
      <c r="L415" t="str">
        <f>_xlfn.XLOOKUP(Orders[[#This Row],[ProductID]],Products!A:A,Products!C:C)</f>
        <v>Electronics</v>
      </c>
    </row>
    <row r="416" spans="1:12" x14ac:dyDescent="0.3">
      <c r="A416">
        <v>415</v>
      </c>
      <c r="B416">
        <v>415</v>
      </c>
      <c r="C416">
        <v>2</v>
      </c>
      <c r="D416" t="s">
        <v>701</v>
      </c>
      <c r="E416">
        <f t="shared" si="18"/>
        <v>2023</v>
      </c>
      <c r="F416" t="str">
        <f t="shared" si="19"/>
        <v>Feb</v>
      </c>
      <c r="G416">
        <v>2</v>
      </c>
      <c r="H416">
        <f>_xlfn.XLOOKUP(C416,Products!A:A,Products!D:D)</f>
        <v>427.27</v>
      </c>
      <c r="I416">
        <v>0</v>
      </c>
      <c r="J416">
        <f t="shared" si="20"/>
        <v>854.54</v>
      </c>
      <c r="K416" t="s">
        <v>2015</v>
      </c>
      <c r="L416" t="str">
        <f>_xlfn.XLOOKUP(Orders[[#This Row],[ProductID]],Products!A:A,Products!C:C)</f>
        <v>Home</v>
      </c>
    </row>
    <row r="417" spans="1:12" x14ac:dyDescent="0.3">
      <c r="A417">
        <v>416</v>
      </c>
      <c r="B417">
        <v>416</v>
      </c>
      <c r="C417">
        <v>6</v>
      </c>
      <c r="D417" t="s">
        <v>1653</v>
      </c>
      <c r="E417">
        <f t="shared" si="18"/>
        <v>2023</v>
      </c>
      <c r="F417" t="str">
        <f t="shared" si="19"/>
        <v>Feb</v>
      </c>
      <c r="G417">
        <v>1</v>
      </c>
      <c r="H417">
        <f>_xlfn.XLOOKUP(C417,Products!A:A,Products!D:D)</f>
        <v>719.19</v>
      </c>
      <c r="I417">
        <v>20</v>
      </c>
      <c r="J417">
        <f t="shared" si="20"/>
        <v>575.35200000000009</v>
      </c>
      <c r="K417" t="s">
        <v>2019</v>
      </c>
      <c r="L417" t="str">
        <f>_xlfn.XLOOKUP(Orders[[#This Row],[ProductID]],Products!A:A,Products!C:C)</f>
        <v>Clothing</v>
      </c>
    </row>
    <row r="418" spans="1:12" x14ac:dyDescent="0.3">
      <c r="A418">
        <v>417</v>
      </c>
      <c r="B418">
        <v>417</v>
      </c>
      <c r="C418">
        <v>49</v>
      </c>
      <c r="D418" t="s">
        <v>1104</v>
      </c>
      <c r="E418">
        <f t="shared" si="18"/>
        <v>2023</v>
      </c>
      <c r="F418" t="str">
        <f t="shared" si="19"/>
        <v>Nov</v>
      </c>
      <c r="G418">
        <v>3</v>
      </c>
      <c r="H418">
        <f>_xlfn.XLOOKUP(C418,Products!A:A,Products!D:D)</f>
        <v>974.54</v>
      </c>
      <c r="I418">
        <v>10</v>
      </c>
      <c r="J418">
        <f t="shared" si="20"/>
        <v>2631.2579999999998</v>
      </c>
      <c r="K418" t="s">
        <v>2017</v>
      </c>
      <c r="L418" t="str">
        <f>_xlfn.XLOOKUP(Orders[[#This Row],[ProductID]],Products!A:A,Products!C:C)</f>
        <v>Home</v>
      </c>
    </row>
    <row r="419" spans="1:12" x14ac:dyDescent="0.3">
      <c r="A419">
        <v>418</v>
      </c>
      <c r="B419">
        <v>418</v>
      </c>
      <c r="C419">
        <v>61</v>
      </c>
      <c r="D419" t="s">
        <v>2140</v>
      </c>
      <c r="E419">
        <f t="shared" si="18"/>
        <v>2024</v>
      </c>
      <c r="F419" t="str">
        <f t="shared" si="19"/>
        <v>Jan</v>
      </c>
      <c r="G419">
        <v>2</v>
      </c>
      <c r="H419">
        <f>_xlfn.XLOOKUP(C419,Products!A:A,Products!D:D)</f>
        <v>498.92</v>
      </c>
      <c r="I419">
        <v>20</v>
      </c>
      <c r="J419">
        <f t="shared" si="20"/>
        <v>798.27200000000005</v>
      </c>
      <c r="K419" t="s">
        <v>2017</v>
      </c>
      <c r="L419" t="str">
        <f>_xlfn.XLOOKUP(Orders[[#This Row],[ProductID]],Products!A:A,Products!C:C)</f>
        <v>Clothing</v>
      </c>
    </row>
    <row r="420" spans="1:12" x14ac:dyDescent="0.3">
      <c r="A420">
        <v>419</v>
      </c>
      <c r="B420">
        <v>419</v>
      </c>
      <c r="C420">
        <v>44</v>
      </c>
      <c r="D420" t="s">
        <v>1347</v>
      </c>
      <c r="E420">
        <f t="shared" si="18"/>
        <v>2023</v>
      </c>
      <c r="F420" t="str">
        <f t="shared" si="19"/>
        <v>Jul</v>
      </c>
      <c r="G420">
        <v>3</v>
      </c>
      <c r="H420">
        <f>_xlfn.XLOOKUP(C420,Products!A:A,Products!D:D)</f>
        <v>1038</v>
      </c>
      <c r="I420">
        <v>10</v>
      </c>
      <c r="J420">
        <f t="shared" si="20"/>
        <v>2802.6</v>
      </c>
      <c r="K420" t="s">
        <v>2024</v>
      </c>
      <c r="L420" t="str">
        <f>_xlfn.XLOOKUP(Orders[[#This Row],[ProductID]],Products!A:A,Products!C:C)</f>
        <v>Home</v>
      </c>
    </row>
    <row r="421" spans="1:12" x14ac:dyDescent="0.3">
      <c r="A421">
        <v>420</v>
      </c>
      <c r="B421">
        <v>420</v>
      </c>
      <c r="C421">
        <v>31</v>
      </c>
      <c r="D421" t="s">
        <v>2156</v>
      </c>
      <c r="E421">
        <f t="shared" si="18"/>
        <v>2024</v>
      </c>
      <c r="F421" t="str">
        <f t="shared" si="19"/>
        <v>Apr</v>
      </c>
      <c r="G421">
        <v>2</v>
      </c>
      <c r="H421">
        <f>_xlfn.XLOOKUP(C421,Products!A:A,Products!D:D)</f>
        <v>131.79</v>
      </c>
      <c r="I421">
        <v>15</v>
      </c>
      <c r="J421">
        <f t="shared" si="20"/>
        <v>224.04299999999998</v>
      </c>
      <c r="K421" t="s">
        <v>2017</v>
      </c>
      <c r="L421" t="str">
        <f>_xlfn.XLOOKUP(Orders[[#This Row],[ProductID]],Products!A:A,Products!C:C)</f>
        <v>Beauty</v>
      </c>
    </row>
    <row r="422" spans="1:12" x14ac:dyDescent="0.3">
      <c r="A422">
        <v>421</v>
      </c>
      <c r="B422">
        <v>421</v>
      </c>
      <c r="C422">
        <v>79</v>
      </c>
      <c r="D422" t="s">
        <v>66</v>
      </c>
      <c r="E422">
        <f t="shared" si="18"/>
        <v>2023</v>
      </c>
      <c r="F422" t="str">
        <f t="shared" si="19"/>
        <v>Jan</v>
      </c>
      <c r="G422">
        <v>2</v>
      </c>
      <c r="H422">
        <f>_xlfn.XLOOKUP(C422,Products!A:A,Products!D:D)</f>
        <v>488.34</v>
      </c>
      <c r="I422">
        <v>10</v>
      </c>
      <c r="J422">
        <f t="shared" si="20"/>
        <v>879.01199999999994</v>
      </c>
      <c r="K422" t="s">
        <v>2019</v>
      </c>
      <c r="L422" t="str">
        <f>_xlfn.XLOOKUP(Orders[[#This Row],[ProductID]],Products!A:A,Products!C:C)</f>
        <v>Electronics</v>
      </c>
    </row>
    <row r="423" spans="1:12" x14ac:dyDescent="0.3">
      <c r="A423">
        <v>422</v>
      </c>
      <c r="B423">
        <v>422</v>
      </c>
      <c r="C423">
        <v>1</v>
      </c>
      <c r="D423" t="s">
        <v>899</v>
      </c>
      <c r="E423">
        <f t="shared" si="18"/>
        <v>2023</v>
      </c>
      <c r="F423" t="str">
        <f t="shared" si="19"/>
        <v>Aug</v>
      </c>
      <c r="G423">
        <v>3</v>
      </c>
      <c r="H423">
        <f>_xlfn.XLOOKUP(C423,Products!A:A,Products!D:D)</f>
        <v>469.08</v>
      </c>
      <c r="I423">
        <v>15</v>
      </c>
      <c r="J423">
        <f t="shared" si="20"/>
        <v>1196.154</v>
      </c>
      <c r="K423" t="s">
        <v>2021</v>
      </c>
      <c r="L423" t="str">
        <f>_xlfn.XLOOKUP(Orders[[#This Row],[ProductID]],Products!A:A,Products!C:C)</f>
        <v>Clothing</v>
      </c>
    </row>
    <row r="424" spans="1:12" x14ac:dyDescent="0.3">
      <c r="A424">
        <v>423</v>
      </c>
      <c r="B424">
        <v>423</v>
      </c>
      <c r="C424">
        <v>4</v>
      </c>
      <c r="D424" t="s">
        <v>1104</v>
      </c>
      <c r="E424">
        <f t="shared" si="18"/>
        <v>2023</v>
      </c>
      <c r="F424" t="str">
        <f t="shared" si="19"/>
        <v>Nov</v>
      </c>
      <c r="G424">
        <v>1</v>
      </c>
      <c r="H424">
        <f>_xlfn.XLOOKUP(C424,Products!A:A,Products!D:D)</f>
        <v>800.26</v>
      </c>
      <c r="I424">
        <v>20</v>
      </c>
      <c r="J424">
        <f t="shared" si="20"/>
        <v>640.20800000000008</v>
      </c>
      <c r="K424" t="s">
        <v>2024</v>
      </c>
      <c r="L424" t="str">
        <f>_xlfn.XLOOKUP(Orders[[#This Row],[ProductID]],Products!A:A,Products!C:C)</f>
        <v>Electronics</v>
      </c>
    </row>
    <row r="425" spans="1:12" x14ac:dyDescent="0.3">
      <c r="A425">
        <v>424</v>
      </c>
      <c r="B425">
        <v>424</v>
      </c>
      <c r="C425">
        <v>32</v>
      </c>
      <c r="D425" t="s">
        <v>1371</v>
      </c>
      <c r="E425">
        <f t="shared" si="18"/>
        <v>2023</v>
      </c>
      <c r="F425" t="str">
        <f t="shared" si="19"/>
        <v>Jul</v>
      </c>
      <c r="G425">
        <v>2</v>
      </c>
      <c r="H425">
        <f>_xlfn.XLOOKUP(C425,Products!A:A,Products!D:D)</f>
        <v>342.57</v>
      </c>
      <c r="I425">
        <v>20</v>
      </c>
      <c r="J425">
        <f t="shared" si="20"/>
        <v>548.11199999999997</v>
      </c>
      <c r="K425" t="s">
        <v>2017</v>
      </c>
      <c r="L425" t="str">
        <f>_xlfn.XLOOKUP(Orders[[#This Row],[ProductID]],Products!A:A,Products!C:C)</f>
        <v>Clothing</v>
      </c>
    </row>
    <row r="426" spans="1:12" x14ac:dyDescent="0.3">
      <c r="A426">
        <v>425</v>
      </c>
      <c r="B426">
        <v>425</v>
      </c>
      <c r="C426">
        <v>66</v>
      </c>
      <c r="D426" t="s">
        <v>351</v>
      </c>
      <c r="E426">
        <f t="shared" si="18"/>
        <v>2023</v>
      </c>
      <c r="F426" t="str">
        <f t="shared" si="19"/>
        <v>Jul</v>
      </c>
      <c r="G426">
        <v>3</v>
      </c>
      <c r="H426">
        <f>_xlfn.XLOOKUP(C426,Products!A:A,Products!D:D)</f>
        <v>783.37</v>
      </c>
      <c r="I426">
        <v>5</v>
      </c>
      <c r="J426">
        <f t="shared" si="20"/>
        <v>2232.6044999999999</v>
      </c>
      <c r="K426" t="s">
        <v>2019</v>
      </c>
      <c r="L426" t="str">
        <f>_xlfn.XLOOKUP(Orders[[#This Row],[ProductID]],Products!A:A,Products!C:C)</f>
        <v>Home</v>
      </c>
    </row>
    <row r="427" spans="1:12" x14ac:dyDescent="0.3">
      <c r="A427">
        <v>426</v>
      </c>
      <c r="B427">
        <v>426</v>
      </c>
      <c r="C427">
        <v>42</v>
      </c>
      <c r="D427" t="s">
        <v>2157</v>
      </c>
      <c r="E427">
        <f t="shared" si="18"/>
        <v>2023</v>
      </c>
      <c r="F427" t="str">
        <f t="shared" si="19"/>
        <v>Jan</v>
      </c>
      <c r="G427">
        <v>3</v>
      </c>
      <c r="H427">
        <f>_xlfn.XLOOKUP(C427,Products!A:A,Products!D:D)</f>
        <v>233.11</v>
      </c>
      <c r="I427">
        <v>10</v>
      </c>
      <c r="J427">
        <f t="shared" si="20"/>
        <v>629.39700000000005</v>
      </c>
      <c r="K427" t="s">
        <v>2019</v>
      </c>
      <c r="L427" t="str">
        <f>_xlfn.XLOOKUP(Orders[[#This Row],[ProductID]],Products!A:A,Products!C:C)</f>
        <v>Home</v>
      </c>
    </row>
    <row r="428" spans="1:12" x14ac:dyDescent="0.3">
      <c r="A428">
        <v>427</v>
      </c>
      <c r="B428">
        <v>427</v>
      </c>
      <c r="C428">
        <v>42</v>
      </c>
      <c r="D428" t="s">
        <v>2137</v>
      </c>
      <c r="E428">
        <f t="shared" si="18"/>
        <v>2023</v>
      </c>
      <c r="F428" t="str">
        <f t="shared" si="19"/>
        <v>Dec</v>
      </c>
      <c r="G428">
        <v>2</v>
      </c>
      <c r="H428">
        <f>_xlfn.XLOOKUP(C428,Products!A:A,Products!D:D)</f>
        <v>233.11</v>
      </c>
      <c r="I428">
        <v>5</v>
      </c>
      <c r="J428">
        <f t="shared" si="20"/>
        <v>442.90899999999999</v>
      </c>
      <c r="K428" t="s">
        <v>2015</v>
      </c>
      <c r="L428" t="str">
        <f>_xlfn.XLOOKUP(Orders[[#This Row],[ProductID]],Products!A:A,Products!C:C)</f>
        <v>Home</v>
      </c>
    </row>
    <row r="429" spans="1:12" x14ac:dyDescent="0.3">
      <c r="A429">
        <v>428</v>
      </c>
      <c r="B429">
        <v>428</v>
      </c>
      <c r="C429">
        <v>63</v>
      </c>
      <c r="D429" t="s">
        <v>544</v>
      </c>
      <c r="E429">
        <f t="shared" si="18"/>
        <v>2023</v>
      </c>
      <c r="F429" t="str">
        <f t="shared" si="19"/>
        <v>Jul</v>
      </c>
      <c r="G429">
        <v>3</v>
      </c>
      <c r="H429">
        <f>_xlfn.XLOOKUP(C429,Products!A:A,Products!D:D)</f>
        <v>309.79000000000002</v>
      </c>
      <c r="I429">
        <v>20</v>
      </c>
      <c r="J429">
        <f t="shared" si="20"/>
        <v>743.49600000000009</v>
      </c>
      <c r="K429" t="s">
        <v>2019</v>
      </c>
      <c r="L429" t="str">
        <f>_xlfn.XLOOKUP(Orders[[#This Row],[ProductID]],Products!A:A,Products!C:C)</f>
        <v>Electronics</v>
      </c>
    </row>
    <row r="430" spans="1:12" x14ac:dyDescent="0.3">
      <c r="A430">
        <v>429</v>
      </c>
      <c r="B430">
        <v>429</v>
      </c>
      <c r="C430">
        <v>45</v>
      </c>
      <c r="D430" t="s">
        <v>110</v>
      </c>
      <c r="E430">
        <f t="shared" si="18"/>
        <v>2023</v>
      </c>
      <c r="F430" t="str">
        <f t="shared" si="19"/>
        <v>Aug</v>
      </c>
      <c r="G430">
        <v>2</v>
      </c>
      <c r="H430">
        <f>_xlfn.XLOOKUP(C430,Products!A:A,Products!D:D)</f>
        <v>609.05999999999995</v>
      </c>
      <c r="I430">
        <v>0</v>
      </c>
      <c r="J430">
        <f t="shared" si="20"/>
        <v>1218.1199999999999</v>
      </c>
      <c r="K430" t="s">
        <v>2017</v>
      </c>
      <c r="L430" t="str">
        <f>_xlfn.XLOOKUP(Orders[[#This Row],[ProductID]],Products!A:A,Products!C:C)</f>
        <v>Beauty</v>
      </c>
    </row>
    <row r="431" spans="1:12" x14ac:dyDescent="0.3">
      <c r="A431">
        <v>430</v>
      </c>
      <c r="B431">
        <v>430</v>
      </c>
      <c r="C431">
        <v>38</v>
      </c>
      <c r="D431" t="s">
        <v>912</v>
      </c>
      <c r="E431">
        <f t="shared" si="18"/>
        <v>2023</v>
      </c>
      <c r="F431" t="str">
        <f t="shared" si="19"/>
        <v>Nov</v>
      </c>
      <c r="G431">
        <v>1</v>
      </c>
      <c r="H431">
        <f>_xlfn.XLOOKUP(C431,Products!A:A,Products!D:D)</f>
        <v>802.88</v>
      </c>
      <c r="I431">
        <v>5</v>
      </c>
      <c r="J431">
        <f t="shared" si="20"/>
        <v>762.73599999999999</v>
      </c>
      <c r="K431" t="s">
        <v>2015</v>
      </c>
      <c r="L431" t="str">
        <f>_xlfn.XLOOKUP(Orders[[#This Row],[ProductID]],Products!A:A,Products!C:C)</f>
        <v>Home</v>
      </c>
    </row>
    <row r="432" spans="1:12" x14ac:dyDescent="0.3">
      <c r="A432">
        <v>431</v>
      </c>
      <c r="B432">
        <v>431</v>
      </c>
      <c r="C432">
        <v>74</v>
      </c>
      <c r="D432" t="s">
        <v>2053</v>
      </c>
      <c r="E432">
        <f t="shared" si="18"/>
        <v>2024</v>
      </c>
      <c r="F432" t="str">
        <f t="shared" si="19"/>
        <v>Feb</v>
      </c>
      <c r="G432">
        <v>3</v>
      </c>
      <c r="H432">
        <f>_xlfn.XLOOKUP(C432,Products!A:A,Products!D:D)</f>
        <v>1034.31</v>
      </c>
      <c r="I432">
        <v>20</v>
      </c>
      <c r="J432">
        <f t="shared" si="20"/>
        <v>2482.3440000000001</v>
      </c>
      <c r="K432" t="s">
        <v>2019</v>
      </c>
      <c r="L432" t="str">
        <f>_xlfn.XLOOKUP(Orders[[#This Row],[ProductID]],Products!A:A,Products!C:C)</f>
        <v>Electronics</v>
      </c>
    </row>
    <row r="433" spans="1:12" x14ac:dyDescent="0.3">
      <c r="A433">
        <v>432</v>
      </c>
      <c r="B433">
        <v>432</v>
      </c>
      <c r="C433">
        <v>17</v>
      </c>
      <c r="D433" t="s">
        <v>1761</v>
      </c>
      <c r="E433">
        <f t="shared" si="18"/>
        <v>2023</v>
      </c>
      <c r="F433" t="str">
        <f t="shared" si="19"/>
        <v>Sep</v>
      </c>
      <c r="G433">
        <v>1</v>
      </c>
      <c r="H433">
        <f>_xlfn.XLOOKUP(C433,Products!A:A,Products!D:D)</f>
        <v>695.6</v>
      </c>
      <c r="I433">
        <v>10</v>
      </c>
      <c r="J433">
        <f t="shared" si="20"/>
        <v>626.04000000000008</v>
      </c>
      <c r="K433" t="s">
        <v>2015</v>
      </c>
      <c r="L433" t="str">
        <f>_xlfn.XLOOKUP(Orders[[#This Row],[ProductID]],Products!A:A,Products!C:C)</f>
        <v>Clothing</v>
      </c>
    </row>
    <row r="434" spans="1:12" x14ac:dyDescent="0.3">
      <c r="A434">
        <v>433</v>
      </c>
      <c r="B434">
        <v>433</v>
      </c>
      <c r="C434">
        <v>60</v>
      </c>
      <c r="D434" t="s">
        <v>467</v>
      </c>
      <c r="E434">
        <f t="shared" si="18"/>
        <v>2023</v>
      </c>
      <c r="F434" t="str">
        <f t="shared" si="19"/>
        <v>Mar</v>
      </c>
      <c r="G434">
        <v>2</v>
      </c>
      <c r="H434">
        <f>_xlfn.XLOOKUP(C434,Products!A:A,Products!D:D)</f>
        <v>830.49</v>
      </c>
      <c r="I434">
        <v>0</v>
      </c>
      <c r="J434">
        <f t="shared" si="20"/>
        <v>1660.98</v>
      </c>
      <c r="K434" t="s">
        <v>2017</v>
      </c>
      <c r="L434" t="str">
        <f>_xlfn.XLOOKUP(Orders[[#This Row],[ProductID]],Products!A:A,Products!C:C)</f>
        <v>Clothing</v>
      </c>
    </row>
    <row r="435" spans="1:12" x14ac:dyDescent="0.3">
      <c r="A435">
        <v>434</v>
      </c>
      <c r="B435">
        <v>434</v>
      </c>
      <c r="C435">
        <v>70</v>
      </c>
      <c r="D435" t="s">
        <v>1450</v>
      </c>
      <c r="E435">
        <f t="shared" si="18"/>
        <v>2023</v>
      </c>
      <c r="F435" t="str">
        <f t="shared" si="19"/>
        <v>May</v>
      </c>
      <c r="G435">
        <v>1</v>
      </c>
      <c r="H435">
        <f>_xlfn.XLOOKUP(C435,Products!A:A,Products!D:D)</f>
        <v>797.23</v>
      </c>
      <c r="I435">
        <v>5</v>
      </c>
      <c r="J435">
        <f t="shared" si="20"/>
        <v>757.36849999999993</v>
      </c>
      <c r="K435" t="s">
        <v>2021</v>
      </c>
      <c r="L435" t="str">
        <f>_xlfn.XLOOKUP(Orders[[#This Row],[ProductID]],Products!A:A,Products!C:C)</f>
        <v>Clothing</v>
      </c>
    </row>
    <row r="436" spans="1:12" x14ac:dyDescent="0.3">
      <c r="A436">
        <v>435</v>
      </c>
      <c r="B436">
        <v>435</v>
      </c>
      <c r="C436">
        <v>12</v>
      </c>
      <c r="D436" t="s">
        <v>719</v>
      </c>
      <c r="E436">
        <f t="shared" si="18"/>
        <v>2023</v>
      </c>
      <c r="F436" t="str">
        <f t="shared" si="19"/>
        <v>Feb</v>
      </c>
      <c r="G436">
        <v>2</v>
      </c>
      <c r="H436">
        <f>_xlfn.XLOOKUP(C436,Products!A:A,Products!D:D)</f>
        <v>627.41999999999996</v>
      </c>
      <c r="I436">
        <v>0</v>
      </c>
      <c r="J436">
        <f t="shared" si="20"/>
        <v>1254.8399999999999</v>
      </c>
      <c r="K436" t="s">
        <v>2021</v>
      </c>
      <c r="L436" t="str">
        <f>_xlfn.XLOOKUP(Orders[[#This Row],[ProductID]],Products!A:A,Products!C:C)</f>
        <v>Beauty</v>
      </c>
    </row>
    <row r="437" spans="1:12" x14ac:dyDescent="0.3">
      <c r="A437">
        <v>436</v>
      </c>
      <c r="B437">
        <v>436</v>
      </c>
      <c r="C437">
        <v>42</v>
      </c>
      <c r="D437" t="s">
        <v>2023</v>
      </c>
      <c r="E437">
        <f t="shared" si="18"/>
        <v>2024</v>
      </c>
      <c r="F437" t="str">
        <f t="shared" si="19"/>
        <v>Apr</v>
      </c>
      <c r="G437">
        <v>2</v>
      </c>
      <c r="H437">
        <f>_xlfn.XLOOKUP(C437,Products!A:A,Products!D:D)</f>
        <v>233.11</v>
      </c>
      <c r="I437">
        <v>10</v>
      </c>
      <c r="J437">
        <f t="shared" si="20"/>
        <v>419.59800000000001</v>
      </c>
      <c r="K437" t="s">
        <v>2021</v>
      </c>
      <c r="L437" t="str">
        <f>_xlfn.XLOOKUP(Orders[[#This Row],[ProductID]],Products!A:A,Products!C:C)</f>
        <v>Home</v>
      </c>
    </row>
    <row r="438" spans="1:12" x14ac:dyDescent="0.3">
      <c r="A438">
        <v>437</v>
      </c>
      <c r="B438">
        <v>437</v>
      </c>
      <c r="C438">
        <v>33</v>
      </c>
      <c r="D438" t="s">
        <v>2033</v>
      </c>
      <c r="E438">
        <f t="shared" si="18"/>
        <v>2023</v>
      </c>
      <c r="F438" t="str">
        <f t="shared" si="19"/>
        <v>Dec</v>
      </c>
      <c r="G438">
        <v>2</v>
      </c>
      <c r="H438">
        <f>_xlfn.XLOOKUP(C438,Products!A:A,Products!D:D)</f>
        <v>965.4</v>
      </c>
      <c r="I438">
        <v>0</v>
      </c>
      <c r="J438">
        <f t="shared" si="20"/>
        <v>1930.8</v>
      </c>
      <c r="K438" t="s">
        <v>2021</v>
      </c>
      <c r="L438" t="str">
        <f>_xlfn.XLOOKUP(Orders[[#This Row],[ProductID]],Products!A:A,Products!C:C)</f>
        <v>Beauty</v>
      </c>
    </row>
    <row r="439" spans="1:12" x14ac:dyDescent="0.3">
      <c r="A439">
        <v>438</v>
      </c>
      <c r="B439">
        <v>438</v>
      </c>
      <c r="C439">
        <v>69</v>
      </c>
      <c r="D439" t="s">
        <v>2158</v>
      </c>
      <c r="E439">
        <f t="shared" si="18"/>
        <v>2023</v>
      </c>
      <c r="F439" t="str">
        <f t="shared" si="19"/>
        <v>Nov</v>
      </c>
      <c r="G439">
        <v>3</v>
      </c>
      <c r="H439">
        <f>_xlfn.XLOOKUP(C439,Products!A:A,Products!D:D)</f>
        <v>951.81</v>
      </c>
      <c r="I439">
        <v>15</v>
      </c>
      <c r="J439">
        <f t="shared" si="20"/>
        <v>2427.1154999999999</v>
      </c>
      <c r="K439" t="s">
        <v>2019</v>
      </c>
      <c r="L439" t="str">
        <f>_xlfn.XLOOKUP(Orders[[#This Row],[ProductID]],Products!A:A,Products!C:C)</f>
        <v>Clothing</v>
      </c>
    </row>
    <row r="440" spans="1:12" x14ac:dyDescent="0.3">
      <c r="A440">
        <v>439</v>
      </c>
      <c r="B440">
        <v>439</v>
      </c>
      <c r="C440">
        <v>43</v>
      </c>
      <c r="D440" t="s">
        <v>2022</v>
      </c>
      <c r="E440">
        <f t="shared" si="18"/>
        <v>2024</v>
      </c>
      <c r="F440" t="str">
        <f t="shared" si="19"/>
        <v>Mar</v>
      </c>
      <c r="G440">
        <v>1</v>
      </c>
      <c r="H440">
        <f>_xlfn.XLOOKUP(C440,Products!A:A,Products!D:D)</f>
        <v>760.86</v>
      </c>
      <c r="I440">
        <v>20</v>
      </c>
      <c r="J440">
        <f t="shared" si="20"/>
        <v>608.68799999999999</v>
      </c>
      <c r="K440" t="s">
        <v>2015</v>
      </c>
      <c r="L440" t="str">
        <f>_xlfn.XLOOKUP(Orders[[#This Row],[ProductID]],Products!A:A,Products!C:C)</f>
        <v>Electronics</v>
      </c>
    </row>
    <row r="441" spans="1:12" x14ac:dyDescent="0.3">
      <c r="A441">
        <v>440</v>
      </c>
      <c r="B441">
        <v>440</v>
      </c>
      <c r="C441">
        <v>9</v>
      </c>
      <c r="D441" t="s">
        <v>1303</v>
      </c>
      <c r="E441">
        <f t="shared" si="18"/>
        <v>2023</v>
      </c>
      <c r="F441" t="str">
        <f t="shared" si="19"/>
        <v>Nov</v>
      </c>
      <c r="G441">
        <v>2</v>
      </c>
      <c r="H441">
        <f>_xlfn.XLOOKUP(C441,Products!A:A,Products!D:D)</f>
        <v>43.26</v>
      </c>
      <c r="I441">
        <v>15</v>
      </c>
      <c r="J441">
        <f t="shared" si="20"/>
        <v>73.542000000000002</v>
      </c>
      <c r="K441" t="s">
        <v>2017</v>
      </c>
      <c r="L441" t="str">
        <f>_xlfn.XLOOKUP(Orders[[#This Row],[ProductID]],Products!A:A,Products!C:C)</f>
        <v>Electronics</v>
      </c>
    </row>
    <row r="442" spans="1:12" x14ac:dyDescent="0.3">
      <c r="A442">
        <v>441</v>
      </c>
      <c r="B442">
        <v>441</v>
      </c>
      <c r="C442">
        <v>72</v>
      </c>
      <c r="D442" t="s">
        <v>2159</v>
      </c>
      <c r="E442">
        <f t="shared" si="18"/>
        <v>2024</v>
      </c>
      <c r="F442" t="str">
        <f t="shared" si="19"/>
        <v>May</v>
      </c>
      <c r="G442">
        <v>2</v>
      </c>
      <c r="H442">
        <f>_xlfn.XLOOKUP(C442,Products!A:A,Products!D:D)</f>
        <v>1157.27</v>
      </c>
      <c r="I442">
        <v>5</v>
      </c>
      <c r="J442">
        <f t="shared" si="20"/>
        <v>2198.8129999999996</v>
      </c>
      <c r="K442" t="s">
        <v>2021</v>
      </c>
      <c r="L442" t="str">
        <f>_xlfn.XLOOKUP(Orders[[#This Row],[ProductID]],Products!A:A,Products!C:C)</f>
        <v>Electronics</v>
      </c>
    </row>
    <row r="443" spans="1:12" x14ac:dyDescent="0.3">
      <c r="A443">
        <v>442</v>
      </c>
      <c r="B443">
        <v>442</v>
      </c>
      <c r="C443">
        <v>34</v>
      </c>
      <c r="D443" t="s">
        <v>414</v>
      </c>
      <c r="E443">
        <f t="shared" si="18"/>
        <v>2023</v>
      </c>
      <c r="F443" t="str">
        <f t="shared" si="19"/>
        <v>Mar</v>
      </c>
      <c r="G443">
        <v>2</v>
      </c>
      <c r="H443">
        <f>_xlfn.XLOOKUP(C443,Products!A:A,Products!D:D)</f>
        <v>523.98</v>
      </c>
      <c r="I443">
        <v>0</v>
      </c>
      <c r="J443">
        <f t="shared" si="20"/>
        <v>1047.96</v>
      </c>
      <c r="K443" t="s">
        <v>2019</v>
      </c>
      <c r="L443" t="str">
        <f>_xlfn.XLOOKUP(Orders[[#This Row],[ProductID]],Products!A:A,Products!C:C)</f>
        <v>Home</v>
      </c>
    </row>
    <row r="444" spans="1:12" x14ac:dyDescent="0.3">
      <c r="A444">
        <v>443</v>
      </c>
      <c r="B444">
        <v>443</v>
      </c>
      <c r="C444">
        <v>12</v>
      </c>
      <c r="D444" t="s">
        <v>623</v>
      </c>
      <c r="E444">
        <f t="shared" si="18"/>
        <v>2023</v>
      </c>
      <c r="F444" t="str">
        <f t="shared" si="19"/>
        <v>Jun</v>
      </c>
      <c r="G444">
        <v>3</v>
      </c>
      <c r="H444">
        <f>_xlfn.XLOOKUP(C444,Products!A:A,Products!D:D)</f>
        <v>627.41999999999996</v>
      </c>
      <c r="I444">
        <v>20</v>
      </c>
      <c r="J444">
        <f t="shared" si="20"/>
        <v>1505.808</v>
      </c>
      <c r="K444" t="s">
        <v>2021</v>
      </c>
      <c r="L444" t="str">
        <f>_xlfn.XLOOKUP(Orders[[#This Row],[ProductID]],Products!A:A,Products!C:C)</f>
        <v>Beauty</v>
      </c>
    </row>
    <row r="445" spans="1:12" x14ac:dyDescent="0.3">
      <c r="A445">
        <v>444</v>
      </c>
      <c r="B445">
        <v>444</v>
      </c>
      <c r="C445">
        <v>15</v>
      </c>
      <c r="D445" t="s">
        <v>2160</v>
      </c>
      <c r="E445">
        <f t="shared" si="18"/>
        <v>2023</v>
      </c>
      <c r="F445" t="str">
        <f t="shared" si="19"/>
        <v>Oct</v>
      </c>
      <c r="G445">
        <v>2</v>
      </c>
      <c r="H445">
        <f>_xlfn.XLOOKUP(C445,Products!A:A,Products!D:D)</f>
        <v>1183.2</v>
      </c>
      <c r="I445">
        <v>5</v>
      </c>
      <c r="J445">
        <f t="shared" si="20"/>
        <v>2248.08</v>
      </c>
      <c r="K445" t="s">
        <v>2024</v>
      </c>
      <c r="L445" t="str">
        <f>_xlfn.XLOOKUP(Orders[[#This Row],[ProductID]],Products!A:A,Products!C:C)</f>
        <v>Electronics</v>
      </c>
    </row>
    <row r="446" spans="1:12" x14ac:dyDescent="0.3">
      <c r="A446">
        <v>445</v>
      </c>
      <c r="B446">
        <v>445</v>
      </c>
      <c r="C446">
        <v>49</v>
      </c>
      <c r="D446" t="s">
        <v>499</v>
      </c>
      <c r="E446">
        <f t="shared" si="18"/>
        <v>2023</v>
      </c>
      <c r="F446" t="str">
        <f t="shared" si="19"/>
        <v>Oct</v>
      </c>
      <c r="G446">
        <v>3</v>
      </c>
      <c r="H446">
        <f>_xlfn.XLOOKUP(C446,Products!A:A,Products!D:D)</f>
        <v>974.54</v>
      </c>
      <c r="I446">
        <v>0</v>
      </c>
      <c r="J446">
        <f t="shared" si="20"/>
        <v>2923.62</v>
      </c>
      <c r="K446" t="s">
        <v>2024</v>
      </c>
      <c r="L446" t="str">
        <f>_xlfn.XLOOKUP(Orders[[#This Row],[ProductID]],Products!A:A,Products!C:C)</f>
        <v>Home</v>
      </c>
    </row>
    <row r="447" spans="1:12" x14ac:dyDescent="0.3">
      <c r="A447">
        <v>446</v>
      </c>
      <c r="B447">
        <v>446</v>
      </c>
      <c r="C447">
        <v>8</v>
      </c>
      <c r="D447" t="s">
        <v>386</v>
      </c>
      <c r="E447">
        <f t="shared" si="18"/>
        <v>2023</v>
      </c>
      <c r="F447" t="str">
        <f t="shared" si="19"/>
        <v>Oct</v>
      </c>
      <c r="G447">
        <v>3</v>
      </c>
      <c r="H447">
        <f>_xlfn.XLOOKUP(C447,Products!A:A,Products!D:D)</f>
        <v>155.08000000000001</v>
      </c>
      <c r="I447">
        <v>5</v>
      </c>
      <c r="J447">
        <f t="shared" si="20"/>
        <v>441.97800000000001</v>
      </c>
      <c r="K447" t="s">
        <v>2017</v>
      </c>
      <c r="L447" t="str">
        <f>_xlfn.XLOOKUP(Orders[[#This Row],[ProductID]],Products!A:A,Products!C:C)</f>
        <v>Clothing</v>
      </c>
    </row>
    <row r="448" spans="1:12" x14ac:dyDescent="0.3">
      <c r="A448">
        <v>447</v>
      </c>
      <c r="B448">
        <v>447</v>
      </c>
      <c r="C448">
        <v>55</v>
      </c>
      <c r="D448" t="s">
        <v>1095</v>
      </c>
      <c r="E448">
        <f t="shared" si="18"/>
        <v>2023</v>
      </c>
      <c r="F448" t="str">
        <f t="shared" si="19"/>
        <v>Jun</v>
      </c>
      <c r="G448">
        <v>2</v>
      </c>
      <c r="H448">
        <f>_xlfn.XLOOKUP(C448,Products!A:A,Products!D:D)</f>
        <v>1016.06</v>
      </c>
      <c r="I448">
        <v>5</v>
      </c>
      <c r="J448">
        <f t="shared" si="20"/>
        <v>1930.5139999999999</v>
      </c>
      <c r="K448" t="s">
        <v>2015</v>
      </c>
      <c r="L448" t="str">
        <f>_xlfn.XLOOKUP(Orders[[#This Row],[ProductID]],Products!A:A,Products!C:C)</f>
        <v>Clothing</v>
      </c>
    </row>
    <row r="449" spans="1:12" x14ac:dyDescent="0.3">
      <c r="A449">
        <v>448</v>
      </c>
      <c r="B449">
        <v>448</v>
      </c>
      <c r="C449">
        <v>78</v>
      </c>
      <c r="D449" t="s">
        <v>386</v>
      </c>
      <c r="E449">
        <f t="shared" si="18"/>
        <v>2023</v>
      </c>
      <c r="F449" t="str">
        <f t="shared" si="19"/>
        <v>Oct</v>
      </c>
      <c r="G449">
        <v>1</v>
      </c>
      <c r="H449">
        <f>_xlfn.XLOOKUP(C449,Products!A:A,Products!D:D)</f>
        <v>795.77</v>
      </c>
      <c r="I449">
        <v>0</v>
      </c>
      <c r="J449">
        <f t="shared" si="20"/>
        <v>795.77</v>
      </c>
      <c r="K449" t="s">
        <v>2017</v>
      </c>
      <c r="L449" t="str">
        <f>_xlfn.XLOOKUP(Orders[[#This Row],[ProductID]],Products!A:A,Products!C:C)</f>
        <v>Beauty</v>
      </c>
    </row>
    <row r="450" spans="1:12" x14ac:dyDescent="0.3">
      <c r="A450">
        <v>449</v>
      </c>
      <c r="B450">
        <v>449</v>
      </c>
      <c r="C450">
        <v>2</v>
      </c>
      <c r="D450" t="s">
        <v>1047</v>
      </c>
      <c r="E450">
        <f t="shared" si="18"/>
        <v>2023</v>
      </c>
      <c r="F450" t="str">
        <f t="shared" si="19"/>
        <v>Oct</v>
      </c>
      <c r="G450">
        <v>2</v>
      </c>
      <c r="H450">
        <f>_xlfn.XLOOKUP(C450,Products!A:A,Products!D:D)</f>
        <v>427.27</v>
      </c>
      <c r="I450">
        <v>10</v>
      </c>
      <c r="J450">
        <f t="shared" si="20"/>
        <v>769.08600000000001</v>
      </c>
      <c r="K450" t="s">
        <v>2021</v>
      </c>
      <c r="L450" t="str">
        <f>_xlfn.XLOOKUP(Orders[[#This Row],[ProductID]],Products!A:A,Products!C:C)</f>
        <v>Home</v>
      </c>
    </row>
    <row r="451" spans="1:12" x14ac:dyDescent="0.3">
      <c r="A451">
        <v>450</v>
      </c>
      <c r="B451">
        <v>450</v>
      </c>
      <c r="C451">
        <v>38</v>
      </c>
      <c r="D451" t="s">
        <v>2161</v>
      </c>
      <c r="E451">
        <f t="shared" ref="E451:E514" si="21">YEAR(D451)</f>
        <v>2024</v>
      </c>
      <c r="F451" t="str">
        <f t="shared" ref="F451:F514" si="22">TEXT(D451,"mmm")</f>
        <v>Mar</v>
      </c>
      <c r="G451">
        <v>1</v>
      </c>
      <c r="H451">
        <f>_xlfn.XLOOKUP(C451,Products!A:A,Products!D:D)</f>
        <v>802.88</v>
      </c>
      <c r="I451">
        <v>15</v>
      </c>
      <c r="J451">
        <f t="shared" ref="J451:J514" si="23">G451*H451*(1-I451/100)</f>
        <v>682.44799999999998</v>
      </c>
      <c r="K451" t="s">
        <v>2017</v>
      </c>
      <c r="L451" t="str">
        <f>_xlfn.XLOOKUP(Orders[[#This Row],[ProductID]],Products!A:A,Products!C:C)</f>
        <v>Home</v>
      </c>
    </row>
    <row r="452" spans="1:12" x14ac:dyDescent="0.3">
      <c r="A452">
        <v>451</v>
      </c>
      <c r="B452">
        <v>451</v>
      </c>
      <c r="C452">
        <v>19</v>
      </c>
      <c r="D452" t="s">
        <v>619</v>
      </c>
      <c r="E452">
        <f t="shared" si="21"/>
        <v>2023</v>
      </c>
      <c r="F452" t="str">
        <f t="shared" si="22"/>
        <v>Nov</v>
      </c>
      <c r="G452">
        <v>2</v>
      </c>
      <c r="H452">
        <f>_xlfn.XLOOKUP(C452,Products!A:A,Products!D:D)</f>
        <v>262.97000000000003</v>
      </c>
      <c r="I452">
        <v>5</v>
      </c>
      <c r="J452">
        <f t="shared" si="23"/>
        <v>499.64300000000003</v>
      </c>
      <c r="K452" t="s">
        <v>2019</v>
      </c>
      <c r="L452" t="str">
        <f>_xlfn.XLOOKUP(Orders[[#This Row],[ProductID]],Products!A:A,Products!C:C)</f>
        <v>Beauty</v>
      </c>
    </row>
    <row r="453" spans="1:12" x14ac:dyDescent="0.3">
      <c r="A453">
        <v>452</v>
      </c>
      <c r="B453">
        <v>452</v>
      </c>
      <c r="C453">
        <v>77</v>
      </c>
      <c r="D453" t="s">
        <v>1095</v>
      </c>
      <c r="E453">
        <f t="shared" si="21"/>
        <v>2023</v>
      </c>
      <c r="F453" t="str">
        <f t="shared" si="22"/>
        <v>Jun</v>
      </c>
      <c r="G453">
        <v>2</v>
      </c>
      <c r="H453">
        <f>_xlfn.XLOOKUP(C453,Products!A:A,Products!D:D)</f>
        <v>1078.19</v>
      </c>
      <c r="I453">
        <v>20</v>
      </c>
      <c r="J453">
        <f t="shared" si="23"/>
        <v>1725.1040000000003</v>
      </c>
      <c r="K453" t="s">
        <v>2019</v>
      </c>
      <c r="L453" t="str">
        <f>_xlfn.XLOOKUP(Orders[[#This Row],[ProductID]],Products!A:A,Products!C:C)</f>
        <v>Home</v>
      </c>
    </row>
    <row r="454" spans="1:12" x14ac:dyDescent="0.3">
      <c r="A454">
        <v>453</v>
      </c>
      <c r="B454">
        <v>453</v>
      </c>
      <c r="C454">
        <v>36</v>
      </c>
      <c r="D454" t="s">
        <v>2162</v>
      </c>
      <c r="E454">
        <f t="shared" si="21"/>
        <v>2024</v>
      </c>
      <c r="F454" t="str">
        <f t="shared" si="22"/>
        <v>Mar</v>
      </c>
      <c r="G454">
        <v>3</v>
      </c>
      <c r="H454">
        <f>_xlfn.XLOOKUP(C454,Products!A:A,Products!D:D)</f>
        <v>992.01</v>
      </c>
      <c r="I454">
        <v>20</v>
      </c>
      <c r="J454">
        <f t="shared" si="23"/>
        <v>2380.8240000000001</v>
      </c>
      <c r="K454" t="s">
        <v>2017</v>
      </c>
      <c r="L454" t="str">
        <f>_xlfn.XLOOKUP(Orders[[#This Row],[ProductID]],Products!A:A,Products!C:C)</f>
        <v>Beauty</v>
      </c>
    </row>
    <row r="455" spans="1:12" x14ac:dyDescent="0.3">
      <c r="A455">
        <v>454</v>
      </c>
      <c r="B455">
        <v>454</v>
      </c>
      <c r="C455">
        <v>28</v>
      </c>
      <c r="D455" t="s">
        <v>1758</v>
      </c>
      <c r="E455">
        <f t="shared" si="21"/>
        <v>2023</v>
      </c>
      <c r="F455" t="str">
        <f t="shared" si="22"/>
        <v>Sep</v>
      </c>
      <c r="G455">
        <v>2</v>
      </c>
      <c r="H455">
        <f>_xlfn.XLOOKUP(C455,Products!A:A,Products!D:D)</f>
        <v>494.39</v>
      </c>
      <c r="I455">
        <v>15</v>
      </c>
      <c r="J455">
        <f t="shared" si="23"/>
        <v>840.46299999999997</v>
      </c>
      <c r="K455" t="s">
        <v>2019</v>
      </c>
      <c r="L455" t="str">
        <f>_xlfn.XLOOKUP(Orders[[#This Row],[ProductID]],Products!A:A,Products!C:C)</f>
        <v>Beauty</v>
      </c>
    </row>
    <row r="456" spans="1:12" x14ac:dyDescent="0.3">
      <c r="A456">
        <v>455</v>
      </c>
      <c r="B456">
        <v>455</v>
      </c>
      <c r="C456">
        <v>43</v>
      </c>
      <c r="D456" t="s">
        <v>1129</v>
      </c>
      <c r="E456">
        <f t="shared" si="21"/>
        <v>2023</v>
      </c>
      <c r="F456" t="str">
        <f t="shared" si="22"/>
        <v>Mar</v>
      </c>
      <c r="G456">
        <v>3</v>
      </c>
      <c r="H456">
        <f>_xlfn.XLOOKUP(C456,Products!A:A,Products!D:D)</f>
        <v>760.86</v>
      </c>
      <c r="I456">
        <v>5</v>
      </c>
      <c r="J456">
        <f t="shared" si="23"/>
        <v>2168.451</v>
      </c>
      <c r="K456" t="s">
        <v>2021</v>
      </c>
      <c r="L456" t="str">
        <f>_xlfn.XLOOKUP(Orders[[#This Row],[ProductID]],Products!A:A,Products!C:C)</f>
        <v>Electronics</v>
      </c>
    </row>
    <row r="457" spans="1:12" x14ac:dyDescent="0.3">
      <c r="A457">
        <v>456</v>
      </c>
      <c r="B457">
        <v>456</v>
      </c>
      <c r="C457">
        <v>7</v>
      </c>
      <c r="D457" t="s">
        <v>2122</v>
      </c>
      <c r="E457">
        <f t="shared" si="21"/>
        <v>2024</v>
      </c>
      <c r="F457" t="str">
        <f t="shared" si="22"/>
        <v>Apr</v>
      </c>
      <c r="G457">
        <v>1</v>
      </c>
      <c r="H457">
        <f>_xlfn.XLOOKUP(C457,Products!A:A,Products!D:D)</f>
        <v>97.29</v>
      </c>
      <c r="I457">
        <v>15</v>
      </c>
      <c r="J457">
        <f t="shared" si="23"/>
        <v>82.6965</v>
      </c>
      <c r="K457" t="s">
        <v>2017</v>
      </c>
      <c r="L457" t="str">
        <f>_xlfn.XLOOKUP(Orders[[#This Row],[ProductID]],Products!A:A,Products!C:C)</f>
        <v>Beauty</v>
      </c>
    </row>
    <row r="458" spans="1:12" x14ac:dyDescent="0.3">
      <c r="A458">
        <v>457</v>
      </c>
      <c r="B458">
        <v>457</v>
      </c>
      <c r="C458">
        <v>39</v>
      </c>
      <c r="D458" t="s">
        <v>2163</v>
      </c>
      <c r="E458">
        <f t="shared" si="21"/>
        <v>2024</v>
      </c>
      <c r="F458" t="str">
        <f t="shared" si="22"/>
        <v>Feb</v>
      </c>
      <c r="G458">
        <v>3</v>
      </c>
      <c r="H458">
        <f>_xlfn.XLOOKUP(C458,Products!A:A,Products!D:D)</f>
        <v>256.08999999999997</v>
      </c>
      <c r="I458">
        <v>5</v>
      </c>
      <c r="J458">
        <f t="shared" si="23"/>
        <v>729.85649999999998</v>
      </c>
      <c r="K458" t="s">
        <v>2019</v>
      </c>
      <c r="L458" t="str">
        <f>_xlfn.XLOOKUP(Orders[[#This Row],[ProductID]],Products!A:A,Products!C:C)</f>
        <v>Clothing</v>
      </c>
    </row>
    <row r="459" spans="1:12" x14ac:dyDescent="0.3">
      <c r="A459">
        <v>458</v>
      </c>
      <c r="B459">
        <v>458</v>
      </c>
      <c r="C459">
        <v>71</v>
      </c>
      <c r="D459" t="s">
        <v>405</v>
      </c>
      <c r="E459">
        <f t="shared" si="21"/>
        <v>2023</v>
      </c>
      <c r="F459" t="str">
        <f t="shared" si="22"/>
        <v>Jul</v>
      </c>
      <c r="G459">
        <v>2</v>
      </c>
      <c r="H459">
        <f>_xlfn.XLOOKUP(C459,Products!A:A,Products!D:D)</f>
        <v>780.27</v>
      </c>
      <c r="I459">
        <v>15</v>
      </c>
      <c r="J459">
        <f t="shared" si="23"/>
        <v>1326.4589999999998</v>
      </c>
      <c r="K459" t="s">
        <v>2017</v>
      </c>
      <c r="L459" t="str">
        <f>_xlfn.XLOOKUP(Orders[[#This Row],[ProductID]],Products!A:A,Products!C:C)</f>
        <v>Electronics</v>
      </c>
    </row>
    <row r="460" spans="1:12" x14ac:dyDescent="0.3">
      <c r="A460">
        <v>459</v>
      </c>
      <c r="B460">
        <v>459</v>
      </c>
      <c r="C460">
        <v>45</v>
      </c>
      <c r="D460" t="s">
        <v>2140</v>
      </c>
      <c r="E460">
        <f t="shared" si="21"/>
        <v>2024</v>
      </c>
      <c r="F460" t="str">
        <f t="shared" si="22"/>
        <v>Jan</v>
      </c>
      <c r="G460">
        <v>2</v>
      </c>
      <c r="H460">
        <f>_xlfn.XLOOKUP(C460,Products!A:A,Products!D:D)</f>
        <v>609.05999999999995</v>
      </c>
      <c r="I460">
        <v>15</v>
      </c>
      <c r="J460">
        <f t="shared" si="23"/>
        <v>1035.4019999999998</v>
      </c>
      <c r="K460" t="s">
        <v>2019</v>
      </c>
      <c r="L460" t="str">
        <f>_xlfn.XLOOKUP(Orders[[#This Row],[ProductID]],Products!A:A,Products!C:C)</f>
        <v>Beauty</v>
      </c>
    </row>
    <row r="461" spans="1:12" x14ac:dyDescent="0.3">
      <c r="A461">
        <v>460</v>
      </c>
      <c r="B461">
        <v>460</v>
      </c>
      <c r="C461">
        <v>68</v>
      </c>
      <c r="D461" t="s">
        <v>2110</v>
      </c>
      <c r="E461">
        <f t="shared" si="21"/>
        <v>2024</v>
      </c>
      <c r="F461" t="str">
        <f t="shared" si="22"/>
        <v>Jan</v>
      </c>
      <c r="G461">
        <v>2</v>
      </c>
      <c r="H461">
        <f>_xlfn.XLOOKUP(C461,Products!A:A,Products!D:D)</f>
        <v>180.99</v>
      </c>
      <c r="I461">
        <v>10</v>
      </c>
      <c r="J461">
        <f t="shared" si="23"/>
        <v>325.78200000000004</v>
      </c>
      <c r="K461" t="s">
        <v>2021</v>
      </c>
      <c r="L461" t="str">
        <f>_xlfn.XLOOKUP(Orders[[#This Row],[ProductID]],Products!A:A,Products!C:C)</f>
        <v>Clothing</v>
      </c>
    </row>
    <row r="462" spans="1:12" x14ac:dyDescent="0.3">
      <c r="A462">
        <v>461</v>
      </c>
      <c r="B462">
        <v>461</v>
      </c>
      <c r="C462">
        <v>71</v>
      </c>
      <c r="D462" t="s">
        <v>2126</v>
      </c>
      <c r="E462">
        <f t="shared" si="21"/>
        <v>2023</v>
      </c>
      <c r="F462" t="str">
        <f t="shared" si="22"/>
        <v>Jul</v>
      </c>
      <c r="G462">
        <v>1</v>
      </c>
      <c r="H462">
        <f>_xlfn.XLOOKUP(C462,Products!A:A,Products!D:D)</f>
        <v>780.27</v>
      </c>
      <c r="I462">
        <v>5</v>
      </c>
      <c r="J462">
        <f t="shared" si="23"/>
        <v>741.25649999999996</v>
      </c>
      <c r="K462" t="s">
        <v>2024</v>
      </c>
      <c r="L462" t="str">
        <f>_xlfn.XLOOKUP(Orders[[#This Row],[ProductID]],Products!A:A,Products!C:C)</f>
        <v>Electronics</v>
      </c>
    </row>
    <row r="463" spans="1:12" x14ac:dyDescent="0.3">
      <c r="A463">
        <v>462</v>
      </c>
      <c r="B463">
        <v>462</v>
      </c>
      <c r="C463">
        <v>75</v>
      </c>
      <c r="D463" t="s">
        <v>2076</v>
      </c>
      <c r="E463">
        <f t="shared" si="21"/>
        <v>2024</v>
      </c>
      <c r="F463" t="str">
        <f t="shared" si="22"/>
        <v>Mar</v>
      </c>
      <c r="G463">
        <v>1</v>
      </c>
      <c r="H463">
        <f>_xlfn.XLOOKUP(C463,Products!A:A,Products!D:D)</f>
        <v>390.41</v>
      </c>
      <c r="I463">
        <v>10</v>
      </c>
      <c r="J463">
        <f t="shared" si="23"/>
        <v>351.36900000000003</v>
      </c>
      <c r="K463" t="s">
        <v>2017</v>
      </c>
      <c r="L463" t="str">
        <f>_xlfn.XLOOKUP(Orders[[#This Row],[ProductID]],Products!A:A,Products!C:C)</f>
        <v>Electronics</v>
      </c>
    </row>
    <row r="464" spans="1:12" x14ac:dyDescent="0.3">
      <c r="A464">
        <v>463</v>
      </c>
      <c r="B464">
        <v>463</v>
      </c>
      <c r="C464">
        <v>21</v>
      </c>
      <c r="D464" t="s">
        <v>499</v>
      </c>
      <c r="E464">
        <f t="shared" si="21"/>
        <v>2023</v>
      </c>
      <c r="F464" t="str">
        <f t="shared" si="22"/>
        <v>Oct</v>
      </c>
      <c r="G464">
        <v>1</v>
      </c>
      <c r="H464">
        <f>_xlfn.XLOOKUP(C464,Products!A:A,Products!D:D)</f>
        <v>420.66</v>
      </c>
      <c r="I464">
        <v>15</v>
      </c>
      <c r="J464">
        <f t="shared" si="23"/>
        <v>357.56100000000004</v>
      </c>
      <c r="K464" t="s">
        <v>2017</v>
      </c>
      <c r="L464" t="str">
        <f>_xlfn.XLOOKUP(Orders[[#This Row],[ProductID]],Products!A:A,Products!C:C)</f>
        <v>Beauty</v>
      </c>
    </row>
    <row r="465" spans="1:12" x14ac:dyDescent="0.3">
      <c r="A465">
        <v>464</v>
      </c>
      <c r="B465">
        <v>464</v>
      </c>
      <c r="C465">
        <v>38</v>
      </c>
      <c r="D465" t="s">
        <v>2164</v>
      </c>
      <c r="E465">
        <f t="shared" si="21"/>
        <v>2024</v>
      </c>
      <c r="F465" t="str">
        <f t="shared" si="22"/>
        <v>Apr</v>
      </c>
      <c r="G465">
        <v>1</v>
      </c>
      <c r="H465">
        <f>_xlfn.XLOOKUP(C465,Products!A:A,Products!D:D)</f>
        <v>802.88</v>
      </c>
      <c r="I465">
        <v>5</v>
      </c>
      <c r="J465">
        <f t="shared" si="23"/>
        <v>762.73599999999999</v>
      </c>
      <c r="K465" t="s">
        <v>2021</v>
      </c>
      <c r="L465" t="str">
        <f>_xlfn.XLOOKUP(Orders[[#This Row],[ProductID]],Products!A:A,Products!C:C)</f>
        <v>Home</v>
      </c>
    </row>
    <row r="466" spans="1:12" x14ac:dyDescent="0.3">
      <c r="A466">
        <v>465</v>
      </c>
      <c r="B466">
        <v>465</v>
      </c>
      <c r="C466">
        <v>26</v>
      </c>
      <c r="D466" t="s">
        <v>2147</v>
      </c>
      <c r="E466">
        <f t="shared" si="21"/>
        <v>2024</v>
      </c>
      <c r="F466" t="str">
        <f t="shared" si="22"/>
        <v>Jan</v>
      </c>
      <c r="G466">
        <v>3</v>
      </c>
      <c r="H466">
        <f>_xlfn.XLOOKUP(C466,Products!A:A,Products!D:D)</f>
        <v>272.61</v>
      </c>
      <c r="I466">
        <v>0</v>
      </c>
      <c r="J466">
        <f t="shared" si="23"/>
        <v>817.83</v>
      </c>
      <c r="K466" t="s">
        <v>2024</v>
      </c>
      <c r="L466" t="str">
        <f>_xlfn.XLOOKUP(Orders[[#This Row],[ProductID]],Products!A:A,Products!C:C)</f>
        <v>Home</v>
      </c>
    </row>
    <row r="467" spans="1:12" x14ac:dyDescent="0.3">
      <c r="A467">
        <v>466</v>
      </c>
      <c r="B467">
        <v>466</v>
      </c>
      <c r="C467">
        <v>74</v>
      </c>
      <c r="D467" t="s">
        <v>1382</v>
      </c>
      <c r="E467">
        <f t="shared" si="21"/>
        <v>2023</v>
      </c>
      <c r="F467" t="str">
        <f t="shared" si="22"/>
        <v>Feb</v>
      </c>
      <c r="G467">
        <v>3</v>
      </c>
      <c r="H467">
        <f>_xlfn.XLOOKUP(C467,Products!A:A,Products!D:D)</f>
        <v>1034.31</v>
      </c>
      <c r="I467">
        <v>5</v>
      </c>
      <c r="J467">
        <f t="shared" si="23"/>
        <v>2947.7834999999995</v>
      </c>
      <c r="K467" t="s">
        <v>2017</v>
      </c>
      <c r="L467" t="str">
        <f>_xlfn.XLOOKUP(Orders[[#This Row],[ProductID]],Products!A:A,Products!C:C)</f>
        <v>Electronics</v>
      </c>
    </row>
    <row r="468" spans="1:12" x14ac:dyDescent="0.3">
      <c r="A468">
        <v>467</v>
      </c>
      <c r="B468">
        <v>467</v>
      </c>
      <c r="C468">
        <v>55</v>
      </c>
      <c r="D468" t="s">
        <v>2137</v>
      </c>
      <c r="E468">
        <f t="shared" si="21"/>
        <v>2023</v>
      </c>
      <c r="F468" t="str">
        <f t="shared" si="22"/>
        <v>Dec</v>
      </c>
      <c r="G468">
        <v>1</v>
      </c>
      <c r="H468">
        <f>_xlfn.XLOOKUP(C468,Products!A:A,Products!D:D)</f>
        <v>1016.06</v>
      </c>
      <c r="I468">
        <v>0</v>
      </c>
      <c r="J468">
        <f t="shared" si="23"/>
        <v>1016.06</v>
      </c>
      <c r="K468" t="s">
        <v>2019</v>
      </c>
      <c r="L468" t="str">
        <f>_xlfn.XLOOKUP(Orders[[#This Row],[ProductID]],Products!A:A,Products!C:C)</f>
        <v>Clothing</v>
      </c>
    </row>
    <row r="469" spans="1:12" x14ac:dyDescent="0.3">
      <c r="A469">
        <v>468</v>
      </c>
      <c r="B469">
        <v>468</v>
      </c>
      <c r="C469">
        <v>46</v>
      </c>
      <c r="D469" t="s">
        <v>2151</v>
      </c>
      <c r="E469">
        <f t="shared" si="21"/>
        <v>2024</v>
      </c>
      <c r="F469" t="str">
        <f t="shared" si="22"/>
        <v>May</v>
      </c>
      <c r="G469">
        <v>2</v>
      </c>
      <c r="H469">
        <f>_xlfn.XLOOKUP(C469,Products!A:A,Products!D:D)</f>
        <v>1155.3</v>
      </c>
      <c r="I469">
        <v>5</v>
      </c>
      <c r="J469">
        <f t="shared" si="23"/>
        <v>2195.0699999999997</v>
      </c>
      <c r="K469" t="s">
        <v>2019</v>
      </c>
      <c r="L469" t="str">
        <f>_xlfn.XLOOKUP(Orders[[#This Row],[ProductID]],Products!A:A,Products!C:C)</f>
        <v>Beauty</v>
      </c>
    </row>
    <row r="470" spans="1:12" x14ac:dyDescent="0.3">
      <c r="A470">
        <v>469</v>
      </c>
      <c r="B470">
        <v>469</v>
      </c>
      <c r="C470">
        <v>16</v>
      </c>
      <c r="D470" t="s">
        <v>936</v>
      </c>
      <c r="E470">
        <f t="shared" si="21"/>
        <v>2023</v>
      </c>
      <c r="F470" t="str">
        <f t="shared" si="22"/>
        <v>Sep</v>
      </c>
      <c r="G470">
        <v>3</v>
      </c>
      <c r="H470">
        <f>_xlfn.XLOOKUP(C470,Products!A:A,Products!D:D)</f>
        <v>693.02</v>
      </c>
      <c r="I470">
        <v>10</v>
      </c>
      <c r="J470">
        <f t="shared" si="23"/>
        <v>1871.154</v>
      </c>
      <c r="K470" t="s">
        <v>2015</v>
      </c>
      <c r="L470" t="str">
        <f>_xlfn.XLOOKUP(Orders[[#This Row],[ProductID]],Products!A:A,Products!C:C)</f>
        <v>Home</v>
      </c>
    </row>
    <row r="471" spans="1:12" x14ac:dyDescent="0.3">
      <c r="A471">
        <v>470</v>
      </c>
      <c r="B471">
        <v>470</v>
      </c>
      <c r="C471">
        <v>56</v>
      </c>
      <c r="D471" t="s">
        <v>2059</v>
      </c>
      <c r="E471">
        <f t="shared" si="21"/>
        <v>2024</v>
      </c>
      <c r="F471" t="str">
        <f t="shared" si="22"/>
        <v>May</v>
      </c>
      <c r="G471">
        <v>1</v>
      </c>
      <c r="H471">
        <f>_xlfn.XLOOKUP(C471,Products!A:A,Products!D:D)</f>
        <v>396.01</v>
      </c>
      <c r="I471">
        <v>15</v>
      </c>
      <c r="J471">
        <f t="shared" si="23"/>
        <v>336.60849999999999</v>
      </c>
      <c r="K471" t="s">
        <v>2021</v>
      </c>
      <c r="L471" t="str">
        <f>_xlfn.XLOOKUP(Orders[[#This Row],[ProductID]],Products!A:A,Products!C:C)</f>
        <v>Home</v>
      </c>
    </row>
    <row r="472" spans="1:12" x14ac:dyDescent="0.3">
      <c r="A472">
        <v>471</v>
      </c>
      <c r="B472">
        <v>471</v>
      </c>
      <c r="C472">
        <v>5</v>
      </c>
      <c r="D472" t="s">
        <v>838</v>
      </c>
      <c r="E472">
        <f t="shared" si="21"/>
        <v>2023</v>
      </c>
      <c r="F472" t="str">
        <f t="shared" si="22"/>
        <v>Mar</v>
      </c>
      <c r="G472">
        <v>1</v>
      </c>
      <c r="H472">
        <f>_xlfn.XLOOKUP(C472,Products!A:A,Products!D:D)</f>
        <v>296.85000000000002</v>
      </c>
      <c r="I472">
        <v>15</v>
      </c>
      <c r="J472">
        <f t="shared" si="23"/>
        <v>252.32250000000002</v>
      </c>
      <c r="K472" t="s">
        <v>2017</v>
      </c>
      <c r="L472" t="str">
        <f>_xlfn.XLOOKUP(Orders[[#This Row],[ProductID]],Products!A:A,Products!C:C)</f>
        <v>Clothing</v>
      </c>
    </row>
    <row r="473" spans="1:12" x14ac:dyDescent="0.3">
      <c r="A473">
        <v>472</v>
      </c>
      <c r="B473">
        <v>472</v>
      </c>
      <c r="C473">
        <v>39</v>
      </c>
      <c r="D473" t="s">
        <v>2165</v>
      </c>
      <c r="E473">
        <f t="shared" si="21"/>
        <v>2023</v>
      </c>
      <c r="F473" t="str">
        <f t="shared" si="22"/>
        <v>Dec</v>
      </c>
      <c r="G473">
        <v>3</v>
      </c>
      <c r="H473">
        <f>_xlfn.XLOOKUP(C473,Products!A:A,Products!D:D)</f>
        <v>256.08999999999997</v>
      </c>
      <c r="I473">
        <v>5</v>
      </c>
      <c r="J473">
        <f t="shared" si="23"/>
        <v>729.85649999999998</v>
      </c>
      <c r="K473" t="s">
        <v>2017</v>
      </c>
      <c r="L473" t="str">
        <f>_xlfn.XLOOKUP(Orders[[#This Row],[ProductID]],Products!A:A,Products!C:C)</f>
        <v>Clothing</v>
      </c>
    </row>
    <row r="474" spans="1:12" x14ac:dyDescent="0.3">
      <c r="A474">
        <v>473</v>
      </c>
      <c r="B474">
        <v>473</v>
      </c>
      <c r="C474">
        <v>12</v>
      </c>
      <c r="D474" t="s">
        <v>2166</v>
      </c>
      <c r="E474">
        <f t="shared" si="21"/>
        <v>2024</v>
      </c>
      <c r="F474" t="str">
        <f t="shared" si="22"/>
        <v>Feb</v>
      </c>
      <c r="G474">
        <v>2</v>
      </c>
      <c r="H474">
        <f>_xlfn.XLOOKUP(C474,Products!A:A,Products!D:D)</f>
        <v>627.41999999999996</v>
      </c>
      <c r="I474">
        <v>15</v>
      </c>
      <c r="J474">
        <f t="shared" si="23"/>
        <v>1066.6139999999998</v>
      </c>
      <c r="K474" t="s">
        <v>2024</v>
      </c>
      <c r="L474" t="str">
        <f>_xlfn.XLOOKUP(Orders[[#This Row],[ProductID]],Products!A:A,Products!C:C)</f>
        <v>Beauty</v>
      </c>
    </row>
    <row r="475" spans="1:12" x14ac:dyDescent="0.3">
      <c r="A475">
        <v>474</v>
      </c>
      <c r="B475">
        <v>474</v>
      </c>
      <c r="C475">
        <v>57</v>
      </c>
      <c r="D475" t="s">
        <v>1371</v>
      </c>
      <c r="E475">
        <f t="shared" si="21"/>
        <v>2023</v>
      </c>
      <c r="F475" t="str">
        <f t="shared" si="22"/>
        <v>Jul</v>
      </c>
      <c r="G475">
        <v>1</v>
      </c>
      <c r="H475">
        <f>_xlfn.XLOOKUP(C475,Products!A:A,Products!D:D)</f>
        <v>768.03</v>
      </c>
      <c r="I475">
        <v>0</v>
      </c>
      <c r="J475">
        <f t="shared" si="23"/>
        <v>768.03</v>
      </c>
      <c r="K475" t="s">
        <v>2019</v>
      </c>
      <c r="L475" t="str">
        <f>_xlfn.XLOOKUP(Orders[[#This Row],[ProductID]],Products!A:A,Products!C:C)</f>
        <v>Electronics</v>
      </c>
    </row>
    <row r="476" spans="1:12" x14ac:dyDescent="0.3">
      <c r="A476">
        <v>475</v>
      </c>
      <c r="B476">
        <v>475</v>
      </c>
      <c r="C476">
        <v>11</v>
      </c>
      <c r="D476" t="s">
        <v>2167</v>
      </c>
      <c r="E476">
        <f t="shared" si="21"/>
        <v>2023</v>
      </c>
      <c r="F476" t="str">
        <f t="shared" si="22"/>
        <v>Mar</v>
      </c>
      <c r="G476">
        <v>2</v>
      </c>
      <c r="H476">
        <f>_xlfn.XLOOKUP(C476,Products!A:A,Products!D:D)</f>
        <v>1038.77</v>
      </c>
      <c r="I476">
        <v>20</v>
      </c>
      <c r="J476">
        <f t="shared" si="23"/>
        <v>1662.0320000000002</v>
      </c>
      <c r="K476" t="s">
        <v>2021</v>
      </c>
      <c r="L476" t="str">
        <f>_xlfn.XLOOKUP(Orders[[#This Row],[ProductID]],Products!A:A,Products!C:C)</f>
        <v>Beauty</v>
      </c>
    </row>
    <row r="477" spans="1:12" x14ac:dyDescent="0.3">
      <c r="A477">
        <v>476</v>
      </c>
      <c r="B477">
        <v>476</v>
      </c>
      <c r="C477">
        <v>3</v>
      </c>
      <c r="D477" t="s">
        <v>924</v>
      </c>
      <c r="E477">
        <f t="shared" si="21"/>
        <v>2023</v>
      </c>
      <c r="F477" t="str">
        <f t="shared" si="22"/>
        <v>Oct</v>
      </c>
      <c r="G477">
        <v>3</v>
      </c>
      <c r="H477">
        <f>_xlfn.XLOOKUP(C477,Products!A:A,Products!D:D)</f>
        <v>506.08</v>
      </c>
      <c r="I477">
        <v>20</v>
      </c>
      <c r="J477">
        <f t="shared" si="23"/>
        <v>1214.5920000000001</v>
      </c>
      <c r="K477" t="s">
        <v>2017</v>
      </c>
      <c r="L477" t="str">
        <f>_xlfn.XLOOKUP(Orders[[#This Row],[ProductID]],Products!A:A,Products!C:C)</f>
        <v>Clothing</v>
      </c>
    </row>
    <row r="478" spans="1:12" x14ac:dyDescent="0.3">
      <c r="A478">
        <v>477</v>
      </c>
      <c r="B478">
        <v>477</v>
      </c>
      <c r="C478">
        <v>36</v>
      </c>
      <c r="D478" t="s">
        <v>2071</v>
      </c>
      <c r="E478">
        <f t="shared" si="21"/>
        <v>2023</v>
      </c>
      <c r="F478" t="str">
        <f t="shared" si="22"/>
        <v>Dec</v>
      </c>
      <c r="G478">
        <v>3</v>
      </c>
      <c r="H478">
        <f>_xlfn.XLOOKUP(C478,Products!A:A,Products!D:D)</f>
        <v>992.01</v>
      </c>
      <c r="I478">
        <v>0</v>
      </c>
      <c r="J478">
        <f t="shared" si="23"/>
        <v>2976.0299999999997</v>
      </c>
      <c r="K478" t="s">
        <v>2015</v>
      </c>
      <c r="L478" t="str">
        <f>_xlfn.XLOOKUP(Orders[[#This Row],[ProductID]],Products!A:A,Products!C:C)</f>
        <v>Beauty</v>
      </c>
    </row>
    <row r="479" spans="1:12" x14ac:dyDescent="0.3">
      <c r="A479">
        <v>478</v>
      </c>
      <c r="B479">
        <v>478</v>
      </c>
      <c r="C479">
        <v>24</v>
      </c>
      <c r="D479" t="s">
        <v>1884</v>
      </c>
      <c r="E479">
        <f t="shared" si="21"/>
        <v>2023</v>
      </c>
      <c r="F479" t="str">
        <f t="shared" si="22"/>
        <v>Jul</v>
      </c>
      <c r="G479">
        <v>2</v>
      </c>
      <c r="H479">
        <f>_xlfn.XLOOKUP(C479,Products!A:A,Products!D:D)</f>
        <v>1019.85</v>
      </c>
      <c r="I479">
        <v>15</v>
      </c>
      <c r="J479">
        <f t="shared" si="23"/>
        <v>1733.7449999999999</v>
      </c>
      <c r="K479" t="s">
        <v>2024</v>
      </c>
      <c r="L479" t="str">
        <f>_xlfn.XLOOKUP(Orders[[#This Row],[ProductID]],Products!A:A,Products!C:C)</f>
        <v>Beauty</v>
      </c>
    </row>
    <row r="480" spans="1:12" x14ac:dyDescent="0.3">
      <c r="A480">
        <v>479</v>
      </c>
      <c r="B480">
        <v>479</v>
      </c>
      <c r="C480">
        <v>74</v>
      </c>
      <c r="D480" t="s">
        <v>1138</v>
      </c>
      <c r="E480">
        <f t="shared" si="21"/>
        <v>2023</v>
      </c>
      <c r="F480" t="str">
        <f t="shared" si="22"/>
        <v>Mar</v>
      </c>
      <c r="G480">
        <v>1</v>
      </c>
      <c r="H480">
        <f>_xlfn.XLOOKUP(C480,Products!A:A,Products!D:D)</f>
        <v>1034.31</v>
      </c>
      <c r="I480">
        <v>10</v>
      </c>
      <c r="J480">
        <f t="shared" si="23"/>
        <v>930.87900000000002</v>
      </c>
      <c r="K480" t="s">
        <v>2019</v>
      </c>
      <c r="L480" t="str">
        <f>_xlfn.XLOOKUP(Orders[[#This Row],[ProductID]],Products!A:A,Products!C:C)</f>
        <v>Electronics</v>
      </c>
    </row>
    <row r="481" spans="1:12" x14ac:dyDescent="0.3">
      <c r="A481">
        <v>480</v>
      </c>
      <c r="B481">
        <v>480</v>
      </c>
      <c r="C481">
        <v>69</v>
      </c>
      <c r="D481" t="s">
        <v>19</v>
      </c>
      <c r="E481">
        <f t="shared" si="21"/>
        <v>2023</v>
      </c>
      <c r="F481" t="str">
        <f t="shared" si="22"/>
        <v>Apr</v>
      </c>
      <c r="G481">
        <v>2</v>
      </c>
      <c r="H481">
        <f>_xlfn.XLOOKUP(C481,Products!A:A,Products!D:D)</f>
        <v>951.81</v>
      </c>
      <c r="I481">
        <v>0</v>
      </c>
      <c r="J481">
        <f t="shared" si="23"/>
        <v>1903.62</v>
      </c>
      <c r="K481" t="s">
        <v>2017</v>
      </c>
      <c r="L481" t="str">
        <f>_xlfn.XLOOKUP(Orders[[#This Row],[ProductID]],Products!A:A,Products!C:C)</f>
        <v>Clothing</v>
      </c>
    </row>
    <row r="482" spans="1:12" x14ac:dyDescent="0.3">
      <c r="A482">
        <v>481</v>
      </c>
      <c r="B482">
        <v>481</v>
      </c>
      <c r="C482">
        <v>72</v>
      </c>
      <c r="D482" t="s">
        <v>2168</v>
      </c>
      <c r="E482">
        <f t="shared" si="21"/>
        <v>2024</v>
      </c>
      <c r="F482" t="str">
        <f t="shared" si="22"/>
        <v>Feb</v>
      </c>
      <c r="G482">
        <v>3</v>
      </c>
      <c r="H482">
        <f>_xlfn.XLOOKUP(C482,Products!A:A,Products!D:D)</f>
        <v>1157.27</v>
      </c>
      <c r="I482">
        <v>20</v>
      </c>
      <c r="J482">
        <f t="shared" si="23"/>
        <v>2777.4480000000003</v>
      </c>
      <c r="K482" t="s">
        <v>2017</v>
      </c>
      <c r="L482" t="str">
        <f>_xlfn.XLOOKUP(Orders[[#This Row],[ProductID]],Products!A:A,Products!C:C)</f>
        <v>Electronics</v>
      </c>
    </row>
    <row r="483" spans="1:12" x14ac:dyDescent="0.3">
      <c r="A483">
        <v>482</v>
      </c>
      <c r="B483">
        <v>482</v>
      </c>
      <c r="C483">
        <v>9</v>
      </c>
      <c r="D483" t="s">
        <v>1026</v>
      </c>
      <c r="E483">
        <f t="shared" si="21"/>
        <v>2023</v>
      </c>
      <c r="F483" t="str">
        <f t="shared" si="22"/>
        <v>Sep</v>
      </c>
      <c r="G483">
        <v>3</v>
      </c>
      <c r="H483">
        <f>_xlfn.XLOOKUP(C483,Products!A:A,Products!D:D)</f>
        <v>43.26</v>
      </c>
      <c r="I483">
        <v>20</v>
      </c>
      <c r="J483">
        <f t="shared" si="23"/>
        <v>103.82400000000001</v>
      </c>
      <c r="K483" t="s">
        <v>2019</v>
      </c>
      <c r="L483" t="str">
        <f>_xlfn.XLOOKUP(Orders[[#This Row],[ProductID]],Products!A:A,Products!C:C)</f>
        <v>Electronics</v>
      </c>
    </row>
    <row r="484" spans="1:12" x14ac:dyDescent="0.3">
      <c r="A484">
        <v>483</v>
      </c>
      <c r="B484">
        <v>483</v>
      </c>
      <c r="C484">
        <v>27</v>
      </c>
      <c r="D484" t="s">
        <v>2159</v>
      </c>
      <c r="E484">
        <f t="shared" si="21"/>
        <v>2024</v>
      </c>
      <c r="F484" t="str">
        <f t="shared" si="22"/>
        <v>May</v>
      </c>
      <c r="G484">
        <v>3</v>
      </c>
      <c r="H484">
        <f>_xlfn.XLOOKUP(C484,Products!A:A,Products!D:D)</f>
        <v>76.09</v>
      </c>
      <c r="I484">
        <v>0</v>
      </c>
      <c r="J484">
        <f t="shared" si="23"/>
        <v>228.27</v>
      </c>
      <c r="K484" t="s">
        <v>2021</v>
      </c>
      <c r="L484" t="str">
        <f>_xlfn.XLOOKUP(Orders[[#This Row],[ProductID]],Products!A:A,Products!C:C)</f>
        <v>Clothing</v>
      </c>
    </row>
    <row r="485" spans="1:12" x14ac:dyDescent="0.3">
      <c r="A485">
        <v>484</v>
      </c>
      <c r="B485">
        <v>484</v>
      </c>
      <c r="C485">
        <v>77</v>
      </c>
      <c r="D485" t="s">
        <v>2071</v>
      </c>
      <c r="E485">
        <f t="shared" si="21"/>
        <v>2023</v>
      </c>
      <c r="F485" t="str">
        <f t="shared" si="22"/>
        <v>Dec</v>
      </c>
      <c r="G485">
        <v>1</v>
      </c>
      <c r="H485">
        <f>_xlfn.XLOOKUP(C485,Products!A:A,Products!D:D)</f>
        <v>1078.19</v>
      </c>
      <c r="I485">
        <v>0</v>
      </c>
      <c r="J485">
        <f t="shared" si="23"/>
        <v>1078.19</v>
      </c>
      <c r="K485" t="s">
        <v>2015</v>
      </c>
      <c r="L485" t="str">
        <f>_xlfn.XLOOKUP(Orders[[#This Row],[ProductID]],Products!A:A,Products!C:C)</f>
        <v>Home</v>
      </c>
    </row>
    <row r="486" spans="1:12" x14ac:dyDescent="0.3">
      <c r="A486">
        <v>485</v>
      </c>
      <c r="B486">
        <v>485</v>
      </c>
      <c r="C486">
        <v>58</v>
      </c>
      <c r="D486" t="s">
        <v>2169</v>
      </c>
      <c r="E486">
        <f t="shared" si="21"/>
        <v>2024</v>
      </c>
      <c r="F486" t="str">
        <f t="shared" si="22"/>
        <v>Feb</v>
      </c>
      <c r="G486">
        <v>2</v>
      </c>
      <c r="H486">
        <f>_xlfn.XLOOKUP(C486,Products!A:A,Products!D:D)</f>
        <v>334.98</v>
      </c>
      <c r="I486">
        <v>0</v>
      </c>
      <c r="J486">
        <f t="shared" si="23"/>
        <v>669.96</v>
      </c>
      <c r="K486" t="s">
        <v>2019</v>
      </c>
      <c r="L486" t="str">
        <f>_xlfn.XLOOKUP(Orders[[#This Row],[ProductID]],Products!A:A,Products!C:C)</f>
        <v>Home</v>
      </c>
    </row>
    <row r="487" spans="1:12" x14ac:dyDescent="0.3">
      <c r="A487">
        <v>486</v>
      </c>
      <c r="B487">
        <v>486</v>
      </c>
      <c r="C487">
        <v>17</v>
      </c>
      <c r="D487" t="s">
        <v>1960</v>
      </c>
      <c r="E487">
        <f t="shared" si="21"/>
        <v>2023</v>
      </c>
      <c r="F487" t="str">
        <f t="shared" si="22"/>
        <v>Oct</v>
      </c>
      <c r="G487">
        <v>1</v>
      </c>
      <c r="H487">
        <f>_xlfn.XLOOKUP(C487,Products!A:A,Products!D:D)</f>
        <v>695.6</v>
      </c>
      <c r="I487">
        <v>5</v>
      </c>
      <c r="J487">
        <f t="shared" si="23"/>
        <v>660.81999999999994</v>
      </c>
      <c r="K487" t="s">
        <v>2019</v>
      </c>
      <c r="L487" t="str">
        <f>_xlfn.XLOOKUP(Orders[[#This Row],[ProductID]],Products!A:A,Products!C:C)</f>
        <v>Clothing</v>
      </c>
    </row>
    <row r="488" spans="1:12" x14ac:dyDescent="0.3">
      <c r="A488">
        <v>487</v>
      </c>
      <c r="B488">
        <v>487</v>
      </c>
      <c r="C488">
        <v>72</v>
      </c>
      <c r="D488" t="s">
        <v>1628</v>
      </c>
      <c r="E488">
        <f t="shared" si="21"/>
        <v>2023</v>
      </c>
      <c r="F488" t="str">
        <f t="shared" si="22"/>
        <v>May</v>
      </c>
      <c r="G488">
        <v>1</v>
      </c>
      <c r="H488">
        <f>_xlfn.XLOOKUP(C488,Products!A:A,Products!D:D)</f>
        <v>1157.27</v>
      </c>
      <c r="I488">
        <v>0</v>
      </c>
      <c r="J488">
        <f t="shared" si="23"/>
        <v>1157.27</v>
      </c>
      <c r="K488" t="s">
        <v>2019</v>
      </c>
      <c r="L488" t="str">
        <f>_xlfn.XLOOKUP(Orders[[#This Row],[ProductID]],Products!A:A,Products!C:C)</f>
        <v>Electronics</v>
      </c>
    </row>
    <row r="489" spans="1:12" x14ac:dyDescent="0.3">
      <c r="A489">
        <v>488</v>
      </c>
      <c r="B489">
        <v>488</v>
      </c>
      <c r="C489">
        <v>65</v>
      </c>
      <c r="D489" t="s">
        <v>910</v>
      </c>
      <c r="E489">
        <f t="shared" si="21"/>
        <v>2023</v>
      </c>
      <c r="F489" t="str">
        <f t="shared" si="22"/>
        <v>Jun</v>
      </c>
      <c r="G489">
        <v>2</v>
      </c>
      <c r="H489">
        <f>_xlfn.XLOOKUP(C489,Products!A:A,Products!D:D)</f>
        <v>1189.73</v>
      </c>
      <c r="I489">
        <v>20</v>
      </c>
      <c r="J489">
        <f t="shared" si="23"/>
        <v>1903.5680000000002</v>
      </c>
      <c r="K489" t="s">
        <v>2021</v>
      </c>
      <c r="L489" t="str">
        <f>_xlfn.XLOOKUP(Orders[[#This Row],[ProductID]],Products!A:A,Products!C:C)</f>
        <v>Home</v>
      </c>
    </row>
    <row r="490" spans="1:12" x14ac:dyDescent="0.3">
      <c r="A490">
        <v>489</v>
      </c>
      <c r="B490">
        <v>489</v>
      </c>
      <c r="C490">
        <v>55</v>
      </c>
      <c r="D490" t="s">
        <v>2170</v>
      </c>
      <c r="E490">
        <f t="shared" si="21"/>
        <v>2024</v>
      </c>
      <c r="F490" t="str">
        <f t="shared" si="22"/>
        <v>May</v>
      </c>
      <c r="G490">
        <v>3</v>
      </c>
      <c r="H490">
        <f>_xlfn.XLOOKUP(C490,Products!A:A,Products!D:D)</f>
        <v>1016.06</v>
      </c>
      <c r="I490">
        <v>0</v>
      </c>
      <c r="J490">
        <f t="shared" si="23"/>
        <v>3048.18</v>
      </c>
      <c r="K490" t="s">
        <v>2021</v>
      </c>
      <c r="L490" t="str">
        <f>_xlfn.XLOOKUP(Orders[[#This Row],[ProductID]],Products!A:A,Products!C:C)</f>
        <v>Clothing</v>
      </c>
    </row>
    <row r="491" spans="1:12" x14ac:dyDescent="0.3">
      <c r="A491">
        <v>490</v>
      </c>
      <c r="B491">
        <v>490</v>
      </c>
      <c r="C491">
        <v>39</v>
      </c>
      <c r="D491" t="s">
        <v>2171</v>
      </c>
      <c r="E491">
        <f t="shared" si="21"/>
        <v>2023</v>
      </c>
      <c r="F491" t="str">
        <f t="shared" si="22"/>
        <v>Jan</v>
      </c>
      <c r="G491">
        <v>3</v>
      </c>
      <c r="H491">
        <f>_xlfn.XLOOKUP(C491,Products!A:A,Products!D:D)</f>
        <v>256.08999999999997</v>
      </c>
      <c r="I491">
        <v>10</v>
      </c>
      <c r="J491">
        <f t="shared" si="23"/>
        <v>691.44299999999998</v>
      </c>
      <c r="K491" t="s">
        <v>2015</v>
      </c>
      <c r="L491" t="str">
        <f>_xlfn.XLOOKUP(Orders[[#This Row],[ProductID]],Products!A:A,Products!C:C)</f>
        <v>Clothing</v>
      </c>
    </row>
    <row r="492" spans="1:12" x14ac:dyDescent="0.3">
      <c r="A492">
        <v>491</v>
      </c>
      <c r="B492">
        <v>491</v>
      </c>
      <c r="C492">
        <v>57</v>
      </c>
      <c r="D492" t="s">
        <v>1131</v>
      </c>
      <c r="E492">
        <f t="shared" si="21"/>
        <v>2023</v>
      </c>
      <c r="F492" t="str">
        <f t="shared" si="22"/>
        <v>Mar</v>
      </c>
      <c r="G492">
        <v>3</v>
      </c>
      <c r="H492">
        <f>_xlfn.XLOOKUP(C492,Products!A:A,Products!D:D)</f>
        <v>768.03</v>
      </c>
      <c r="I492">
        <v>15</v>
      </c>
      <c r="J492">
        <f t="shared" si="23"/>
        <v>1958.4765</v>
      </c>
      <c r="K492" t="s">
        <v>2024</v>
      </c>
      <c r="L492" t="str">
        <f>_xlfn.XLOOKUP(Orders[[#This Row],[ProductID]],Products!A:A,Products!C:C)</f>
        <v>Electronics</v>
      </c>
    </row>
    <row r="493" spans="1:12" x14ac:dyDescent="0.3">
      <c r="A493">
        <v>492</v>
      </c>
      <c r="B493">
        <v>492</v>
      </c>
      <c r="C493">
        <v>67</v>
      </c>
      <c r="D493" t="s">
        <v>2125</v>
      </c>
      <c r="E493">
        <f t="shared" si="21"/>
        <v>2024</v>
      </c>
      <c r="F493" t="str">
        <f t="shared" si="22"/>
        <v>Apr</v>
      </c>
      <c r="G493">
        <v>2</v>
      </c>
      <c r="H493">
        <f>_xlfn.XLOOKUP(C493,Products!A:A,Products!D:D)</f>
        <v>258.35000000000002</v>
      </c>
      <c r="I493">
        <v>20</v>
      </c>
      <c r="J493">
        <f t="shared" si="23"/>
        <v>413.36000000000007</v>
      </c>
      <c r="K493" t="s">
        <v>2015</v>
      </c>
      <c r="L493" t="str">
        <f>_xlfn.XLOOKUP(Orders[[#This Row],[ProductID]],Products!A:A,Products!C:C)</f>
        <v>Electronics</v>
      </c>
    </row>
    <row r="494" spans="1:12" x14ac:dyDescent="0.3">
      <c r="A494">
        <v>493</v>
      </c>
      <c r="B494">
        <v>493</v>
      </c>
      <c r="C494">
        <v>66</v>
      </c>
      <c r="D494" t="s">
        <v>640</v>
      </c>
      <c r="E494">
        <f t="shared" si="21"/>
        <v>2023</v>
      </c>
      <c r="F494" t="str">
        <f t="shared" si="22"/>
        <v>Apr</v>
      </c>
      <c r="G494">
        <v>3</v>
      </c>
      <c r="H494">
        <f>_xlfn.XLOOKUP(C494,Products!A:A,Products!D:D)</f>
        <v>783.37</v>
      </c>
      <c r="I494">
        <v>0</v>
      </c>
      <c r="J494">
        <f t="shared" si="23"/>
        <v>2350.11</v>
      </c>
      <c r="K494" t="s">
        <v>2019</v>
      </c>
      <c r="L494" t="str">
        <f>_xlfn.XLOOKUP(Orders[[#This Row],[ProductID]],Products!A:A,Products!C:C)</f>
        <v>Home</v>
      </c>
    </row>
    <row r="495" spans="1:12" x14ac:dyDescent="0.3">
      <c r="A495">
        <v>494</v>
      </c>
      <c r="B495">
        <v>494</v>
      </c>
      <c r="C495">
        <v>31</v>
      </c>
      <c r="D495" t="s">
        <v>442</v>
      </c>
      <c r="E495">
        <f t="shared" si="21"/>
        <v>2023</v>
      </c>
      <c r="F495" t="str">
        <f t="shared" si="22"/>
        <v>Jan</v>
      </c>
      <c r="G495">
        <v>1</v>
      </c>
      <c r="H495">
        <f>_xlfn.XLOOKUP(C495,Products!A:A,Products!D:D)</f>
        <v>131.79</v>
      </c>
      <c r="I495">
        <v>5</v>
      </c>
      <c r="J495">
        <f t="shared" si="23"/>
        <v>125.20049999999999</v>
      </c>
      <c r="K495" t="s">
        <v>2024</v>
      </c>
      <c r="L495" t="str">
        <f>_xlfn.XLOOKUP(Orders[[#This Row],[ProductID]],Products!A:A,Products!C:C)</f>
        <v>Beauty</v>
      </c>
    </row>
    <row r="496" spans="1:12" x14ac:dyDescent="0.3">
      <c r="A496">
        <v>495</v>
      </c>
      <c r="B496">
        <v>495</v>
      </c>
      <c r="C496">
        <v>28</v>
      </c>
      <c r="D496" t="s">
        <v>2075</v>
      </c>
      <c r="E496">
        <f t="shared" si="21"/>
        <v>2024</v>
      </c>
      <c r="F496" t="str">
        <f t="shared" si="22"/>
        <v>May</v>
      </c>
      <c r="G496">
        <v>1</v>
      </c>
      <c r="H496">
        <f>_xlfn.XLOOKUP(C496,Products!A:A,Products!D:D)</f>
        <v>494.39</v>
      </c>
      <c r="I496">
        <v>20</v>
      </c>
      <c r="J496">
        <f t="shared" si="23"/>
        <v>395.512</v>
      </c>
      <c r="K496" t="s">
        <v>2015</v>
      </c>
      <c r="L496" t="str">
        <f>_xlfn.XLOOKUP(Orders[[#This Row],[ProductID]],Products!A:A,Products!C:C)</f>
        <v>Beauty</v>
      </c>
    </row>
    <row r="497" spans="1:12" x14ac:dyDescent="0.3">
      <c r="A497">
        <v>496</v>
      </c>
      <c r="B497">
        <v>496</v>
      </c>
      <c r="C497">
        <v>28</v>
      </c>
      <c r="D497" t="s">
        <v>386</v>
      </c>
      <c r="E497">
        <f t="shared" si="21"/>
        <v>2023</v>
      </c>
      <c r="F497" t="str">
        <f t="shared" si="22"/>
        <v>Oct</v>
      </c>
      <c r="G497">
        <v>2</v>
      </c>
      <c r="H497">
        <f>_xlfn.XLOOKUP(C497,Products!A:A,Products!D:D)</f>
        <v>494.39</v>
      </c>
      <c r="I497">
        <v>10</v>
      </c>
      <c r="J497">
        <f t="shared" si="23"/>
        <v>889.90200000000004</v>
      </c>
      <c r="K497" t="s">
        <v>2021</v>
      </c>
      <c r="L497" t="str">
        <f>_xlfn.XLOOKUP(Orders[[#This Row],[ProductID]],Products!A:A,Products!C:C)</f>
        <v>Beauty</v>
      </c>
    </row>
    <row r="498" spans="1:12" x14ac:dyDescent="0.3">
      <c r="A498">
        <v>497</v>
      </c>
      <c r="B498">
        <v>497</v>
      </c>
      <c r="C498">
        <v>80</v>
      </c>
      <c r="D498" t="s">
        <v>1110</v>
      </c>
      <c r="E498">
        <f t="shared" si="21"/>
        <v>2023</v>
      </c>
      <c r="F498" t="str">
        <f t="shared" si="22"/>
        <v>Aug</v>
      </c>
      <c r="G498">
        <v>1</v>
      </c>
      <c r="H498">
        <f>_xlfn.XLOOKUP(C498,Products!A:A,Products!D:D)</f>
        <v>1014.45</v>
      </c>
      <c r="I498">
        <v>20</v>
      </c>
      <c r="J498">
        <f t="shared" si="23"/>
        <v>811.56000000000006</v>
      </c>
      <c r="K498" t="s">
        <v>2024</v>
      </c>
      <c r="L498" t="str">
        <f>_xlfn.XLOOKUP(Orders[[#This Row],[ProductID]],Products!A:A,Products!C:C)</f>
        <v>Beauty</v>
      </c>
    </row>
    <row r="499" spans="1:12" x14ac:dyDescent="0.3">
      <c r="A499">
        <v>498</v>
      </c>
      <c r="B499">
        <v>498</v>
      </c>
      <c r="C499">
        <v>34</v>
      </c>
      <c r="D499" t="s">
        <v>1339</v>
      </c>
      <c r="E499">
        <f t="shared" si="21"/>
        <v>2023</v>
      </c>
      <c r="F499" t="str">
        <f t="shared" si="22"/>
        <v>Jul</v>
      </c>
      <c r="G499">
        <v>3</v>
      </c>
      <c r="H499">
        <f>_xlfn.XLOOKUP(C499,Products!A:A,Products!D:D)</f>
        <v>523.98</v>
      </c>
      <c r="I499">
        <v>5</v>
      </c>
      <c r="J499">
        <f t="shared" si="23"/>
        <v>1493.3430000000001</v>
      </c>
      <c r="K499" t="s">
        <v>2017</v>
      </c>
      <c r="L499" t="str">
        <f>_xlfn.XLOOKUP(Orders[[#This Row],[ProductID]],Products!A:A,Products!C:C)</f>
        <v>Home</v>
      </c>
    </row>
    <row r="500" spans="1:12" x14ac:dyDescent="0.3">
      <c r="A500">
        <v>499</v>
      </c>
      <c r="B500">
        <v>499</v>
      </c>
      <c r="C500">
        <v>59</v>
      </c>
      <c r="D500" t="s">
        <v>1658</v>
      </c>
      <c r="E500">
        <f t="shared" si="21"/>
        <v>2023</v>
      </c>
      <c r="F500" t="str">
        <f t="shared" si="22"/>
        <v>Feb</v>
      </c>
      <c r="G500">
        <v>2</v>
      </c>
      <c r="H500">
        <f>_xlfn.XLOOKUP(C500,Products!A:A,Products!D:D)</f>
        <v>782.33</v>
      </c>
      <c r="I500">
        <v>15</v>
      </c>
      <c r="J500">
        <f t="shared" si="23"/>
        <v>1329.961</v>
      </c>
      <c r="K500" t="s">
        <v>2021</v>
      </c>
      <c r="L500" t="str">
        <f>_xlfn.XLOOKUP(Orders[[#This Row],[ProductID]],Products!A:A,Products!C:C)</f>
        <v>Clothing</v>
      </c>
    </row>
    <row r="501" spans="1:12" x14ac:dyDescent="0.3">
      <c r="A501">
        <v>500</v>
      </c>
      <c r="B501">
        <v>500</v>
      </c>
      <c r="C501">
        <v>69</v>
      </c>
      <c r="D501" t="s">
        <v>1588</v>
      </c>
      <c r="E501">
        <f t="shared" si="21"/>
        <v>2023</v>
      </c>
      <c r="F501" t="str">
        <f t="shared" si="22"/>
        <v>Apr</v>
      </c>
      <c r="G501">
        <v>1</v>
      </c>
      <c r="H501">
        <f>_xlfn.XLOOKUP(C501,Products!A:A,Products!D:D)</f>
        <v>951.81</v>
      </c>
      <c r="I501">
        <v>10</v>
      </c>
      <c r="J501">
        <f t="shared" si="23"/>
        <v>856.62900000000002</v>
      </c>
      <c r="K501" t="s">
        <v>2021</v>
      </c>
      <c r="L501" t="str">
        <f>_xlfn.XLOOKUP(Orders[[#This Row],[ProductID]],Products!A:A,Products!C:C)</f>
        <v>Clothing</v>
      </c>
    </row>
    <row r="502" spans="1:12" x14ac:dyDescent="0.3">
      <c r="A502">
        <v>501</v>
      </c>
      <c r="B502">
        <v>501</v>
      </c>
      <c r="C502">
        <v>48</v>
      </c>
      <c r="D502" t="s">
        <v>710</v>
      </c>
      <c r="E502">
        <f t="shared" si="21"/>
        <v>2023</v>
      </c>
      <c r="F502" t="str">
        <f t="shared" si="22"/>
        <v>Oct</v>
      </c>
      <c r="G502">
        <v>3</v>
      </c>
      <c r="H502">
        <f>_xlfn.XLOOKUP(C502,Products!A:A,Products!D:D)</f>
        <v>1125.8499999999999</v>
      </c>
      <c r="I502">
        <v>20</v>
      </c>
      <c r="J502">
        <f t="shared" si="23"/>
        <v>2702.04</v>
      </c>
      <c r="K502" t="s">
        <v>2015</v>
      </c>
      <c r="L502" t="str">
        <f>_xlfn.XLOOKUP(Orders[[#This Row],[ProductID]],Products!A:A,Products!C:C)</f>
        <v>Clothing</v>
      </c>
    </row>
    <row r="503" spans="1:12" x14ac:dyDescent="0.3">
      <c r="A503">
        <v>502</v>
      </c>
      <c r="B503">
        <v>502</v>
      </c>
      <c r="C503">
        <v>21</v>
      </c>
      <c r="D503" t="s">
        <v>2120</v>
      </c>
      <c r="E503">
        <f t="shared" si="21"/>
        <v>2023</v>
      </c>
      <c r="F503" t="str">
        <f t="shared" si="22"/>
        <v>Aug</v>
      </c>
      <c r="G503">
        <v>1</v>
      </c>
      <c r="H503">
        <f>_xlfn.XLOOKUP(C503,Products!A:A,Products!D:D)</f>
        <v>420.66</v>
      </c>
      <c r="I503">
        <v>10</v>
      </c>
      <c r="J503">
        <f t="shared" si="23"/>
        <v>378.59400000000005</v>
      </c>
      <c r="K503" t="s">
        <v>2017</v>
      </c>
      <c r="L503" t="str">
        <f>_xlfn.XLOOKUP(Orders[[#This Row],[ProductID]],Products!A:A,Products!C:C)</f>
        <v>Beauty</v>
      </c>
    </row>
    <row r="504" spans="1:12" x14ac:dyDescent="0.3">
      <c r="A504">
        <v>503</v>
      </c>
      <c r="B504">
        <v>503</v>
      </c>
      <c r="C504">
        <v>49</v>
      </c>
      <c r="D504" t="s">
        <v>1750</v>
      </c>
      <c r="E504">
        <f t="shared" si="21"/>
        <v>2023</v>
      </c>
      <c r="F504" t="str">
        <f t="shared" si="22"/>
        <v>Jan</v>
      </c>
      <c r="G504">
        <v>3</v>
      </c>
      <c r="H504">
        <f>_xlfn.XLOOKUP(C504,Products!A:A,Products!D:D)</f>
        <v>974.54</v>
      </c>
      <c r="I504">
        <v>5</v>
      </c>
      <c r="J504">
        <f t="shared" si="23"/>
        <v>2777.4389999999999</v>
      </c>
      <c r="K504" t="s">
        <v>2019</v>
      </c>
      <c r="L504" t="str">
        <f>_xlfn.XLOOKUP(Orders[[#This Row],[ProductID]],Products!A:A,Products!C:C)</f>
        <v>Home</v>
      </c>
    </row>
    <row r="505" spans="1:12" x14ac:dyDescent="0.3">
      <c r="A505">
        <v>504</v>
      </c>
      <c r="B505">
        <v>504</v>
      </c>
      <c r="C505">
        <v>35</v>
      </c>
      <c r="D505" t="s">
        <v>974</v>
      </c>
      <c r="E505">
        <f t="shared" si="21"/>
        <v>2023</v>
      </c>
      <c r="F505" t="str">
        <f t="shared" si="22"/>
        <v>Mar</v>
      </c>
      <c r="G505">
        <v>3</v>
      </c>
      <c r="H505">
        <f>_xlfn.XLOOKUP(C505,Products!A:A,Products!D:D)</f>
        <v>958.87</v>
      </c>
      <c r="I505">
        <v>0</v>
      </c>
      <c r="J505">
        <f t="shared" si="23"/>
        <v>2876.61</v>
      </c>
      <c r="K505" t="s">
        <v>2015</v>
      </c>
      <c r="L505" t="str">
        <f>_xlfn.XLOOKUP(Orders[[#This Row],[ProductID]],Products!A:A,Products!C:C)</f>
        <v>Clothing</v>
      </c>
    </row>
    <row r="506" spans="1:12" x14ac:dyDescent="0.3">
      <c r="A506">
        <v>505</v>
      </c>
      <c r="B506">
        <v>505</v>
      </c>
      <c r="C506">
        <v>53</v>
      </c>
      <c r="D506" t="s">
        <v>1384</v>
      </c>
      <c r="E506">
        <f t="shared" si="21"/>
        <v>2023</v>
      </c>
      <c r="F506" t="str">
        <f t="shared" si="22"/>
        <v>Feb</v>
      </c>
      <c r="G506">
        <v>2</v>
      </c>
      <c r="H506">
        <f>_xlfn.XLOOKUP(C506,Products!A:A,Products!D:D)</f>
        <v>194.34</v>
      </c>
      <c r="I506">
        <v>0</v>
      </c>
      <c r="J506">
        <f t="shared" si="23"/>
        <v>388.68</v>
      </c>
      <c r="K506" t="s">
        <v>2024</v>
      </c>
      <c r="L506" t="str">
        <f>_xlfn.XLOOKUP(Orders[[#This Row],[ProductID]],Products!A:A,Products!C:C)</f>
        <v>Home</v>
      </c>
    </row>
    <row r="507" spans="1:12" x14ac:dyDescent="0.3">
      <c r="A507">
        <v>506</v>
      </c>
      <c r="B507">
        <v>506</v>
      </c>
      <c r="C507">
        <v>43</v>
      </c>
      <c r="D507" t="s">
        <v>2166</v>
      </c>
      <c r="E507">
        <f t="shared" si="21"/>
        <v>2024</v>
      </c>
      <c r="F507" t="str">
        <f t="shared" si="22"/>
        <v>Feb</v>
      </c>
      <c r="G507">
        <v>2</v>
      </c>
      <c r="H507">
        <f>_xlfn.XLOOKUP(C507,Products!A:A,Products!D:D)</f>
        <v>760.86</v>
      </c>
      <c r="I507">
        <v>5</v>
      </c>
      <c r="J507">
        <f t="shared" si="23"/>
        <v>1445.634</v>
      </c>
      <c r="K507" t="s">
        <v>2021</v>
      </c>
      <c r="L507" t="str">
        <f>_xlfn.XLOOKUP(Orders[[#This Row],[ProductID]],Products!A:A,Products!C:C)</f>
        <v>Electronics</v>
      </c>
    </row>
    <row r="508" spans="1:12" x14ac:dyDescent="0.3">
      <c r="A508">
        <v>507</v>
      </c>
      <c r="B508">
        <v>507</v>
      </c>
      <c r="C508">
        <v>36</v>
      </c>
      <c r="D508" t="s">
        <v>842</v>
      </c>
      <c r="E508">
        <f t="shared" si="21"/>
        <v>2023</v>
      </c>
      <c r="F508" t="str">
        <f t="shared" si="22"/>
        <v>Jan</v>
      </c>
      <c r="G508">
        <v>1</v>
      </c>
      <c r="H508">
        <f>_xlfn.XLOOKUP(C508,Products!A:A,Products!D:D)</f>
        <v>992.01</v>
      </c>
      <c r="I508">
        <v>15</v>
      </c>
      <c r="J508">
        <f t="shared" si="23"/>
        <v>843.20849999999996</v>
      </c>
      <c r="K508" t="s">
        <v>2021</v>
      </c>
      <c r="L508" t="str">
        <f>_xlfn.XLOOKUP(Orders[[#This Row],[ProductID]],Products!A:A,Products!C:C)</f>
        <v>Beauty</v>
      </c>
    </row>
    <row r="509" spans="1:12" x14ac:dyDescent="0.3">
      <c r="A509">
        <v>508</v>
      </c>
      <c r="B509">
        <v>508</v>
      </c>
      <c r="C509">
        <v>49</v>
      </c>
      <c r="D509" t="s">
        <v>2062</v>
      </c>
      <c r="E509">
        <f t="shared" si="21"/>
        <v>2024</v>
      </c>
      <c r="F509" t="str">
        <f t="shared" si="22"/>
        <v>May</v>
      </c>
      <c r="G509">
        <v>1</v>
      </c>
      <c r="H509">
        <f>_xlfn.XLOOKUP(C509,Products!A:A,Products!D:D)</f>
        <v>974.54</v>
      </c>
      <c r="I509">
        <v>0</v>
      </c>
      <c r="J509">
        <f t="shared" si="23"/>
        <v>974.54</v>
      </c>
      <c r="K509" t="s">
        <v>2021</v>
      </c>
      <c r="L509" t="str">
        <f>_xlfn.XLOOKUP(Orders[[#This Row],[ProductID]],Products!A:A,Products!C:C)</f>
        <v>Home</v>
      </c>
    </row>
    <row r="510" spans="1:12" x14ac:dyDescent="0.3">
      <c r="A510">
        <v>509</v>
      </c>
      <c r="B510">
        <v>509</v>
      </c>
      <c r="C510">
        <v>68</v>
      </c>
      <c r="D510" t="s">
        <v>2110</v>
      </c>
      <c r="E510">
        <f t="shared" si="21"/>
        <v>2024</v>
      </c>
      <c r="F510" t="str">
        <f t="shared" si="22"/>
        <v>Jan</v>
      </c>
      <c r="G510">
        <v>2</v>
      </c>
      <c r="H510">
        <f>_xlfn.XLOOKUP(C510,Products!A:A,Products!D:D)</f>
        <v>180.99</v>
      </c>
      <c r="I510">
        <v>20</v>
      </c>
      <c r="J510">
        <f t="shared" si="23"/>
        <v>289.584</v>
      </c>
      <c r="K510" t="s">
        <v>2017</v>
      </c>
      <c r="L510" t="str">
        <f>_xlfn.XLOOKUP(Orders[[#This Row],[ProductID]],Products!A:A,Products!C:C)</f>
        <v>Clothing</v>
      </c>
    </row>
    <row r="511" spans="1:12" x14ac:dyDescent="0.3">
      <c r="A511">
        <v>510</v>
      </c>
      <c r="B511">
        <v>510</v>
      </c>
      <c r="C511">
        <v>13</v>
      </c>
      <c r="D511" t="s">
        <v>2172</v>
      </c>
      <c r="E511">
        <f t="shared" si="21"/>
        <v>2023</v>
      </c>
      <c r="F511" t="str">
        <f t="shared" si="22"/>
        <v>Sep</v>
      </c>
      <c r="G511">
        <v>2</v>
      </c>
      <c r="H511">
        <f>_xlfn.XLOOKUP(C511,Products!A:A,Products!D:D)</f>
        <v>334.61</v>
      </c>
      <c r="I511">
        <v>20</v>
      </c>
      <c r="J511">
        <f t="shared" si="23"/>
        <v>535.37600000000009</v>
      </c>
      <c r="K511" t="s">
        <v>2024</v>
      </c>
      <c r="L511" t="str">
        <f>_xlfn.XLOOKUP(Orders[[#This Row],[ProductID]],Products!A:A,Products!C:C)</f>
        <v>Home</v>
      </c>
    </row>
    <row r="512" spans="1:12" x14ac:dyDescent="0.3">
      <c r="A512">
        <v>511</v>
      </c>
      <c r="B512">
        <v>511</v>
      </c>
      <c r="C512">
        <v>71</v>
      </c>
      <c r="D512" t="s">
        <v>349</v>
      </c>
      <c r="E512">
        <f t="shared" si="21"/>
        <v>2023</v>
      </c>
      <c r="F512" t="str">
        <f t="shared" si="22"/>
        <v>May</v>
      </c>
      <c r="G512">
        <v>3</v>
      </c>
      <c r="H512">
        <f>_xlfn.XLOOKUP(C512,Products!A:A,Products!D:D)</f>
        <v>780.27</v>
      </c>
      <c r="I512">
        <v>0</v>
      </c>
      <c r="J512">
        <f t="shared" si="23"/>
        <v>2340.81</v>
      </c>
      <c r="K512" t="s">
        <v>2019</v>
      </c>
      <c r="L512" t="str">
        <f>_xlfn.XLOOKUP(Orders[[#This Row],[ProductID]],Products!A:A,Products!C:C)</f>
        <v>Electronics</v>
      </c>
    </row>
    <row r="513" spans="1:12" x14ac:dyDescent="0.3">
      <c r="A513">
        <v>512</v>
      </c>
      <c r="B513">
        <v>512</v>
      </c>
      <c r="C513">
        <v>22</v>
      </c>
      <c r="D513" t="s">
        <v>229</v>
      </c>
      <c r="E513">
        <f t="shared" si="21"/>
        <v>2023</v>
      </c>
      <c r="F513" t="str">
        <f t="shared" si="22"/>
        <v>Jun</v>
      </c>
      <c r="G513">
        <v>2</v>
      </c>
      <c r="H513">
        <f>_xlfn.XLOOKUP(C513,Products!A:A,Products!D:D)</f>
        <v>373.43</v>
      </c>
      <c r="I513">
        <v>5</v>
      </c>
      <c r="J513">
        <f t="shared" si="23"/>
        <v>709.51699999999994</v>
      </c>
      <c r="K513" t="s">
        <v>2024</v>
      </c>
      <c r="L513" t="str">
        <f>_xlfn.XLOOKUP(Orders[[#This Row],[ProductID]],Products!A:A,Products!C:C)</f>
        <v>Beauty</v>
      </c>
    </row>
    <row r="514" spans="1:12" x14ac:dyDescent="0.3">
      <c r="A514">
        <v>513</v>
      </c>
      <c r="B514">
        <v>513</v>
      </c>
      <c r="C514">
        <v>69</v>
      </c>
      <c r="D514" t="s">
        <v>1032</v>
      </c>
      <c r="E514">
        <f t="shared" si="21"/>
        <v>2023</v>
      </c>
      <c r="F514" t="str">
        <f t="shared" si="22"/>
        <v>Oct</v>
      </c>
      <c r="G514">
        <v>3</v>
      </c>
      <c r="H514">
        <f>_xlfn.XLOOKUP(C514,Products!A:A,Products!D:D)</f>
        <v>951.81</v>
      </c>
      <c r="I514">
        <v>15</v>
      </c>
      <c r="J514">
        <f t="shared" si="23"/>
        <v>2427.1154999999999</v>
      </c>
      <c r="K514" t="s">
        <v>2017</v>
      </c>
      <c r="L514" t="str">
        <f>_xlfn.XLOOKUP(Orders[[#This Row],[ProductID]],Products!A:A,Products!C:C)</f>
        <v>Clothing</v>
      </c>
    </row>
    <row r="515" spans="1:12" x14ac:dyDescent="0.3">
      <c r="A515">
        <v>514</v>
      </c>
      <c r="B515">
        <v>514</v>
      </c>
      <c r="C515">
        <v>76</v>
      </c>
      <c r="D515" t="s">
        <v>262</v>
      </c>
      <c r="E515">
        <f t="shared" ref="E515:E578" si="24">YEAR(D515)</f>
        <v>2023</v>
      </c>
      <c r="F515" t="str">
        <f t="shared" ref="F515:F578" si="25">TEXT(D515,"mmm")</f>
        <v>Mar</v>
      </c>
      <c r="G515">
        <v>2</v>
      </c>
      <c r="H515">
        <f>_xlfn.XLOOKUP(C515,Products!A:A,Products!D:D)</f>
        <v>1043.26</v>
      </c>
      <c r="I515">
        <v>0</v>
      </c>
      <c r="J515">
        <f t="shared" ref="J515:J578" si="26">G515*H515*(1-I515/100)</f>
        <v>2086.52</v>
      </c>
      <c r="K515" t="s">
        <v>2015</v>
      </c>
      <c r="L515" t="str">
        <f>_xlfn.XLOOKUP(Orders[[#This Row],[ProductID]],Products!A:A,Products!C:C)</f>
        <v>Clothing</v>
      </c>
    </row>
    <row r="516" spans="1:12" x14ac:dyDescent="0.3">
      <c r="A516">
        <v>515</v>
      </c>
      <c r="B516">
        <v>515</v>
      </c>
      <c r="C516">
        <v>20</v>
      </c>
      <c r="D516" t="s">
        <v>2136</v>
      </c>
      <c r="E516">
        <f t="shared" si="24"/>
        <v>2023</v>
      </c>
      <c r="F516" t="str">
        <f t="shared" si="25"/>
        <v>Dec</v>
      </c>
      <c r="G516">
        <v>1</v>
      </c>
      <c r="H516">
        <f>_xlfn.XLOOKUP(C516,Products!A:A,Products!D:D)</f>
        <v>613.27</v>
      </c>
      <c r="I516">
        <v>5</v>
      </c>
      <c r="J516">
        <f t="shared" si="26"/>
        <v>582.60649999999998</v>
      </c>
      <c r="K516" t="s">
        <v>2017</v>
      </c>
      <c r="L516" t="str">
        <f>_xlfn.XLOOKUP(Orders[[#This Row],[ProductID]],Products!A:A,Products!C:C)</f>
        <v>Home</v>
      </c>
    </row>
    <row r="517" spans="1:12" x14ac:dyDescent="0.3">
      <c r="A517">
        <v>516</v>
      </c>
      <c r="B517">
        <v>516</v>
      </c>
      <c r="C517">
        <v>73</v>
      </c>
      <c r="D517" t="s">
        <v>2147</v>
      </c>
      <c r="E517">
        <f t="shared" si="24"/>
        <v>2024</v>
      </c>
      <c r="F517" t="str">
        <f t="shared" si="25"/>
        <v>Jan</v>
      </c>
      <c r="G517">
        <v>2</v>
      </c>
      <c r="H517">
        <f>_xlfn.XLOOKUP(C517,Products!A:A,Products!D:D)</f>
        <v>943.04</v>
      </c>
      <c r="I517">
        <v>0</v>
      </c>
      <c r="J517">
        <f t="shared" si="26"/>
        <v>1886.08</v>
      </c>
      <c r="K517" t="s">
        <v>2024</v>
      </c>
      <c r="L517" t="str">
        <f>_xlfn.XLOOKUP(Orders[[#This Row],[ProductID]],Products!A:A,Products!C:C)</f>
        <v>Home</v>
      </c>
    </row>
    <row r="518" spans="1:12" x14ac:dyDescent="0.3">
      <c r="A518">
        <v>517</v>
      </c>
      <c r="B518">
        <v>517</v>
      </c>
      <c r="C518">
        <v>32</v>
      </c>
      <c r="D518" t="s">
        <v>2137</v>
      </c>
      <c r="E518">
        <f t="shared" si="24"/>
        <v>2023</v>
      </c>
      <c r="F518" t="str">
        <f t="shared" si="25"/>
        <v>Dec</v>
      </c>
      <c r="G518">
        <v>3</v>
      </c>
      <c r="H518">
        <f>_xlfn.XLOOKUP(C518,Products!A:A,Products!D:D)</f>
        <v>342.57</v>
      </c>
      <c r="I518">
        <v>15</v>
      </c>
      <c r="J518">
        <f t="shared" si="26"/>
        <v>873.55349999999999</v>
      </c>
      <c r="K518" t="s">
        <v>2017</v>
      </c>
      <c r="L518" t="str">
        <f>_xlfn.XLOOKUP(Orders[[#This Row],[ProductID]],Products!A:A,Products!C:C)</f>
        <v>Clothing</v>
      </c>
    </row>
    <row r="519" spans="1:12" x14ac:dyDescent="0.3">
      <c r="A519">
        <v>518</v>
      </c>
      <c r="B519">
        <v>518</v>
      </c>
      <c r="C519">
        <v>24</v>
      </c>
      <c r="D519" t="s">
        <v>871</v>
      </c>
      <c r="E519">
        <f t="shared" si="24"/>
        <v>2023</v>
      </c>
      <c r="F519" t="str">
        <f t="shared" si="25"/>
        <v>Aug</v>
      </c>
      <c r="G519">
        <v>2</v>
      </c>
      <c r="H519">
        <f>_xlfn.XLOOKUP(C519,Products!A:A,Products!D:D)</f>
        <v>1019.85</v>
      </c>
      <c r="I519">
        <v>15</v>
      </c>
      <c r="J519">
        <f t="shared" si="26"/>
        <v>1733.7449999999999</v>
      </c>
      <c r="K519" t="s">
        <v>2015</v>
      </c>
      <c r="L519" t="str">
        <f>_xlfn.XLOOKUP(Orders[[#This Row],[ProductID]],Products!A:A,Products!C:C)</f>
        <v>Beauty</v>
      </c>
    </row>
    <row r="520" spans="1:12" x14ac:dyDescent="0.3">
      <c r="A520">
        <v>519</v>
      </c>
      <c r="B520">
        <v>519</v>
      </c>
      <c r="C520">
        <v>37</v>
      </c>
      <c r="D520" t="s">
        <v>1742</v>
      </c>
      <c r="E520">
        <f t="shared" si="24"/>
        <v>2023</v>
      </c>
      <c r="F520" t="str">
        <f t="shared" si="25"/>
        <v>May</v>
      </c>
      <c r="G520">
        <v>2</v>
      </c>
      <c r="H520">
        <f>_xlfn.XLOOKUP(C520,Products!A:A,Products!D:D)</f>
        <v>968.87</v>
      </c>
      <c r="I520">
        <v>20</v>
      </c>
      <c r="J520">
        <f t="shared" si="26"/>
        <v>1550.192</v>
      </c>
      <c r="K520" t="s">
        <v>2021</v>
      </c>
      <c r="L520" t="str">
        <f>_xlfn.XLOOKUP(Orders[[#This Row],[ProductID]],Products!A:A,Products!C:C)</f>
        <v>Home</v>
      </c>
    </row>
    <row r="521" spans="1:12" x14ac:dyDescent="0.3">
      <c r="A521">
        <v>520</v>
      </c>
      <c r="B521">
        <v>520</v>
      </c>
      <c r="C521">
        <v>40</v>
      </c>
      <c r="D521" t="s">
        <v>432</v>
      </c>
      <c r="E521">
        <f t="shared" si="24"/>
        <v>2023</v>
      </c>
      <c r="F521" t="str">
        <f t="shared" si="25"/>
        <v>Nov</v>
      </c>
      <c r="G521">
        <v>1</v>
      </c>
      <c r="H521">
        <f>_xlfn.XLOOKUP(C521,Products!A:A,Products!D:D)</f>
        <v>316.49</v>
      </c>
      <c r="I521">
        <v>10</v>
      </c>
      <c r="J521">
        <f t="shared" si="26"/>
        <v>284.84100000000001</v>
      </c>
      <c r="K521" t="s">
        <v>2017</v>
      </c>
      <c r="L521" t="str">
        <f>_xlfn.XLOOKUP(Orders[[#This Row],[ProductID]],Products!A:A,Products!C:C)</f>
        <v>Home</v>
      </c>
    </row>
    <row r="522" spans="1:12" x14ac:dyDescent="0.3">
      <c r="A522">
        <v>521</v>
      </c>
      <c r="B522">
        <v>521</v>
      </c>
      <c r="C522">
        <v>41</v>
      </c>
      <c r="D522" t="s">
        <v>2070</v>
      </c>
      <c r="E522">
        <f t="shared" si="24"/>
        <v>2024</v>
      </c>
      <c r="F522" t="str">
        <f t="shared" si="25"/>
        <v>Mar</v>
      </c>
      <c r="G522">
        <v>1</v>
      </c>
      <c r="H522">
        <f>_xlfn.XLOOKUP(C522,Products!A:A,Products!D:D)</f>
        <v>554.80999999999995</v>
      </c>
      <c r="I522">
        <v>0</v>
      </c>
      <c r="J522">
        <f t="shared" si="26"/>
        <v>554.80999999999995</v>
      </c>
      <c r="K522" t="s">
        <v>2019</v>
      </c>
      <c r="L522" t="str">
        <f>_xlfn.XLOOKUP(Orders[[#This Row],[ProductID]],Products!A:A,Products!C:C)</f>
        <v>Home</v>
      </c>
    </row>
    <row r="523" spans="1:12" x14ac:dyDescent="0.3">
      <c r="A523">
        <v>522</v>
      </c>
      <c r="B523">
        <v>522</v>
      </c>
      <c r="C523">
        <v>31</v>
      </c>
      <c r="D523" t="s">
        <v>2173</v>
      </c>
      <c r="E523">
        <f t="shared" si="24"/>
        <v>2024</v>
      </c>
      <c r="F523" t="str">
        <f t="shared" si="25"/>
        <v>Apr</v>
      </c>
      <c r="G523">
        <v>1</v>
      </c>
      <c r="H523">
        <f>_xlfn.XLOOKUP(C523,Products!A:A,Products!D:D)</f>
        <v>131.79</v>
      </c>
      <c r="I523">
        <v>5</v>
      </c>
      <c r="J523">
        <f t="shared" si="26"/>
        <v>125.20049999999999</v>
      </c>
      <c r="K523" t="s">
        <v>2015</v>
      </c>
      <c r="L523" t="str">
        <f>_xlfn.XLOOKUP(Orders[[#This Row],[ProductID]],Products!A:A,Products!C:C)</f>
        <v>Beauty</v>
      </c>
    </row>
    <row r="524" spans="1:12" x14ac:dyDescent="0.3">
      <c r="A524">
        <v>523</v>
      </c>
      <c r="B524">
        <v>523</v>
      </c>
      <c r="C524">
        <v>8</v>
      </c>
      <c r="D524" t="s">
        <v>60</v>
      </c>
      <c r="E524">
        <f t="shared" si="24"/>
        <v>2023</v>
      </c>
      <c r="F524" t="str">
        <f t="shared" si="25"/>
        <v>Feb</v>
      </c>
      <c r="G524">
        <v>3</v>
      </c>
      <c r="H524">
        <f>_xlfn.XLOOKUP(C524,Products!A:A,Products!D:D)</f>
        <v>155.08000000000001</v>
      </c>
      <c r="I524">
        <v>10</v>
      </c>
      <c r="J524">
        <f t="shared" si="26"/>
        <v>418.71600000000001</v>
      </c>
      <c r="K524" t="s">
        <v>2015</v>
      </c>
      <c r="L524" t="str">
        <f>_xlfn.XLOOKUP(Orders[[#This Row],[ProductID]],Products!A:A,Products!C:C)</f>
        <v>Clothing</v>
      </c>
    </row>
    <row r="525" spans="1:12" x14ac:dyDescent="0.3">
      <c r="A525">
        <v>524</v>
      </c>
      <c r="B525">
        <v>524</v>
      </c>
      <c r="C525">
        <v>64</v>
      </c>
      <c r="D525" t="s">
        <v>2078</v>
      </c>
      <c r="E525">
        <f t="shared" si="24"/>
        <v>2024</v>
      </c>
      <c r="F525" t="str">
        <f t="shared" si="25"/>
        <v>Feb</v>
      </c>
      <c r="G525">
        <v>1</v>
      </c>
      <c r="H525">
        <f>_xlfn.XLOOKUP(C525,Products!A:A,Products!D:D)</f>
        <v>567.71</v>
      </c>
      <c r="I525">
        <v>15</v>
      </c>
      <c r="J525">
        <f t="shared" si="26"/>
        <v>482.55350000000004</v>
      </c>
      <c r="K525" t="s">
        <v>2015</v>
      </c>
      <c r="L525" t="str">
        <f>_xlfn.XLOOKUP(Orders[[#This Row],[ProductID]],Products!A:A,Products!C:C)</f>
        <v>Clothing</v>
      </c>
    </row>
    <row r="526" spans="1:12" x14ac:dyDescent="0.3">
      <c r="A526">
        <v>525</v>
      </c>
      <c r="B526">
        <v>525</v>
      </c>
      <c r="C526">
        <v>18</v>
      </c>
      <c r="D526" t="s">
        <v>1009</v>
      </c>
      <c r="E526">
        <f t="shared" si="24"/>
        <v>2023</v>
      </c>
      <c r="F526" t="str">
        <f t="shared" si="25"/>
        <v>Sep</v>
      </c>
      <c r="G526">
        <v>2</v>
      </c>
      <c r="H526">
        <f>_xlfn.XLOOKUP(C526,Products!A:A,Products!D:D)</f>
        <v>138.07</v>
      </c>
      <c r="I526">
        <v>20</v>
      </c>
      <c r="J526">
        <f t="shared" si="26"/>
        <v>220.91200000000001</v>
      </c>
      <c r="K526" t="s">
        <v>2015</v>
      </c>
      <c r="L526" t="str">
        <f>_xlfn.XLOOKUP(Orders[[#This Row],[ProductID]],Products!A:A,Products!C:C)</f>
        <v>Home</v>
      </c>
    </row>
    <row r="527" spans="1:12" x14ac:dyDescent="0.3">
      <c r="A527">
        <v>526</v>
      </c>
      <c r="B527">
        <v>526</v>
      </c>
      <c r="C527">
        <v>16</v>
      </c>
      <c r="D527" t="s">
        <v>1476</v>
      </c>
      <c r="E527">
        <f t="shared" si="24"/>
        <v>2023</v>
      </c>
      <c r="F527" t="str">
        <f t="shared" si="25"/>
        <v>Jul</v>
      </c>
      <c r="G527">
        <v>1</v>
      </c>
      <c r="H527">
        <f>_xlfn.XLOOKUP(C527,Products!A:A,Products!D:D)</f>
        <v>693.02</v>
      </c>
      <c r="I527">
        <v>20</v>
      </c>
      <c r="J527">
        <f t="shared" si="26"/>
        <v>554.41600000000005</v>
      </c>
      <c r="K527" t="s">
        <v>2021</v>
      </c>
      <c r="L527" t="str">
        <f>_xlfn.XLOOKUP(Orders[[#This Row],[ProductID]],Products!A:A,Products!C:C)</f>
        <v>Home</v>
      </c>
    </row>
    <row r="528" spans="1:12" x14ac:dyDescent="0.3">
      <c r="A528">
        <v>527</v>
      </c>
      <c r="B528">
        <v>527</v>
      </c>
      <c r="C528">
        <v>1</v>
      </c>
      <c r="D528" t="s">
        <v>2046</v>
      </c>
      <c r="E528">
        <f t="shared" si="24"/>
        <v>2024</v>
      </c>
      <c r="F528" t="str">
        <f t="shared" si="25"/>
        <v>Jan</v>
      </c>
      <c r="G528">
        <v>2</v>
      </c>
      <c r="H528">
        <f>_xlfn.XLOOKUP(C528,Products!A:A,Products!D:D)</f>
        <v>469.08</v>
      </c>
      <c r="I528">
        <v>20</v>
      </c>
      <c r="J528">
        <f t="shared" si="26"/>
        <v>750.52800000000002</v>
      </c>
      <c r="K528" t="s">
        <v>2024</v>
      </c>
      <c r="L528" t="str">
        <f>_xlfn.XLOOKUP(Orders[[#This Row],[ProductID]],Products!A:A,Products!C:C)</f>
        <v>Clothing</v>
      </c>
    </row>
    <row r="529" spans="1:12" x14ac:dyDescent="0.3">
      <c r="A529">
        <v>528</v>
      </c>
      <c r="B529">
        <v>528</v>
      </c>
      <c r="C529">
        <v>32</v>
      </c>
      <c r="D529" t="s">
        <v>2084</v>
      </c>
      <c r="E529">
        <f t="shared" si="24"/>
        <v>2024</v>
      </c>
      <c r="F529" t="str">
        <f t="shared" si="25"/>
        <v>Jan</v>
      </c>
      <c r="G529">
        <v>3</v>
      </c>
      <c r="H529">
        <f>_xlfn.XLOOKUP(C529,Products!A:A,Products!D:D)</f>
        <v>342.57</v>
      </c>
      <c r="I529">
        <v>20</v>
      </c>
      <c r="J529">
        <f t="shared" si="26"/>
        <v>822.16800000000012</v>
      </c>
      <c r="K529" t="s">
        <v>2015</v>
      </c>
      <c r="L529" t="str">
        <f>_xlfn.XLOOKUP(Orders[[#This Row],[ProductID]],Products!A:A,Products!C:C)</f>
        <v>Clothing</v>
      </c>
    </row>
    <row r="530" spans="1:12" x14ac:dyDescent="0.3">
      <c r="A530">
        <v>529</v>
      </c>
      <c r="B530">
        <v>529</v>
      </c>
      <c r="C530">
        <v>6</v>
      </c>
      <c r="D530" t="s">
        <v>912</v>
      </c>
      <c r="E530">
        <f t="shared" si="24"/>
        <v>2023</v>
      </c>
      <c r="F530" t="str">
        <f t="shared" si="25"/>
        <v>Nov</v>
      </c>
      <c r="G530">
        <v>2</v>
      </c>
      <c r="H530">
        <f>_xlfn.XLOOKUP(C530,Products!A:A,Products!D:D)</f>
        <v>719.19</v>
      </c>
      <c r="I530">
        <v>5</v>
      </c>
      <c r="J530">
        <f t="shared" si="26"/>
        <v>1366.461</v>
      </c>
      <c r="K530" t="s">
        <v>2015</v>
      </c>
      <c r="L530" t="str">
        <f>_xlfn.XLOOKUP(Orders[[#This Row],[ProductID]],Products!A:A,Products!C:C)</f>
        <v>Clothing</v>
      </c>
    </row>
    <row r="531" spans="1:12" x14ac:dyDescent="0.3">
      <c r="A531">
        <v>530</v>
      </c>
      <c r="B531">
        <v>530</v>
      </c>
      <c r="C531">
        <v>29</v>
      </c>
      <c r="D531" t="s">
        <v>497</v>
      </c>
      <c r="E531">
        <f t="shared" si="24"/>
        <v>2023</v>
      </c>
      <c r="F531" t="str">
        <f t="shared" si="25"/>
        <v>Mar</v>
      </c>
      <c r="G531">
        <v>1</v>
      </c>
      <c r="H531">
        <f>_xlfn.XLOOKUP(C531,Products!A:A,Products!D:D)</f>
        <v>757</v>
      </c>
      <c r="I531">
        <v>10</v>
      </c>
      <c r="J531">
        <f t="shared" si="26"/>
        <v>681.30000000000007</v>
      </c>
      <c r="K531" t="s">
        <v>2021</v>
      </c>
      <c r="L531" t="str">
        <f>_xlfn.XLOOKUP(Orders[[#This Row],[ProductID]],Products!A:A,Products!C:C)</f>
        <v>Clothing</v>
      </c>
    </row>
    <row r="532" spans="1:12" x14ac:dyDescent="0.3">
      <c r="A532">
        <v>531</v>
      </c>
      <c r="B532">
        <v>531</v>
      </c>
      <c r="C532">
        <v>66</v>
      </c>
      <c r="D532" t="s">
        <v>575</v>
      </c>
      <c r="E532">
        <f t="shared" si="24"/>
        <v>2023</v>
      </c>
      <c r="F532" t="str">
        <f t="shared" si="25"/>
        <v>Jun</v>
      </c>
      <c r="G532">
        <v>1</v>
      </c>
      <c r="H532">
        <f>_xlfn.XLOOKUP(C532,Products!A:A,Products!D:D)</f>
        <v>783.37</v>
      </c>
      <c r="I532">
        <v>15</v>
      </c>
      <c r="J532">
        <f t="shared" si="26"/>
        <v>665.86450000000002</v>
      </c>
      <c r="K532" t="s">
        <v>2017</v>
      </c>
      <c r="L532" t="str">
        <f>_xlfn.XLOOKUP(Orders[[#This Row],[ProductID]],Products!A:A,Products!C:C)</f>
        <v>Home</v>
      </c>
    </row>
    <row r="533" spans="1:12" x14ac:dyDescent="0.3">
      <c r="A533">
        <v>532</v>
      </c>
      <c r="B533">
        <v>532</v>
      </c>
      <c r="C533">
        <v>49</v>
      </c>
      <c r="D533" t="s">
        <v>2123</v>
      </c>
      <c r="E533">
        <f t="shared" si="24"/>
        <v>2023</v>
      </c>
      <c r="F533" t="str">
        <f t="shared" si="25"/>
        <v>Mar</v>
      </c>
      <c r="G533">
        <v>2</v>
      </c>
      <c r="H533">
        <f>_xlfn.XLOOKUP(C533,Products!A:A,Products!D:D)</f>
        <v>974.54</v>
      </c>
      <c r="I533">
        <v>0</v>
      </c>
      <c r="J533">
        <f t="shared" si="26"/>
        <v>1949.08</v>
      </c>
      <c r="K533" t="s">
        <v>2024</v>
      </c>
      <c r="L533" t="str">
        <f>_xlfn.XLOOKUP(Orders[[#This Row],[ProductID]],Products!A:A,Products!C:C)</f>
        <v>Home</v>
      </c>
    </row>
    <row r="534" spans="1:12" x14ac:dyDescent="0.3">
      <c r="A534">
        <v>533</v>
      </c>
      <c r="B534">
        <v>533</v>
      </c>
      <c r="C534">
        <v>32</v>
      </c>
      <c r="D534" t="s">
        <v>2145</v>
      </c>
      <c r="E534">
        <f t="shared" si="24"/>
        <v>2024</v>
      </c>
      <c r="F534" t="str">
        <f t="shared" si="25"/>
        <v>Mar</v>
      </c>
      <c r="G534">
        <v>3</v>
      </c>
      <c r="H534">
        <f>_xlfn.XLOOKUP(C534,Products!A:A,Products!D:D)</f>
        <v>342.57</v>
      </c>
      <c r="I534">
        <v>0</v>
      </c>
      <c r="J534">
        <f t="shared" si="26"/>
        <v>1027.71</v>
      </c>
      <c r="K534" t="s">
        <v>2024</v>
      </c>
      <c r="L534" t="str">
        <f>_xlfn.XLOOKUP(Orders[[#This Row],[ProductID]],Products!A:A,Products!C:C)</f>
        <v>Clothing</v>
      </c>
    </row>
    <row r="535" spans="1:12" x14ac:dyDescent="0.3">
      <c r="A535">
        <v>534</v>
      </c>
      <c r="B535">
        <v>534</v>
      </c>
      <c r="C535">
        <v>39</v>
      </c>
      <c r="D535" t="s">
        <v>2174</v>
      </c>
      <c r="E535">
        <f t="shared" si="24"/>
        <v>2023</v>
      </c>
      <c r="F535" t="str">
        <f t="shared" si="25"/>
        <v>Sep</v>
      </c>
      <c r="G535">
        <v>2</v>
      </c>
      <c r="H535">
        <f>_xlfn.XLOOKUP(C535,Products!A:A,Products!D:D)</f>
        <v>256.08999999999997</v>
      </c>
      <c r="I535">
        <v>10</v>
      </c>
      <c r="J535">
        <f t="shared" si="26"/>
        <v>460.96199999999999</v>
      </c>
      <c r="K535" t="s">
        <v>2021</v>
      </c>
      <c r="L535" t="str">
        <f>_xlfn.XLOOKUP(Orders[[#This Row],[ProductID]],Products!A:A,Products!C:C)</f>
        <v>Clothing</v>
      </c>
    </row>
    <row r="536" spans="1:12" x14ac:dyDescent="0.3">
      <c r="A536">
        <v>535</v>
      </c>
      <c r="B536">
        <v>535</v>
      </c>
      <c r="C536">
        <v>1</v>
      </c>
      <c r="D536" t="s">
        <v>2045</v>
      </c>
      <c r="E536">
        <f t="shared" si="24"/>
        <v>2024</v>
      </c>
      <c r="F536" t="str">
        <f t="shared" si="25"/>
        <v>Jan</v>
      </c>
      <c r="G536">
        <v>3</v>
      </c>
      <c r="H536">
        <f>_xlfn.XLOOKUP(C536,Products!A:A,Products!D:D)</f>
        <v>469.08</v>
      </c>
      <c r="I536">
        <v>20</v>
      </c>
      <c r="J536">
        <f t="shared" si="26"/>
        <v>1125.7920000000001</v>
      </c>
      <c r="K536" t="s">
        <v>2017</v>
      </c>
      <c r="L536" t="str">
        <f>_xlfn.XLOOKUP(Orders[[#This Row],[ProductID]],Products!A:A,Products!C:C)</f>
        <v>Clothing</v>
      </c>
    </row>
    <row r="537" spans="1:12" x14ac:dyDescent="0.3">
      <c r="A537">
        <v>536</v>
      </c>
      <c r="B537">
        <v>536</v>
      </c>
      <c r="C537">
        <v>28</v>
      </c>
      <c r="D537" t="s">
        <v>2122</v>
      </c>
      <c r="E537">
        <f t="shared" si="24"/>
        <v>2024</v>
      </c>
      <c r="F537" t="str">
        <f t="shared" si="25"/>
        <v>Apr</v>
      </c>
      <c r="G537">
        <v>2</v>
      </c>
      <c r="H537">
        <f>_xlfn.XLOOKUP(C537,Products!A:A,Products!D:D)</f>
        <v>494.39</v>
      </c>
      <c r="I537">
        <v>20</v>
      </c>
      <c r="J537">
        <f t="shared" si="26"/>
        <v>791.024</v>
      </c>
      <c r="K537" t="s">
        <v>2019</v>
      </c>
      <c r="L537" t="str">
        <f>_xlfn.XLOOKUP(Orders[[#This Row],[ProductID]],Products!A:A,Products!C:C)</f>
        <v>Beauty</v>
      </c>
    </row>
    <row r="538" spans="1:12" x14ac:dyDescent="0.3">
      <c r="A538">
        <v>537</v>
      </c>
      <c r="B538">
        <v>537</v>
      </c>
      <c r="C538">
        <v>60</v>
      </c>
      <c r="D538" t="s">
        <v>2086</v>
      </c>
      <c r="E538">
        <f t="shared" si="24"/>
        <v>2024</v>
      </c>
      <c r="F538" t="str">
        <f t="shared" si="25"/>
        <v>Apr</v>
      </c>
      <c r="G538">
        <v>3</v>
      </c>
      <c r="H538">
        <f>_xlfn.XLOOKUP(C538,Products!A:A,Products!D:D)</f>
        <v>830.49</v>
      </c>
      <c r="I538">
        <v>15</v>
      </c>
      <c r="J538">
        <f t="shared" si="26"/>
        <v>2117.7495000000004</v>
      </c>
      <c r="K538" t="s">
        <v>2019</v>
      </c>
      <c r="L538" t="str">
        <f>_xlfn.XLOOKUP(Orders[[#This Row],[ProductID]],Products!A:A,Products!C:C)</f>
        <v>Clothing</v>
      </c>
    </row>
    <row r="539" spans="1:12" x14ac:dyDescent="0.3">
      <c r="A539">
        <v>538</v>
      </c>
      <c r="B539">
        <v>538</v>
      </c>
      <c r="C539">
        <v>46</v>
      </c>
      <c r="D539" t="s">
        <v>1085</v>
      </c>
      <c r="E539">
        <f t="shared" si="24"/>
        <v>2023</v>
      </c>
      <c r="F539" t="str">
        <f t="shared" si="25"/>
        <v>Jan</v>
      </c>
      <c r="G539">
        <v>3</v>
      </c>
      <c r="H539">
        <f>_xlfn.XLOOKUP(C539,Products!A:A,Products!D:D)</f>
        <v>1155.3</v>
      </c>
      <c r="I539">
        <v>15</v>
      </c>
      <c r="J539">
        <f t="shared" si="26"/>
        <v>2946.0149999999994</v>
      </c>
      <c r="K539" t="s">
        <v>2024</v>
      </c>
      <c r="L539" t="str">
        <f>_xlfn.XLOOKUP(Orders[[#This Row],[ProductID]],Products!A:A,Products!C:C)</f>
        <v>Beauty</v>
      </c>
    </row>
    <row r="540" spans="1:12" x14ac:dyDescent="0.3">
      <c r="A540">
        <v>539</v>
      </c>
      <c r="B540">
        <v>539</v>
      </c>
      <c r="C540">
        <v>39</v>
      </c>
      <c r="D540" t="s">
        <v>1144</v>
      </c>
      <c r="E540">
        <f t="shared" si="24"/>
        <v>2023</v>
      </c>
      <c r="F540" t="str">
        <f t="shared" si="25"/>
        <v>Jul</v>
      </c>
      <c r="G540">
        <v>1</v>
      </c>
      <c r="H540">
        <f>_xlfn.XLOOKUP(C540,Products!A:A,Products!D:D)</f>
        <v>256.08999999999997</v>
      </c>
      <c r="I540">
        <v>0</v>
      </c>
      <c r="J540">
        <f t="shared" si="26"/>
        <v>256.08999999999997</v>
      </c>
      <c r="K540" t="s">
        <v>2024</v>
      </c>
      <c r="L540" t="str">
        <f>_xlfn.XLOOKUP(Orders[[#This Row],[ProductID]],Products!A:A,Products!C:C)</f>
        <v>Clothing</v>
      </c>
    </row>
    <row r="541" spans="1:12" x14ac:dyDescent="0.3">
      <c r="A541">
        <v>540</v>
      </c>
      <c r="B541">
        <v>540</v>
      </c>
      <c r="C541">
        <v>24</v>
      </c>
      <c r="D541" t="s">
        <v>241</v>
      </c>
      <c r="E541">
        <f t="shared" si="24"/>
        <v>2023</v>
      </c>
      <c r="F541" t="str">
        <f t="shared" si="25"/>
        <v>Jul</v>
      </c>
      <c r="G541">
        <v>2</v>
      </c>
      <c r="H541">
        <f>_xlfn.XLOOKUP(C541,Products!A:A,Products!D:D)</f>
        <v>1019.85</v>
      </c>
      <c r="I541">
        <v>0</v>
      </c>
      <c r="J541">
        <f t="shared" si="26"/>
        <v>2039.7</v>
      </c>
      <c r="K541" t="s">
        <v>2019</v>
      </c>
      <c r="L541" t="str">
        <f>_xlfn.XLOOKUP(Orders[[#This Row],[ProductID]],Products!A:A,Products!C:C)</f>
        <v>Beauty</v>
      </c>
    </row>
    <row r="542" spans="1:12" x14ac:dyDescent="0.3">
      <c r="A542">
        <v>541</v>
      </c>
      <c r="B542">
        <v>541</v>
      </c>
      <c r="C542">
        <v>56</v>
      </c>
      <c r="D542" t="s">
        <v>16</v>
      </c>
      <c r="E542">
        <f t="shared" si="24"/>
        <v>2023</v>
      </c>
      <c r="F542" t="str">
        <f t="shared" si="25"/>
        <v>Sep</v>
      </c>
      <c r="G542">
        <v>1</v>
      </c>
      <c r="H542">
        <f>_xlfn.XLOOKUP(C542,Products!A:A,Products!D:D)</f>
        <v>396.01</v>
      </c>
      <c r="I542">
        <v>0</v>
      </c>
      <c r="J542">
        <f t="shared" si="26"/>
        <v>396.01</v>
      </c>
      <c r="K542" t="s">
        <v>2015</v>
      </c>
      <c r="L542" t="str">
        <f>_xlfn.XLOOKUP(Orders[[#This Row],[ProductID]],Products!A:A,Products!C:C)</f>
        <v>Home</v>
      </c>
    </row>
    <row r="543" spans="1:12" x14ac:dyDescent="0.3">
      <c r="A543">
        <v>542</v>
      </c>
      <c r="B543">
        <v>542</v>
      </c>
      <c r="C543">
        <v>66</v>
      </c>
      <c r="D543" t="s">
        <v>2074</v>
      </c>
      <c r="E543">
        <f t="shared" si="24"/>
        <v>2024</v>
      </c>
      <c r="F543" t="str">
        <f t="shared" si="25"/>
        <v>Apr</v>
      </c>
      <c r="G543">
        <v>1</v>
      </c>
      <c r="H543">
        <f>_xlfn.XLOOKUP(C543,Products!A:A,Products!D:D)</f>
        <v>783.37</v>
      </c>
      <c r="I543">
        <v>15</v>
      </c>
      <c r="J543">
        <f t="shared" si="26"/>
        <v>665.86450000000002</v>
      </c>
      <c r="K543" t="s">
        <v>2019</v>
      </c>
      <c r="L543" t="str">
        <f>_xlfn.XLOOKUP(Orders[[#This Row],[ProductID]],Products!A:A,Products!C:C)</f>
        <v>Home</v>
      </c>
    </row>
    <row r="544" spans="1:12" x14ac:dyDescent="0.3">
      <c r="A544">
        <v>543</v>
      </c>
      <c r="B544">
        <v>543</v>
      </c>
      <c r="C544">
        <v>63</v>
      </c>
      <c r="D544" t="s">
        <v>1085</v>
      </c>
      <c r="E544">
        <f t="shared" si="24"/>
        <v>2023</v>
      </c>
      <c r="F544" t="str">
        <f t="shared" si="25"/>
        <v>Jan</v>
      </c>
      <c r="G544">
        <v>1</v>
      </c>
      <c r="H544">
        <f>_xlfn.XLOOKUP(C544,Products!A:A,Products!D:D)</f>
        <v>309.79000000000002</v>
      </c>
      <c r="I544">
        <v>10</v>
      </c>
      <c r="J544">
        <f t="shared" si="26"/>
        <v>278.81100000000004</v>
      </c>
      <c r="K544" t="s">
        <v>2021</v>
      </c>
      <c r="L544" t="str">
        <f>_xlfn.XLOOKUP(Orders[[#This Row],[ProductID]],Products!A:A,Products!C:C)</f>
        <v>Electronics</v>
      </c>
    </row>
    <row r="545" spans="1:12" x14ac:dyDescent="0.3">
      <c r="A545">
        <v>544</v>
      </c>
      <c r="B545">
        <v>544</v>
      </c>
      <c r="C545">
        <v>61</v>
      </c>
      <c r="D545" t="s">
        <v>101</v>
      </c>
      <c r="E545">
        <f t="shared" si="24"/>
        <v>2023</v>
      </c>
      <c r="F545" t="str">
        <f t="shared" si="25"/>
        <v>Jul</v>
      </c>
      <c r="G545">
        <v>2</v>
      </c>
      <c r="H545">
        <f>_xlfn.XLOOKUP(C545,Products!A:A,Products!D:D)</f>
        <v>498.92</v>
      </c>
      <c r="I545">
        <v>10</v>
      </c>
      <c r="J545">
        <f t="shared" si="26"/>
        <v>898.05600000000004</v>
      </c>
      <c r="K545" t="s">
        <v>2024</v>
      </c>
      <c r="L545" t="str">
        <f>_xlfn.XLOOKUP(Orders[[#This Row],[ProductID]],Products!A:A,Products!C:C)</f>
        <v>Clothing</v>
      </c>
    </row>
    <row r="546" spans="1:12" x14ac:dyDescent="0.3">
      <c r="A546">
        <v>545</v>
      </c>
      <c r="B546">
        <v>545</v>
      </c>
      <c r="C546">
        <v>55</v>
      </c>
      <c r="D546" t="s">
        <v>2086</v>
      </c>
      <c r="E546">
        <f t="shared" si="24"/>
        <v>2024</v>
      </c>
      <c r="F546" t="str">
        <f t="shared" si="25"/>
        <v>Apr</v>
      </c>
      <c r="G546">
        <v>1</v>
      </c>
      <c r="H546">
        <f>_xlfn.XLOOKUP(C546,Products!A:A,Products!D:D)</f>
        <v>1016.06</v>
      </c>
      <c r="I546">
        <v>20</v>
      </c>
      <c r="J546">
        <f t="shared" si="26"/>
        <v>812.84799999999996</v>
      </c>
      <c r="K546" t="s">
        <v>2024</v>
      </c>
      <c r="L546" t="str">
        <f>_xlfn.XLOOKUP(Orders[[#This Row],[ProductID]],Products!A:A,Products!C:C)</f>
        <v>Clothing</v>
      </c>
    </row>
    <row r="547" spans="1:12" x14ac:dyDescent="0.3">
      <c r="A547">
        <v>546</v>
      </c>
      <c r="B547">
        <v>546</v>
      </c>
      <c r="C547">
        <v>14</v>
      </c>
      <c r="D547" t="s">
        <v>871</v>
      </c>
      <c r="E547">
        <f t="shared" si="24"/>
        <v>2023</v>
      </c>
      <c r="F547" t="str">
        <f t="shared" si="25"/>
        <v>Aug</v>
      </c>
      <c r="G547">
        <v>3</v>
      </c>
      <c r="H547">
        <f>_xlfn.XLOOKUP(C547,Products!A:A,Products!D:D)</f>
        <v>574.25</v>
      </c>
      <c r="I547">
        <v>15</v>
      </c>
      <c r="J547">
        <f t="shared" si="26"/>
        <v>1464.3374999999999</v>
      </c>
      <c r="K547" t="s">
        <v>2021</v>
      </c>
      <c r="L547" t="str">
        <f>_xlfn.XLOOKUP(Orders[[#This Row],[ProductID]],Products!A:A,Products!C:C)</f>
        <v>Beauty</v>
      </c>
    </row>
    <row r="548" spans="1:12" x14ac:dyDescent="0.3">
      <c r="A548">
        <v>547</v>
      </c>
      <c r="B548">
        <v>547</v>
      </c>
      <c r="C548">
        <v>18</v>
      </c>
      <c r="D548" t="s">
        <v>1144</v>
      </c>
      <c r="E548">
        <f t="shared" si="24"/>
        <v>2023</v>
      </c>
      <c r="F548" t="str">
        <f t="shared" si="25"/>
        <v>Jul</v>
      </c>
      <c r="G548">
        <v>3</v>
      </c>
      <c r="H548">
        <f>_xlfn.XLOOKUP(C548,Products!A:A,Products!D:D)</f>
        <v>138.07</v>
      </c>
      <c r="I548">
        <v>15</v>
      </c>
      <c r="J548">
        <f t="shared" si="26"/>
        <v>352.07849999999996</v>
      </c>
      <c r="K548" t="s">
        <v>2019</v>
      </c>
      <c r="L548" t="str">
        <f>_xlfn.XLOOKUP(Orders[[#This Row],[ProductID]],Products!A:A,Products!C:C)</f>
        <v>Home</v>
      </c>
    </row>
    <row r="549" spans="1:12" x14ac:dyDescent="0.3">
      <c r="A549">
        <v>548</v>
      </c>
      <c r="B549">
        <v>548</v>
      </c>
      <c r="C549">
        <v>46</v>
      </c>
      <c r="D549" t="s">
        <v>2095</v>
      </c>
      <c r="E549">
        <f t="shared" si="24"/>
        <v>2024</v>
      </c>
      <c r="F549" t="str">
        <f t="shared" si="25"/>
        <v>Mar</v>
      </c>
      <c r="G549">
        <v>3</v>
      </c>
      <c r="H549">
        <f>_xlfn.XLOOKUP(C549,Products!A:A,Products!D:D)</f>
        <v>1155.3</v>
      </c>
      <c r="I549">
        <v>5</v>
      </c>
      <c r="J549">
        <f t="shared" si="26"/>
        <v>3292.6049999999996</v>
      </c>
      <c r="K549" t="s">
        <v>2019</v>
      </c>
      <c r="L549" t="str">
        <f>_xlfn.XLOOKUP(Orders[[#This Row],[ProductID]],Products!A:A,Products!C:C)</f>
        <v>Beauty</v>
      </c>
    </row>
    <row r="550" spans="1:12" x14ac:dyDescent="0.3">
      <c r="A550">
        <v>549</v>
      </c>
      <c r="B550">
        <v>549</v>
      </c>
      <c r="C550">
        <v>25</v>
      </c>
      <c r="D550" t="s">
        <v>2067</v>
      </c>
      <c r="E550">
        <f t="shared" si="24"/>
        <v>2023</v>
      </c>
      <c r="F550" t="str">
        <f t="shared" si="25"/>
        <v>May</v>
      </c>
      <c r="G550">
        <v>1</v>
      </c>
      <c r="H550">
        <f>_xlfn.XLOOKUP(C550,Products!A:A,Products!D:D)</f>
        <v>1011.65</v>
      </c>
      <c r="I550">
        <v>5</v>
      </c>
      <c r="J550">
        <f t="shared" si="26"/>
        <v>961.06749999999988</v>
      </c>
      <c r="K550" t="s">
        <v>2017</v>
      </c>
      <c r="L550" t="str">
        <f>_xlfn.XLOOKUP(Orders[[#This Row],[ProductID]],Products!A:A,Products!C:C)</f>
        <v>Electronics</v>
      </c>
    </row>
    <row r="551" spans="1:12" x14ac:dyDescent="0.3">
      <c r="A551">
        <v>550</v>
      </c>
      <c r="B551">
        <v>550</v>
      </c>
      <c r="C551">
        <v>54</v>
      </c>
      <c r="D551" t="s">
        <v>2089</v>
      </c>
      <c r="E551">
        <f t="shared" si="24"/>
        <v>2024</v>
      </c>
      <c r="F551" t="str">
        <f t="shared" si="25"/>
        <v>Jan</v>
      </c>
      <c r="G551">
        <v>2</v>
      </c>
      <c r="H551">
        <f>_xlfn.XLOOKUP(C551,Products!A:A,Products!D:D)</f>
        <v>900.79</v>
      </c>
      <c r="I551">
        <v>0</v>
      </c>
      <c r="J551">
        <f t="shared" si="26"/>
        <v>1801.58</v>
      </c>
      <c r="K551" t="s">
        <v>2021</v>
      </c>
      <c r="L551" t="str">
        <f>_xlfn.XLOOKUP(Orders[[#This Row],[ProductID]],Products!A:A,Products!C:C)</f>
        <v>Electronics</v>
      </c>
    </row>
    <row r="552" spans="1:12" x14ac:dyDescent="0.3">
      <c r="A552">
        <v>551</v>
      </c>
      <c r="B552">
        <v>551</v>
      </c>
      <c r="C552">
        <v>26</v>
      </c>
      <c r="D552" t="s">
        <v>2175</v>
      </c>
      <c r="E552">
        <f t="shared" si="24"/>
        <v>2024</v>
      </c>
      <c r="F552" t="str">
        <f t="shared" si="25"/>
        <v>Apr</v>
      </c>
      <c r="G552">
        <v>2</v>
      </c>
      <c r="H552">
        <f>_xlfn.XLOOKUP(C552,Products!A:A,Products!D:D)</f>
        <v>272.61</v>
      </c>
      <c r="I552">
        <v>10</v>
      </c>
      <c r="J552">
        <f t="shared" si="26"/>
        <v>490.69800000000004</v>
      </c>
      <c r="K552" t="s">
        <v>2019</v>
      </c>
      <c r="L552" t="str">
        <f>_xlfn.XLOOKUP(Orders[[#This Row],[ProductID]],Products!A:A,Products!C:C)</f>
        <v>Home</v>
      </c>
    </row>
    <row r="553" spans="1:12" x14ac:dyDescent="0.3">
      <c r="A553">
        <v>552</v>
      </c>
      <c r="B553">
        <v>552</v>
      </c>
      <c r="C553">
        <v>54</v>
      </c>
      <c r="D553" t="s">
        <v>2034</v>
      </c>
      <c r="E553">
        <f t="shared" si="24"/>
        <v>2023</v>
      </c>
      <c r="F553" t="str">
        <f t="shared" si="25"/>
        <v>Sep</v>
      </c>
      <c r="G553">
        <v>3</v>
      </c>
      <c r="H553">
        <f>_xlfn.XLOOKUP(C553,Products!A:A,Products!D:D)</f>
        <v>900.79</v>
      </c>
      <c r="I553">
        <v>15</v>
      </c>
      <c r="J553">
        <f t="shared" si="26"/>
        <v>2297.0144999999998</v>
      </c>
      <c r="K553" t="s">
        <v>2021</v>
      </c>
      <c r="L553" t="str">
        <f>_xlfn.XLOOKUP(Orders[[#This Row],[ProductID]],Products!A:A,Products!C:C)</f>
        <v>Electronics</v>
      </c>
    </row>
    <row r="554" spans="1:12" x14ac:dyDescent="0.3">
      <c r="A554">
        <v>553</v>
      </c>
      <c r="B554">
        <v>553</v>
      </c>
      <c r="C554">
        <v>42</v>
      </c>
      <c r="D554" t="s">
        <v>2176</v>
      </c>
      <c r="E554">
        <f t="shared" si="24"/>
        <v>2024</v>
      </c>
      <c r="F554" t="str">
        <f t="shared" si="25"/>
        <v>Jan</v>
      </c>
      <c r="G554">
        <v>2</v>
      </c>
      <c r="H554">
        <f>_xlfn.XLOOKUP(C554,Products!A:A,Products!D:D)</f>
        <v>233.11</v>
      </c>
      <c r="I554">
        <v>20</v>
      </c>
      <c r="J554">
        <f t="shared" si="26"/>
        <v>372.97600000000006</v>
      </c>
      <c r="K554" t="s">
        <v>2017</v>
      </c>
      <c r="L554" t="str">
        <f>_xlfn.XLOOKUP(Orders[[#This Row],[ProductID]],Products!A:A,Products!C:C)</f>
        <v>Home</v>
      </c>
    </row>
    <row r="555" spans="1:12" x14ac:dyDescent="0.3">
      <c r="A555">
        <v>554</v>
      </c>
      <c r="B555">
        <v>554</v>
      </c>
      <c r="C555">
        <v>17</v>
      </c>
      <c r="D555" t="s">
        <v>192</v>
      </c>
      <c r="E555">
        <f t="shared" si="24"/>
        <v>2023</v>
      </c>
      <c r="F555" t="str">
        <f t="shared" si="25"/>
        <v>Feb</v>
      </c>
      <c r="G555">
        <v>1</v>
      </c>
      <c r="H555">
        <f>_xlfn.XLOOKUP(C555,Products!A:A,Products!D:D)</f>
        <v>695.6</v>
      </c>
      <c r="I555">
        <v>0</v>
      </c>
      <c r="J555">
        <f t="shared" si="26"/>
        <v>695.6</v>
      </c>
      <c r="K555" t="s">
        <v>2021</v>
      </c>
      <c r="L555" t="str">
        <f>_xlfn.XLOOKUP(Orders[[#This Row],[ProductID]],Products!A:A,Products!C:C)</f>
        <v>Clothing</v>
      </c>
    </row>
    <row r="556" spans="1:12" x14ac:dyDescent="0.3">
      <c r="A556">
        <v>555</v>
      </c>
      <c r="B556">
        <v>555</v>
      </c>
      <c r="C556">
        <v>20</v>
      </c>
      <c r="D556" t="s">
        <v>2049</v>
      </c>
      <c r="E556">
        <f t="shared" si="24"/>
        <v>2023</v>
      </c>
      <c r="F556" t="str">
        <f t="shared" si="25"/>
        <v>Jun</v>
      </c>
      <c r="G556">
        <v>3</v>
      </c>
      <c r="H556">
        <f>_xlfn.XLOOKUP(C556,Products!A:A,Products!D:D)</f>
        <v>613.27</v>
      </c>
      <c r="I556">
        <v>0</v>
      </c>
      <c r="J556">
        <f t="shared" si="26"/>
        <v>1839.81</v>
      </c>
      <c r="K556" t="s">
        <v>2021</v>
      </c>
      <c r="L556" t="str">
        <f>_xlfn.XLOOKUP(Orders[[#This Row],[ProductID]],Products!A:A,Products!C:C)</f>
        <v>Home</v>
      </c>
    </row>
    <row r="557" spans="1:12" x14ac:dyDescent="0.3">
      <c r="A557">
        <v>556</v>
      </c>
      <c r="B557">
        <v>556</v>
      </c>
      <c r="C557">
        <v>7</v>
      </c>
      <c r="D557" t="s">
        <v>2137</v>
      </c>
      <c r="E557">
        <f t="shared" si="24"/>
        <v>2023</v>
      </c>
      <c r="F557" t="str">
        <f t="shared" si="25"/>
        <v>Dec</v>
      </c>
      <c r="G557">
        <v>2</v>
      </c>
      <c r="H557">
        <f>_xlfn.XLOOKUP(C557,Products!A:A,Products!D:D)</f>
        <v>97.29</v>
      </c>
      <c r="I557">
        <v>15</v>
      </c>
      <c r="J557">
        <f t="shared" si="26"/>
        <v>165.393</v>
      </c>
      <c r="K557" t="s">
        <v>2015</v>
      </c>
      <c r="L557" t="str">
        <f>_xlfn.XLOOKUP(Orders[[#This Row],[ProductID]],Products!A:A,Products!C:C)</f>
        <v>Beauty</v>
      </c>
    </row>
    <row r="558" spans="1:12" x14ac:dyDescent="0.3">
      <c r="A558">
        <v>557</v>
      </c>
      <c r="B558">
        <v>557</v>
      </c>
      <c r="C558">
        <v>2</v>
      </c>
      <c r="D558" t="s">
        <v>1896</v>
      </c>
      <c r="E558">
        <f t="shared" si="24"/>
        <v>2023</v>
      </c>
      <c r="F558" t="str">
        <f t="shared" si="25"/>
        <v>Aug</v>
      </c>
      <c r="G558">
        <v>2</v>
      </c>
      <c r="H558">
        <f>_xlfn.XLOOKUP(C558,Products!A:A,Products!D:D)</f>
        <v>427.27</v>
      </c>
      <c r="I558">
        <v>10</v>
      </c>
      <c r="J558">
        <f t="shared" si="26"/>
        <v>769.08600000000001</v>
      </c>
      <c r="K558" t="s">
        <v>2024</v>
      </c>
      <c r="L558" t="str">
        <f>_xlfn.XLOOKUP(Orders[[#This Row],[ProductID]],Products!A:A,Products!C:C)</f>
        <v>Home</v>
      </c>
    </row>
    <row r="559" spans="1:12" x14ac:dyDescent="0.3">
      <c r="A559">
        <v>558</v>
      </c>
      <c r="B559">
        <v>558</v>
      </c>
      <c r="C559">
        <v>63</v>
      </c>
      <c r="D559" t="s">
        <v>1658</v>
      </c>
      <c r="E559">
        <f t="shared" si="24"/>
        <v>2023</v>
      </c>
      <c r="F559" t="str">
        <f t="shared" si="25"/>
        <v>Feb</v>
      </c>
      <c r="G559">
        <v>2</v>
      </c>
      <c r="H559">
        <f>_xlfn.XLOOKUP(C559,Products!A:A,Products!D:D)</f>
        <v>309.79000000000002</v>
      </c>
      <c r="I559">
        <v>5</v>
      </c>
      <c r="J559">
        <f t="shared" si="26"/>
        <v>588.601</v>
      </c>
      <c r="K559" t="s">
        <v>2015</v>
      </c>
      <c r="L559" t="str">
        <f>_xlfn.XLOOKUP(Orders[[#This Row],[ProductID]],Products!A:A,Products!C:C)</f>
        <v>Electronics</v>
      </c>
    </row>
    <row r="560" spans="1:12" x14ac:dyDescent="0.3">
      <c r="A560">
        <v>559</v>
      </c>
      <c r="B560">
        <v>559</v>
      </c>
      <c r="C560">
        <v>20</v>
      </c>
      <c r="D560" t="s">
        <v>2092</v>
      </c>
      <c r="E560">
        <f t="shared" si="24"/>
        <v>2024</v>
      </c>
      <c r="F560" t="str">
        <f t="shared" si="25"/>
        <v>Jan</v>
      </c>
      <c r="G560">
        <v>3</v>
      </c>
      <c r="H560">
        <f>_xlfn.XLOOKUP(C560,Products!A:A,Products!D:D)</f>
        <v>613.27</v>
      </c>
      <c r="I560">
        <v>5</v>
      </c>
      <c r="J560">
        <f t="shared" si="26"/>
        <v>1747.8194999999998</v>
      </c>
      <c r="K560" t="s">
        <v>2021</v>
      </c>
      <c r="L560" t="str">
        <f>_xlfn.XLOOKUP(Orders[[#This Row],[ProductID]],Products!A:A,Products!C:C)</f>
        <v>Home</v>
      </c>
    </row>
    <row r="561" spans="1:12" x14ac:dyDescent="0.3">
      <c r="A561">
        <v>560</v>
      </c>
      <c r="B561">
        <v>560</v>
      </c>
      <c r="C561">
        <v>36</v>
      </c>
      <c r="D561" t="s">
        <v>2177</v>
      </c>
      <c r="E561">
        <f t="shared" si="24"/>
        <v>2024</v>
      </c>
      <c r="F561" t="str">
        <f t="shared" si="25"/>
        <v>Jan</v>
      </c>
      <c r="G561">
        <v>1</v>
      </c>
      <c r="H561">
        <f>_xlfn.XLOOKUP(C561,Products!A:A,Products!D:D)</f>
        <v>992.01</v>
      </c>
      <c r="I561">
        <v>10</v>
      </c>
      <c r="J561">
        <f t="shared" si="26"/>
        <v>892.80899999999997</v>
      </c>
      <c r="K561" t="s">
        <v>2021</v>
      </c>
      <c r="L561" t="str">
        <f>_xlfn.XLOOKUP(Orders[[#This Row],[ProductID]],Products!A:A,Products!C:C)</f>
        <v>Beauty</v>
      </c>
    </row>
    <row r="562" spans="1:12" x14ac:dyDescent="0.3">
      <c r="A562">
        <v>561</v>
      </c>
      <c r="B562">
        <v>561</v>
      </c>
      <c r="C562">
        <v>55</v>
      </c>
      <c r="D562" t="s">
        <v>2107</v>
      </c>
      <c r="E562">
        <f t="shared" si="24"/>
        <v>2023</v>
      </c>
      <c r="F562" t="str">
        <f t="shared" si="25"/>
        <v>Apr</v>
      </c>
      <c r="G562">
        <v>2</v>
      </c>
      <c r="H562">
        <f>_xlfn.XLOOKUP(C562,Products!A:A,Products!D:D)</f>
        <v>1016.06</v>
      </c>
      <c r="I562">
        <v>0</v>
      </c>
      <c r="J562">
        <f t="shared" si="26"/>
        <v>2032.12</v>
      </c>
      <c r="K562" t="s">
        <v>2015</v>
      </c>
      <c r="L562" t="str">
        <f>_xlfn.XLOOKUP(Orders[[#This Row],[ProductID]],Products!A:A,Products!C:C)</f>
        <v>Clothing</v>
      </c>
    </row>
    <row r="563" spans="1:12" x14ac:dyDescent="0.3">
      <c r="A563">
        <v>562</v>
      </c>
      <c r="B563">
        <v>562</v>
      </c>
      <c r="C563">
        <v>79</v>
      </c>
      <c r="D563" t="s">
        <v>2028</v>
      </c>
      <c r="E563">
        <f t="shared" si="24"/>
        <v>2023</v>
      </c>
      <c r="F563" t="str">
        <f t="shared" si="25"/>
        <v>Apr</v>
      </c>
      <c r="G563">
        <v>1</v>
      </c>
      <c r="H563">
        <f>_xlfn.XLOOKUP(C563,Products!A:A,Products!D:D)</f>
        <v>488.34</v>
      </c>
      <c r="I563">
        <v>20</v>
      </c>
      <c r="J563">
        <f t="shared" si="26"/>
        <v>390.67200000000003</v>
      </c>
      <c r="K563" t="s">
        <v>2021</v>
      </c>
      <c r="L563" t="str">
        <f>_xlfn.XLOOKUP(Orders[[#This Row],[ProductID]],Products!A:A,Products!C:C)</f>
        <v>Electronics</v>
      </c>
    </row>
    <row r="564" spans="1:12" x14ac:dyDescent="0.3">
      <c r="A564">
        <v>563</v>
      </c>
      <c r="B564">
        <v>563</v>
      </c>
      <c r="C564">
        <v>30</v>
      </c>
      <c r="D564" t="s">
        <v>353</v>
      </c>
      <c r="E564">
        <f t="shared" si="24"/>
        <v>2023</v>
      </c>
      <c r="F564" t="str">
        <f t="shared" si="25"/>
        <v>Mar</v>
      </c>
      <c r="G564">
        <v>1</v>
      </c>
      <c r="H564">
        <f>_xlfn.XLOOKUP(C564,Products!A:A,Products!D:D)</f>
        <v>866.89</v>
      </c>
      <c r="I564">
        <v>15</v>
      </c>
      <c r="J564">
        <f t="shared" si="26"/>
        <v>736.85649999999998</v>
      </c>
      <c r="K564" t="s">
        <v>2019</v>
      </c>
      <c r="L564" t="str">
        <f>_xlfn.XLOOKUP(Orders[[#This Row],[ProductID]],Products!A:A,Products!C:C)</f>
        <v>Electronics</v>
      </c>
    </row>
    <row r="565" spans="1:12" x14ac:dyDescent="0.3">
      <c r="A565">
        <v>564</v>
      </c>
      <c r="B565">
        <v>564</v>
      </c>
      <c r="C565">
        <v>36</v>
      </c>
      <c r="D565" t="s">
        <v>1120</v>
      </c>
      <c r="E565">
        <f t="shared" si="24"/>
        <v>2023</v>
      </c>
      <c r="F565" t="str">
        <f t="shared" si="25"/>
        <v>Apr</v>
      </c>
      <c r="G565">
        <v>1</v>
      </c>
      <c r="H565">
        <f>_xlfn.XLOOKUP(C565,Products!A:A,Products!D:D)</f>
        <v>992.01</v>
      </c>
      <c r="I565">
        <v>15</v>
      </c>
      <c r="J565">
        <f t="shared" si="26"/>
        <v>843.20849999999996</v>
      </c>
      <c r="K565" t="s">
        <v>2019</v>
      </c>
      <c r="L565" t="str">
        <f>_xlfn.XLOOKUP(Orders[[#This Row],[ProductID]],Products!A:A,Products!C:C)</f>
        <v>Beauty</v>
      </c>
    </row>
    <row r="566" spans="1:12" x14ac:dyDescent="0.3">
      <c r="A566">
        <v>565</v>
      </c>
      <c r="B566">
        <v>565</v>
      </c>
      <c r="C566">
        <v>79</v>
      </c>
      <c r="D566" t="s">
        <v>848</v>
      </c>
      <c r="E566">
        <f t="shared" si="24"/>
        <v>2023</v>
      </c>
      <c r="F566" t="str">
        <f t="shared" si="25"/>
        <v>Apr</v>
      </c>
      <c r="G566">
        <v>1</v>
      </c>
      <c r="H566">
        <f>_xlfn.XLOOKUP(C566,Products!A:A,Products!D:D)</f>
        <v>488.34</v>
      </c>
      <c r="I566">
        <v>0</v>
      </c>
      <c r="J566">
        <f t="shared" si="26"/>
        <v>488.34</v>
      </c>
      <c r="K566" t="s">
        <v>2017</v>
      </c>
      <c r="L566" t="str">
        <f>_xlfn.XLOOKUP(Orders[[#This Row],[ProductID]],Products!A:A,Products!C:C)</f>
        <v>Electronics</v>
      </c>
    </row>
    <row r="567" spans="1:12" x14ac:dyDescent="0.3">
      <c r="A567">
        <v>566</v>
      </c>
      <c r="B567">
        <v>566</v>
      </c>
      <c r="C567">
        <v>53</v>
      </c>
      <c r="D567" t="s">
        <v>1305</v>
      </c>
      <c r="E567">
        <f t="shared" si="24"/>
        <v>2023</v>
      </c>
      <c r="F567" t="str">
        <f t="shared" si="25"/>
        <v>Sep</v>
      </c>
      <c r="G567">
        <v>2</v>
      </c>
      <c r="H567">
        <f>_xlfn.XLOOKUP(C567,Products!A:A,Products!D:D)</f>
        <v>194.34</v>
      </c>
      <c r="I567">
        <v>5</v>
      </c>
      <c r="J567">
        <f t="shared" si="26"/>
        <v>369.24599999999998</v>
      </c>
      <c r="K567" t="s">
        <v>2021</v>
      </c>
      <c r="L567" t="str">
        <f>_xlfn.XLOOKUP(Orders[[#This Row],[ProductID]],Products!A:A,Products!C:C)</f>
        <v>Home</v>
      </c>
    </row>
    <row r="568" spans="1:12" x14ac:dyDescent="0.3">
      <c r="A568">
        <v>567</v>
      </c>
      <c r="B568">
        <v>567</v>
      </c>
      <c r="C568">
        <v>44</v>
      </c>
      <c r="D568" t="s">
        <v>761</v>
      </c>
      <c r="E568">
        <f t="shared" si="24"/>
        <v>2023</v>
      </c>
      <c r="F568" t="str">
        <f t="shared" si="25"/>
        <v>Aug</v>
      </c>
      <c r="G568">
        <v>2</v>
      </c>
      <c r="H568">
        <f>_xlfn.XLOOKUP(C568,Products!A:A,Products!D:D)</f>
        <v>1038</v>
      </c>
      <c r="I568">
        <v>0</v>
      </c>
      <c r="J568">
        <f t="shared" si="26"/>
        <v>2076</v>
      </c>
      <c r="K568" t="s">
        <v>2015</v>
      </c>
      <c r="L568" t="str">
        <f>_xlfn.XLOOKUP(Orders[[#This Row],[ProductID]],Products!A:A,Products!C:C)</f>
        <v>Home</v>
      </c>
    </row>
    <row r="569" spans="1:12" x14ac:dyDescent="0.3">
      <c r="A569">
        <v>568</v>
      </c>
      <c r="B569">
        <v>568</v>
      </c>
      <c r="C569">
        <v>55</v>
      </c>
      <c r="D569" t="s">
        <v>1303</v>
      </c>
      <c r="E569">
        <f t="shared" si="24"/>
        <v>2023</v>
      </c>
      <c r="F569" t="str">
        <f t="shared" si="25"/>
        <v>Nov</v>
      </c>
      <c r="G569">
        <v>1</v>
      </c>
      <c r="H569">
        <f>_xlfn.XLOOKUP(C569,Products!A:A,Products!D:D)</f>
        <v>1016.06</v>
      </c>
      <c r="I569">
        <v>10</v>
      </c>
      <c r="J569">
        <f t="shared" si="26"/>
        <v>914.45399999999995</v>
      </c>
      <c r="K569" t="s">
        <v>2019</v>
      </c>
      <c r="L569" t="str">
        <f>_xlfn.XLOOKUP(Orders[[#This Row],[ProductID]],Products!A:A,Products!C:C)</f>
        <v>Clothing</v>
      </c>
    </row>
    <row r="570" spans="1:12" x14ac:dyDescent="0.3">
      <c r="A570">
        <v>569</v>
      </c>
      <c r="B570">
        <v>569</v>
      </c>
      <c r="C570">
        <v>35</v>
      </c>
      <c r="D570" t="s">
        <v>2178</v>
      </c>
      <c r="E570">
        <f t="shared" si="24"/>
        <v>2023</v>
      </c>
      <c r="F570" t="str">
        <f t="shared" si="25"/>
        <v>Jul</v>
      </c>
      <c r="G570">
        <v>2</v>
      </c>
      <c r="H570">
        <f>_xlfn.XLOOKUP(C570,Products!A:A,Products!D:D)</f>
        <v>958.87</v>
      </c>
      <c r="I570">
        <v>10</v>
      </c>
      <c r="J570">
        <f t="shared" si="26"/>
        <v>1725.9660000000001</v>
      </c>
      <c r="K570" t="s">
        <v>2017</v>
      </c>
      <c r="L570" t="str">
        <f>_xlfn.XLOOKUP(Orders[[#This Row],[ProductID]],Products!A:A,Products!C:C)</f>
        <v>Clothing</v>
      </c>
    </row>
    <row r="571" spans="1:12" x14ac:dyDescent="0.3">
      <c r="A571">
        <v>570</v>
      </c>
      <c r="B571">
        <v>570</v>
      </c>
      <c r="C571">
        <v>32</v>
      </c>
      <c r="D571" t="s">
        <v>1095</v>
      </c>
      <c r="E571">
        <f t="shared" si="24"/>
        <v>2023</v>
      </c>
      <c r="F571" t="str">
        <f t="shared" si="25"/>
        <v>Jun</v>
      </c>
      <c r="G571">
        <v>1</v>
      </c>
      <c r="H571">
        <f>_xlfn.XLOOKUP(C571,Products!A:A,Products!D:D)</f>
        <v>342.57</v>
      </c>
      <c r="I571">
        <v>5</v>
      </c>
      <c r="J571">
        <f t="shared" si="26"/>
        <v>325.44149999999996</v>
      </c>
      <c r="K571" t="s">
        <v>2019</v>
      </c>
      <c r="L571" t="str">
        <f>_xlfn.XLOOKUP(Orders[[#This Row],[ProductID]],Products!A:A,Products!C:C)</f>
        <v>Clothing</v>
      </c>
    </row>
    <row r="572" spans="1:12" x14ac:dyDescent="0.3">
      <c r="A572">
        <v>571</v>
      </c>
      <c r="B572">
        <v>571</v>
      </c>
      <c r="C572">
        <v>1</v>
      </c>
      <c r="D572" t="s">
        <v>446</v>
      </c>
      <c r="E572">
        <f t="shared" si="24"/>
        <v>2023</v>
      </c>
      <c r="F572" t="str">
        <f t="shared" si="25"/>
        <v>Jan</v>
      </c>
      <c r="G572">
        <v>3</v>
      </c>
      <c r="H572">
        <f>_xlfn.XLOOKUP(C572,Products!A:A,Products!D:D)</f>
        <v>469.08</v>
      </c>
      <c r="I572">
        <v>10</v>
      </c>
      <c r="J572">
        <f t="shared" si="26"/>
        <v>1266.5160000000001</v>
      </c>
      <c r="K572" t="s">
        <v>2021</v>
      </c>
      <c r="L572" t="str">
        <f>_xlfn.XLOOKUP(Orders[[#This Row],[ProductID]],Products!A:A,Products!C:C)</f>
        <v>Clothing</v>
      </c>
    </row>
    <row r="573" spans="1:12" x14ac:dyDescent="0.3">
      <c r="A573">
        <v>572</v>
      </c>
      <c r="B573">
        <v>572</v>
      </c>
      <c r="C573">
        <v>37</v>
      </c>
      <c r="D573" t="s">
        <v>295</v>
      </c>
      <c r="E573">
        <f t="shared" si="24"/>
        <v>2023</v>
      </c>
      <c r="F573" t="str">
        <f t="shared" si="25"/>
        <v>Aug</v>
      </c>
      <c r="G573">
        <v>2</v>
      </c>
      <c r="H573">
        <f>_xlfn.XLOOKUP(C573,Products!A:A,Products!D:D)</f>
        <v>968.87</v>
      </c>
      <c r="I573">
        <v>20</v>
      </c>
      <c r="J573">
        <f t="shared" si="26"/>
        <v>1550.192</v>
      </c>
      <c r="K573" t="s">
        <v>2019</v>
      </c>
      <c r="L573" t="str">
        <f>_xlfn.XLOOKUP(Orders[[#This Row],[ProductID]],Products!A:A,Products!C:C)</f>
        <v>Home</v>
      </c>
    </row>
    <row r="574" spans="1:12" x14ac:dyDescent="0.3">
      <c r="A574">
        <v>573</v>
      </c>
      <c r="B574">
        <v>573</v>
      </c>
      <c r="C574">
        <v>56</v>
      </c>
      <c r="D574" t="s">
        <v>19</v>
      </c>
      <c r="E574">
        <f t="shared" si="24"/>
        <v>2023</v>
      </c>
      <c r="F574" t="str">
        <f t="shared" si="25"/>
        <v>Apr</v>
      </c>
      <c r="G574">
        <v>2</v>
      </c>
      <c r="H574">
        <f>_xlfn.XLOOKUP(C574,Products!A:A,Products!D:D)</f>
        <v>396.01</v>
      </c>
      <c r="I574">
        <v>15</v>
      </c>
      <c r="J574">
        <f t="shared" si="26"/>
        <v>673.21699999999998</v>
      </c>
      <c r="K574" t="s">
        <v>2024</v>
      </c>
      <c r="L574" t="str">
        <f>_xlfn.XLOOKUP(Orders[[#This Row],[ProductID]],Products!A:A,Products!C:C)</f>
        <v>Home</v>
      </c>
    </row>
    <row r="575" spans="1:12" x14ac:dyDescent="0.3">
      <c r="A575">
        <v>574</v>
      </c>
      <c r="B575">
        <v>574</v>
      </c>
      <c r="C575">
        <v>43</v>
      </c>
      <c r="D575" t="s">
        <v>1373</v>
      </c>
      <c r="E575">
        <f t="shared" si="24"/>
        <v>2023</v>
      </c>
      <c r="F575" t="str">
        <f t="shared" si="25"/>
        <v>Jun</v>
      </c>
      <c r="G575">
        <v>1</v>
      </c>
      <c r="H575">
        <f>_xlfn.XLOOKUP(C575,Products!A:A,Products!D:D)</f>
        <v>760.86</v>
      </c>
      <c r="I575">
        <v>0</v>
      </c>
      <c r="J575">
        <f t="shared" si="26"/>
        <v>760.86</v>
      </c>
      <c r="K575" t="s">
        <v>2019</v>
      </c>
      <c r="L575" t="str">
        <f>_xlfn.XLOOKUP(Orders[[#This Row],[ProductID]],Products!A:A,Products!C:C)</f>
        <v>Electronics</v>
      </c>
    </row>
    <row r="576" spans="1:12" x14ac:dyDescent="0.3">
      <c r="A576">
        <v>575</v>
      </c>
      <c r="B576">
        <v>575</v>
      </c>
      <c r="C576">
        <v>71</v>
      </c>
      <c r="D576" t="s">
        <v>2115</v>
      </c>
      <c r="E576">
        <f t="shared" si="24"/>
        <v>2024</v>
      </c>
      <c r="F576" t="str">
        <f t="shared" si="25"/>
        <v>Jan</v>
      </c>
      <c r="G576">
        <v>1</v>
      </c>
      <c r="H576">
        <f>_xlfn.XLOOKUP(C576,Products!A:A,Products!D:D)</f>
        <v>780.27</v>
      </c>
      <c r="I576">
        <v>10</v>
      </c>
      <c r="J576">
        <f t="shared" si="26"/>
        <v>702.24300000000005</v>
      </c>
      <c r="K576" t="s">
        <v>2024</v>
      </c>
      <c r="L576" t="str">
        <f>_xlfn.XLOOKUP(Orders[[#This Row],[ProductID]],Products!A:A,Products!C:C)</f>
        <v>Electronics</v>
      </c>
    </row>
    <row r="577" spans="1:12" x14ac:dyDescent="0.3">
      <c r="A577">
        <v>576</v>
      </c>
      <c r="B577">
        <v>576</v>
      </c>
      <c r="C577">
        <v>47</v>
      </c>
      <c r="D577" t="s">
        <v>2089</v>
      </c>
      <c r="E577">
        <f t="shared" si="24"/>
        <v>2024</v>
      </c>
      <c r="F577" t="str">
        <f t="shared" si="25"/>
        <v>Jan</v>
      </c>
      <c r="G577">
        <v>3</v>
      </c>
      <c r="H577">
        <f>_xlfn.XLOOKUP(C577,Products!A:A,Products!D:D)</f>
        <v>1126.96</v>
      </c>
      <c r="I577">
        <v>20</v>
      </c>
      <c r="J577">
        <f t="shared" si="26"/>
        <v>2704.7040000000002</v>
      </c>
      <c r="K577" t="s">
        <v>2015</v>
      </c>
      <c r="L577" t="str">
        <f>_xlfn.XLOOKUP(Orders[[#This Row],[ProductID]],Products!A:A,Products!C:C)</f>
        <v>Beauty</v>
      </c>
    </row>
    <row r="578" spans="1:12" x14ac:dyDescent="0.3">
      <c r="A578">
        <v>577</v>
      </c>
      <c r="B578">
        <v>577</v>
      </c>
      <c r="C578">
        <v>48</v>
      </c>
      <c r="D578" t="s">
        <v>234</v>
      </c>
      <c r="E578">
        <f t="shared" si="24"/>
        <v>2023</v>
      </c>
      <c r="F578" t="str">
        <f t="shared" si="25"/>
        <v>May</v>
      </c>
      <c r="G578">
        <v>3</v>
      </c>
      <c r="H578">
        <f>_xlfn.XLOOKUP(C578,Products!A:A,Products!D:D)</f>
        <v>1125.8499999999999</v>
      </c>
      <c r="I578">
        <v>10</v>
      </c>
      <c r="J578">
        <f t="shared" si="26"/>
        <v>3039.7949999999996</v>
      </c>
      <c r="K578" t="s">
        <v>2021</v>
      </c>
      <c r="L578" t="str">
        <f>_xlfn.XLOOKUP(Orders[[#This Row],[ProductID]],Products!A:A,Products!C:C)</f>
        <v>Clothing</v>
      </c>
    </row>
    <row r="579" spans="1:12" x14ac:dyDescent="0.3">
      <c r="A579">
        <v>578</v>
      </c>
      <c r="B579">
        <v>578</v>
      </c>
      <c r="C579">
        <v>75</v>
      </c>
      <c r="D579" t="s">
        <v>1884</v>
      </c>
      <c r="E579">
        <f t="shared" ref="E579:E642" si="27">YEAR(D579)</f>
        <v>2023</v>
      </c>
      <c r="F579" t="str">
        <f t="shared" ref="F579:F642" si="28">TEXT(D579,"mmm")</f>
        <v>Jul</v>
      </c>
      <c r="G579">
        <v>1</v>
      </c>
      <c r="H579">
        <f>_xlfn.XLOOKUP(C579,Products!A:A,Products!D:D)</f>
        <v>390.41</v>
      </c>
      <c r="I579">
        <v>0</v>
      </c>
      <c r="J579">
        <f t="shared" ref="J579:J642" si="29">G579*H579*(1-I579/100)</f>
        <v>390.41</v>
      </c>
      <c r="K579" t="s">
        <v>2021</v>
      </c>
      <c r="L579" t="str">
        <f>_xlfn.XLOOKUP(Orders[[#This Row],[ProductID]],Products!A:A,Products!C:C)</f>
        <v>Electronics</v>
      </c>
    </row>
    <row r="580" spans="1:12" x14ac:dyDescent="0.3">
      <c r="A580">
        <v>579</v>
      </c>
      <c r="B580">
        <v>579</v>
      </c>
      <c r="C580">
        <v>78</v>
      </c>
      <c r="D580" t="s">
        <v>353</v>
      </c>
      <c r="E580">
        <f t="shared" si="27"/>
        <v>2023</v>
      </c>
      <c r="F580" t="str">
        <f t="shared" si="28"/>
        <v>Mar</v>
      </c>
      <c r="G580">
        <v>1</v>
      </c>
      <c r="H580">
        <f>_xlfn.XLOOKUP(C580,Products!A:A,Products!D:D)</f>
        <v>795.77</v>
      </c>
      <c r="I580">
        <v>20</v>
      </c>
      <c r="J580">
        <f t="shared" si="29"/>
        <v>636.61599999999999</v>
      </c>
      <c r="K580" t="s">
        <v>2021</v>
      </c>
      <c r="L580" t="str">
        <f>_xlfn.XLOOKUP(Orders[[#This Row],[ProductID]],Products!A:A,Products!C:C)</f>
        <v>Beauty</v>
      </c>
    </row>
    <row r="581" spans="1:12" x14ac:dyDescent="0.3">
      <c r="A581">
        <v>580</v>
      </c>
      <c r="B581">
        <v>580</v>
      </c>
      <c r="C581">
        <v>25</v>
      </c>
      <c r="D581" t="s">
        <v>2138</v>
      </c>
      <c r="E581">
        <f t="shared" si="27"/>
        <v>2023</v>
      </c>
      <c r="F581" t="str">
        <f t="shared" si="28"/>
        <v>Dec</v>
      </c>
      <c r="G581">
        <v>2</v>
      </c>
      <c r="H581">
        <f>_xlfn.XLOOKUP(C581,Products!A:A,Products!D:D)</f>
        <v>1011.65</v>
      </c>
      <c r="I581">
        <v>0</v>
      </c>
      <c r="J581">
        <f t="shared" si="29"/>
        <v>2023.3</v>
      </c>
      <c r="K581" t="s">
        <v>2019</v>
      </c>
      <c r="L581" t="str">
        <f>_xlfn.XLOOKUP(Orders[[#This Row],[ProductID]],Products!A:A,Products!C:C)</f>
        <v>Electronics</v>
      </c>
    </row>
    <row r="582" spans="1:12" x14ac:dyDescent="0.3">
      <c r="A582">
        <v>581</v>
      </c>
      <c r="B582">
        <v>581</v>
      </c>
      <c r="C582">
        <v>70</v>
      </c>
      <c r="D582" t="s">
        <v>1729</v>
      </c>
      <c r="E582">
        <f t="shared" si="27"/>
        <v>2023</v>
      </c>
      <c r="F582" t="str">
        <f t="shared" si="28"/>
        <v>Nov</v>
      </c>
      <c r="G582">
        <v>2</v>
      </c>
      <c r="H582">
        <f>_xlfn.XLOOKUP(C582,Products!A:A,Products!D:D)</f>
        <v>797.23</v>
      </c>
      <c r="I582">
        <v>10</v>
      </c>
      <c r="J582">
        <f t="shared" si="29"/>
        <v>1435.0140000000001</v>
      </c>
      <c r="K582" t="s">
        <v>2017</v>
      </c>
      <c r="L582" t="str">
        <f>_xlfn.XLOOKUP(Orders[[#This Row],[ProductID]],Products!A:A,Products!C:C)</f>
        <v>Clothing</v>
      </c>
    </row>
    <row r="583" spans="1:12" x14ac:dyDescent="0.3">
      <c r="A583">
        <v>582</v>
      </c>
      <c r="B583">
        <v>582</v>
      </c>
      <c r="C583">
        <v>26</v>
      </c>
      <c r="D583" t="s">
        <v>2039</v>
      </c>
      <c r="E583">
        <f t="shared" si="27"/>
        <v>2023</v>
      </c>
      <c r="F583" t="str">
        <f t="shared" si="28"/>
        <v>Oct</v>
      </c>
      <c r="G583">
        <v>3</v>
      </c>
      <c r="H583">
        <f>_xlfn.XLOOKUP(C583,Products!A:A,Products!D:D)</f>
        <v>272.61</v>
      </c>
      <c r="I583">
        <v>5</v>
      </c>
      <c r="J583">
        <f t="shared" si="29"/>
        <v>776.93849999999998</v>
      </c>
      <c r="K583" t="s">
        <v>2019</v>
      </c>
      <c r="L583" t="str">
        <f>_xlfn.XLOOKUP(Orders[[#This Row],[ProductID]],Products!A:A,Products!C:C)</f>
        <v>Home</v>
      </c>
    </row>
    <row r="584" spans="1:12" x14ac:dyDescent="0.3">
      <c r="A584">
        <v>583</v>
      </c>
      <c r="B584">
        <v>583</v>
      </c>
      <c r="C584">
        <v>17</v>
      </c>
      <c r="D584" t="s">
        <v>1120</v>
      </c>
      <c r="E584">
        <f t="shared" si="27"/>
        <v>2023</v>
      </c>
      <c r="F584" t="str">
        <f t="shared" si="28"/>
        <v>Apr</v>
      </c>
      <c r="G584">
        <v>2</v>
      </c>
      <c r="H584">
        <f>_xlfn.XLOOKUP(C584,Products!A:A,Products!D:D)</f>
        <v>695.6</v>
      </c>
      <c r="I584">
        <v>20</v>
      </c>
      <c r="J584">
        <f t="shared" si="29"/>
        <v>1112.96</v>
      </c>
      <c r="K584" t="s">
        <v>2024</v>
      </c>
      <c r="L584" t="str">
        <f>_xlfn.XLOOKUP(Orders[[#This Row],[ProductID]],Products!A:A,Products!C:C)</f>
        <v>Clothing</v>
      </c>
    </row>
    <row r="585" spans="1:12" x14ac:dyDescent="0.3">
      <c r="A585">
        <v>584</v>
      </c>
      <c r="B585">
        <v>584</v>
      </c>
      <c r="C585">
        <v>72</v>
      </c>
      <c r="D585" t="s">
        <v>2056</v>
      </c>
      <c r="E585">
        <f t="shared" si="27"/>
        <v>2024</v>
      </c>
      <c r="F585" t="str">
        <f t="shared" si="28"/>
        <v>May</v>
      </c>
      <c r="G585">
        <v>2</v>
      </c>
      <c r="H585">
        <f>_xlfn.XLOOKUP(C585,Products!A:A,Products!D:D)</f>
        <v>1157.27</v>
      </c>
      <c r="I585">
        <v>10</v>
      </c>
      <c r="J585">
        <f t="shared" si="29"/>
        <v>2083.0860000000002</v>
      </c>
      <c r="K585" t="s">
        <v>2017</v>
      </c>
      <c r="L585" t="str">
        <f>_xlfn.XLOOKUP(Orders[[#This Row],[ProductID]],Products!A:A,Products!C:C)</f>
        <v>Electronics</v>
      </c>
    </row>
    <row r="586" spans="1:12" x14ac:dyDescent="0.3">
      <c r="A586">
        <v>585</v>
      </c>
      <c r="B586">
        <v>585</v>
      </c>
      <c r="C586">
        <v>16</v>
      </c>
      <c r="D586" t="s">
        <v>2125</v>
      </c>
      <c r="E586">
        <f t="shared" si="27"/>
        <v>2024</v>
      </c>
      <c r="F586" t="str">
        <f t="shared" si="28"/>
        <v>Apr</v>
      </c>
      <c r="G586">
        <v>2</v>
      </c>
      <c r="H586">
        <f>_xlfn.XLOOKUP(C586,Products!A:A,Products!D:D)</f>
        <v>693.02</v>
      </c>
      <c r="I586">
        <v>0</v>
      </c>
      <c r="J586">
        <f t="shared" si="29"/>
        <v>1386.04</v>
      </c>
      <c r="K586" t="s">
        <v>2017</v>
      </c>
      <c r="L586" t="str">
        <f>_xlfn.XLOOKUP(Orders[[#This Row],[ProductID]],Products!A:A,Products!C:C)</f>
        <v>Home</v>
      </c>
    </row>
    <row r="587" spans="1:12" x14ac:dyDescent="0.3">
      <c r="A587">
        <v>586</v>
      </c>
      <c r="B587">
        <v>586</v>
      </c>
      <c r="C587">
        <v>54</v>
      </c>
      <c r="D587" t="s">
        <v>1305</v>
      </c>
      <c r="E587">
        <f t="shared" si="27"/>
        <v>2023</v>
      </c>
      <c r="F587" t="str">
        <f t="shared" si="28"/>
        <v>Sep</v>
      </c>
      <c r="G587">
        <v>3</v>
      </c>
      <c r="H587">
        <f>_xlfn.XLOOKUP(C587,Products!A:A,Products!D:D)</f>
        <v>900.79</v>
      </c>
      <c r="I587">
        <v>0</v>
      </c>
      <c r="J587">
        <f t="shared" si="29"/>
        <v>2702.37</v>
      </c>
      <c r="K587" t="s">
        <v>2021</v>
      </c>
      <c r="L587" t="str">
        <f>_xlfn.XLOOKUP(Orders[[#This Row],[ProductID]],Products!A:A,Products!C:C)</f>
        <v>Electronics</v>
      </c>
    </row>
    <row r="588" spans="1:12" x14ac:dyDescent="0.3">
      <c r="A588">
        <v>587</v>
      </c>
      <c r="B588">
        <v>587</v>
      </c>
      <c r="C588">
        <v>77</v>
      </c>
      <c r="D588" t="s">
        <v>1100</v>
      </c>
      <c r="E588">
        <f t="shared" si="27"/>
        <v>2023</v>
      </c>
      <c r="F588" t="str">
        <f t="shared" si="28"/>
        <v>May</v>
      </c>
      <c r="G588">
        <v>3</v>
      </c>
      <c r="H588">
        <f>_xlfn.XLOOKUP(C588,Products!A:A,Products!D:D)</f>
        <v>1078.19</v>
      </c>
      <c r="I588">
        <v>5</v>
      </c>
      <c r="J588">
        <f t="shared" si="29"/>
        <v>3072.8415</v>
      </c>
      <c r="K588" t="s">
        <v>2024</v>
      </c>
      <c r="L588" t="str">
        <f>_xlfn.XLOOKUP(Orders[[#This Row],[ProductID]],Products!A:A,Products!C:C)</f>
        <v>Home</v>
      </c>
    </row>
    <row r="589" spans="1:12" x14ac:dyDescent="0.3">
      <c r="A589">
        <v>588</v>
      </c>
      <c r="B589">
        <v>588</v>
      </c>
      <c r="C589">
        <v>6</v>
      </c>
      <c r="D589" t="s">
        <v>2179</v>
      </c>
      <c r="E589">
        <f t="shared" si="27"/>
        <v>2024</v>
      </c>
      <c r="F589" t="str">
        <f t="shared" si="28"/>
        <v>May</v>
      </c>
      <c r="G589">
        <v>3</v>
      </c>
      <c r="H589">
        <f>_xlfn.XLOOKUP(C589,Products!A:A,Products!D:D)</f>
        <v>719.19</v>
      </c>
      <c r="I589">
        <v>0</v>
      </c>
      <c r="J589">
        <f t="shared" si="29"/>
        <v>2157.5700000000002</v>
      </c>
      <c r="K589" t="s">
        <v>2021</v>
      </c>
      <c r="L589" t="str">
        <f>_xlfn.XLOOKUP(Orders[[#This Row],[ProductID]],Products!A:A,Products!C:C)</f>
        <v>Clothing</v>
      </c>
    </row>
    <row r="590" spans="1:12" x14ac:dyDescent="0.3">
      <c r="A590">
        <v>589</v>
      </c>
      <c r="B590">
        <v>589</v>
      </c>
      <c r="C590">
        <v>51</v>
      </c>
      <c r="D590" t="s">
        <v>1758</v>
      </c>
      <c r="E590">
        <f t="shared" si="27"/>
        <v>2023</v>
      </c>
      <c r="F590" t="str">
        <f t="shared" si="28"/>
        <v>Sep</v>
      </c>
      <c r="G590">
        <v>3</v>
      </c>
      <c r="H590">
        <f>_xlfn.XLOOKUP(C590,Products!A:A,Products!D:D)</f>
        <v>759.57</v>
      </c>
      <c r="I590">
        <v>20</v>
      </c>
      <c r="J590">
        <f t="shared" si="29"/>
        <v>1822.9680000000001</v>
      </c>
      <c r="K590" t="s">
        <v>2015</v>
      </c>
      <c r="L590" t="str">
        <f>_xlfn.XLOOKUP(Orders[[#This Row],[ProductID]],Products!A:A,Products!C:C)</f>
        <v>Beauty</v>
      </c>
    </row>
    <row r="591" spans="1:12" x14ac:dyDescent="0.3">
      <c r="A591">
        <v>590</v>
      </c>
      <c r="B591">
        <v>590</v>
      </c>
      <c r="C591">
        <v>10</v>
      </c>
      <c r="D591" t="s">
        <v>1825</v>
      </c>
      <c r="E591">
        <f t="shared" si="27"/>
        <v>2023</v>
      </c>
      <c r="F591" t="str">
        <f t="shared" si="28"/>
        <v>Mar</v>
      </c>
      <c r="G591">
        <v>2</v>
      </c>
      <c r="H591">
        <f>_xlfn.XLOOKUP(C591,Products!A:A,Products!D:D)</f>
        <v>64.11</v>
      </c>
      <c r="I591">
        <v>20</v>
      </c>
      <c r="J591">
        <f t="shared" si="29"/>
        <v>102.57600000000001</v>
      </c>
      <c r="K591" t="s">
        <v>2017</v>
      </c>
      <c r="L591" t="str">
        <f>_xlfn.XLOOKUP(Orders[[#This Row],[ProductID]],Products!A:A,Products!C:C)</f>
        <v>Clothing</v>
      </c>
    </row>
    <row r="592" spans="1:12" x14ac:dyDescent="0.3">
      <c r="A592">
        <v>591</v>
      </c>
      <c r="B592">
        <v>591</v>
      </c>
      <c r="C592">
        <v>72</v>
      </c>
      <c r="D592" t="s">
        <v>2180</v>
      </c>
      <c r="E592">
        <f t="shared" si="27"/>
        <v>2024</v>
      </c>
      <c r="F592" t="str">
        <f t="shared" si="28"/>
        <v>Feb</v>
      </c>
      <c r="G592">
        <v>2</v>
      </c>
      <c r="H592">
        <f>_xlfn.XLOOKUP(C592,Products!A:A,Products!D:D)</f>
        <v>1157.27</v>
      </c>
      <c r="I592">
        <v>15</v>
      </c>
      <c r="J592">
        <f t="shared" si="29"/>
        <v>1967.3589999999999</v>
      </c>
      <c r="K592" t="s">
        <v>2015</v>
      </c>
      <c r="L592" t="str">
        <f>_xlfn.XLOOKUP(Orders[[#This Row],[ProductID]],Products!A:A,Products!C:C)</f>
        <v>Electronics</v>
      </c>
    </row>
    <row r="593" spans="1:12" x14ac:dyDescent="0.3">
      <c r="A593">
        <v>592</v>
      </c>
      <c r="B593">
        <v>592</v>
      </c>
      <c r="C593">
        <v>35</v>
      </c>
      <c r="D593" t="s">
        <v>1312</v>
      </c>
      <c r="E593">
        <f t="shared" si="27"/>
        <v>2023</v>
      </c>
      <c r="F593" t="str">
        <f t="shared" si="28"/>
        <v>Apr</v>
      </c>
      <c r="G593">
        <v>1</v>
      </c>
      <c r="H593">
        <f>_xlfn.XLOOKUP(C593,Products!A:A,Products!D:D)</f>
        <v>958.87</v>
      </c>
      <c r="I593">
        <v>0</v>
      </c>
      <c r="J593">
        <f t="shared" si="29"/>
        <v>958.87</v>
      </c>
      <c r="K593" t="s">
        <v>2021</v>
      </c>
      <c r="L593" t="str">
        <f>_xlfn.XLOOKUP(Orders[[#This Row],[ProductID]],Products!A:A,Products!C:C)</f>
        <v>Clothing</v>
      </c>
    </row>
    <row r="594" spans="1:12" x14ac:dyDescent="0.3">
      <c r="A594">
        <v>593</v>
      </c>
      <c r="B594">
        <v>593</v>
      </c>
      <c r="C594">
        <v>74</v>
      </c>
      <c r="D594" t="s">
        <v>1690</v>
      </c>
      <c r="E594">
        <f t="shared" si="27"/>
        <v>2023</v>
      </c>
      <c r="F594" t="str">
        <f t="shared" si="28"/>
        <v>Apr</v>
      </c>
      <c r="G594">
        <v>3</v>
      </c>
      <c r="H594">
        <f>_xlfn.XLOOKUP(C594,Products!A:A,Products!D:D)</f>
        <v>1034.31</v>
      </c>
      <c r="I594">
        <v>0</v>
      </c>
      <c r="J594">
        <f t="shared" si="29"/>
        <v>3102.93</v>
      </c>
      <c r="K594" t="s">
        <v>2015</v>
      </c>
      <c r="L594" t="str">
        <f>_xlfn.XLOOKUP(Orders[[#This Row],[ProductID]],Products!A:A,Products!C:C)</f>
        <v>Electronics</v>
      </c>
    </row>
    <row r="595" spans="1:12" x14ac:dyDescent="0.3">
      <c r="A595">
        <v>594</v>
      </c>
      <c r="B595">
        <v>594</v>
      </c>
      <c r="C595">
        <v>59</v>
      </c>
      <c r="D595" t="s">
        <v>1900</v>
      </c>
      <c r="E595">
        <f t="shared" si="27"/>
        <v>2023</v>
      </c>
      <c r="F595" t="str">
        <f t="shared" si="28"/>
        <v>Sep</v>
      </c>
      <c r="G595">
        <v>3</v>
      </c>
      <c r="H595">
        <f>_xlfn.XLOOKUP(C595,Products!A:A,Products!D:D)</f>
        <v>782.33</v>
      </c>
      <c r="I595">
        <v>20</v>
      </c>
      <c r="J595">
        <f t="shared" si="29"/>
        <v>1877.5920000000003</v>
      </c>
      <c r="K595" t="s">
        <v>2024</v>
      </c>
      <c r="L595" t="str">
        <f>_xlfn.XLOOKUP(Orders[[#This Row],[ProductID]],Products!A:A,Products!C:C)</f>
        <v>Clothing</v>
      </c>
    </row>
    <row r="596" spans="1:12" x14ac:dyDescent="0.3">
      <c r="A596">
        <v>595</v>
      </c>
      <c r="B596">
        <v>595</v>
      </c>
      <c r="C596">
        <v>39</v>
      </c>
      <c r="D596" t="s">
        <v>2106</v>
      </c>
      <c r="E596">
        <f t="shared" si="27"/>
        <v>2024</v>
      </c>
      <c r="F596" t="str">
        <f t="shared" si="28"/>
        <v>Mar</v>
      </c>
      <c r="G596">
        <v>1</v>
      </c>
      <c r="H596">
        <f>_xlfn.XLOOKUP(C596,Products!A:A,Products!D:D)</f>
        <v>256.08999999999997</v>
      </c>
      <c r="I596">
        <v>10</v>
      </c>
      <c r="J596">
        <f t="shared" si="29"/>
        <v>230.48099999999999</v>
      </c>
      <c r="K596" t="s">
        <v>2024</v>
      </c>
      <c r="L596" t="str">
        <f>_xlfn.XLOOKUP(Orders[[#This Row],[ProductID]],Products!A:A,Products!C:C)</f>
        <v>Clothing</v>
      </c>
    </row>
    <row r="597" spans="1:12" x14ac:dyDescent="0.3">
      <c r="A597">
        <v>596</v>
      </c>
      <c r="B597">
        <v>596</v>
      </c>
      <c r="C597">
        <v>71</v>
      </c>
      <c r="D597" t="s">
        <v>838</v>
      </c>
      <c r="E597">
        <f t="shared" si="27"/>
        <v>2023</v>
      </c>
      <c r="F597" t="str">
        <f t="shared" si="28"/>
        <v>Mar</v>
      </c>
      <c r="G597">
        <v>1</v>
      </c>
      <c r="H597">
        <f>_xlfn.XLOOKUP(C597,Products!A:A,Products!D:D)</f>
        <v>780.27</v>
      </c>
      <c r="I597">
        <v>5</v>
      </c>
      <c r="J597">
        <f t="shared" si="29"/>
        <v>741.25649999999996</v>
      </c>
      <c r="K597" t="s">
        <v>2019</v>
      </c>
      <c r="L597" t="str">
        <f>_xlfn.XLOOKUP(Orders[[#This Row],[ProductID]],Products!A:A,Products!C:C)</f>
        <v>Electronics</v>
      </c>
    </row>
    <row r="598" spans="1:12" x14ac:dyDescent="0.3">
      <c r="A598">
        <v>597</v>
      </c>
      <c r="B598">
        <v>597</v>
      </c>
      <c r="C598">
        <v>69</v>
      </c>
      <c r="D598" t="s">
        <v>234</v>
      </c>
      <c r="E598">
        <f t="shared" si="27"/>
        <v>2023</v>
      </c>
      <c r="F598" t="str">
        <f t="shared" si="28"/>
        <v>May</v>
      </c>
      <c r="G598">
        <v>2</v>
      </c>
      <c r="H598">
        <f>_xlfn.XLOOKUP(C598,Products!A:A,Products!D:D)</f>
        <v>951.81</v>
      </c>
      <c r="I598">
        <v>0</v>
      </c>
      <c r="J598">
        <f t="shared" si="29"/>
        <v>1903.62</v>
      </c>
      <c r="K598" t="s">
        <v>2021</v>
      </c>
      <c r="L598" t="str">
        <f>_xlfn.XLOOKUP(Orders[[#This Row],[ProductID]],Products!A:A,Products!C:C)</f>
        <v>Clothing</v>
      </c>
    </row>
    <row r="599" spans="1:12" x14ac:dyDescent="0.3">
      <c r="A599">
        <v>598</v>
      </c>
      <c r="B599">
        <v>598</v>
      </c>
      <c r="C599">
        <v>36</v>
      </c>
      <c r="D599" t="s">
        <v>2181</v>
      </c>
      <c r="E599">
        <f t="shared" si="27"/>
        <v>2024</v>
      </c>
      <c r="F599" t="str">
        <f t="shared" si="28"/>
        <v>Apr</v>
      </c>
      <c r="G599">
        <v>1</v>
      </c>
      <c r="H599">
        <f>_xlfn.XLOOKUP(C599,Products!A:A,Products!D:D)</f>
        <v>992.01</v>
      </c>
      <c r="I599">
        <v>10</v>
      </c>
      <c r="J599">
        <f t="shared" si="29"/>
        <v>892.80899999999997</v>
      </c>
      <c r="K599" t="s">
        <v>2019</v>
      </c>
      <c r="L599" t="str">
        <f>_xlfn.XLOOKUP(Orders[[#This Row],[ProductID]],Products!A:A,Products!C:C)</f>
        <v>Beauty</v>
      </c>
    </row>
    <row r="600" spans="1:12" x14ac:dyDescent="0.3">
      <c r="A600">
        <v>599</v>
      </c>
      <c r="B600">
        <v>599</v>
      </c>
      <c r="C600">
        <v>32</v>
      </c>
      <c r="D600" t="s">
        <v>2057</v>
      </c>
      <c r="E600">
        <f t="shared" si="27"/>
        <v>2024</v>
      </c>
      <c r="F600" t="str">
        <f t="shared" si="28"/>
        <v>Feb</v>
      </c>
      <c r="G600">
        <v>1</v>
      </c>
      <c r="H600">
        <f>_xlfn.XLOOKUP(C600,Products!A:A,Products!D:D)</f>
        <v>342.57</v>
      </c>
      <c r="I600">
        <v>20</v>
      </c>
      <c r="J600">
        <f t="shared" si="29"/>
        <v>274.05599999999998</v>
      </c>
      <c r="K600" t="s">
        <v>2019</v>
      </c>
      <c r="L600" t="str">
        <f>_xlfn.XLOOKUP(Orders[[#This Row],[ProductID]],Products!A:A,Products!C:C)</f>
        <v>Clothing</v>
      </c>
    </row>
    <row r="601" spans="1:12" x14ac:dyDescent="0.3">
      <c r="A601">
        <v>600</v>
      </c>
      <c r="B601">
        <v>600</v>
      </c>
      <c r="C601">
        <v>1</v>
      </c>
      <c r="D601" t="s">
        <v>2112</v>
      </c>
      <c r="E601">
        <f t="shared" si="27"/>
        <v>2023</v>
      </c>
      <c r="F601" t="str">
        <f t="shared" si="28"/>
        <v>Nov</v>
      </c>
      <c r="G601">
        <v>2</v>
      </c>
      <c r="H601">
        <f>_xlfn.XLOOKUP(C601,Products!A:A,Products!D:D)</f>
        <v>469.08</v>
      </c>
      <c r="I601">
        <v>20</v>
      </c>
      <c r="J601">
        <f t="shared" si="29"/>
        <v>750.52800000000002</v>
      </c>
      <c r="K601" t="s">
        <v>2024</v>
      </c>
      <c r="L601" t="str">
        <f>_xlfn.XLOOKUP(Orders[[#This Row],[ProductID]],Products!A:A,Products!C:C)</f>
        <v>Clothing</v>
      </c>
    </row>
    <row r="602" spans="1:12" x14ac:dyDescent="0.3">
      <c r="A602">
        <v>601</v>
      </c>
      <c r="B602">
        <v>601</v>
      </c>
      <c r="C602">
        <v>42</v>
      </c>
      <c r="D602" t="s">
        <v>1658</v>
      </c>
      <c r="E602">
        <f t="shared" si="27"/>
        <v>2023</v>
      </c>
      <c r="F602" t="str">
        <f t="shared" si="28"/>
        <v>Feb</v>
      </c>
      <c r="G602">
        <v>3</v>
      </c>
      <c r="H602">
        <f>_xlfn.XLOOKUP(C602,Products!A:A,Products!D:D)</f>
        <v>233.11</v>
      </c>
      <c r="I602">
        <v>20</v>
      </c>
      <c r="J602">
        <f t="shared" si="29"/>
        <v>559.46400000000006</v>
      </c>
      <c r="K602" t="s">
        <v>2024</v>
      </c>
      <c r="L602" t="str">
        <f>_xlfn.XLOOKUP(Orders[[#This Row],[ProductID]],Products!A:A,Products!C:C)</f>
        <v>Home</v>
      </c>
    </row>
    <row r="603" spans="1:12" x14ac:dyDescent="0.3">
      <c r="A603">
        <v>602</v>
      </c>
      <c r="B603">
        <v>602</v>
      </c>
      <c r="C603">
        <v>18</v>
      </c>
      <c r="D603" t="s">
        <v>2113</v>
      </c>
      <c r="E603">
        <f t="shared" si="27"/>
        <v>2023</v>
      </c>
      <c r="F603" t="str">
        <f t="shared" si="28"/>
        <v>Jul</v>
      </c>
      <c r="G603">
        <v>3</v>
      </c>
      <c r="H603">
        <f>_xlfn.XLOOKUP(C603,Products!A:A,Products!D:D)</f>
        <v>138.07</v>
      </c>
      <c r="I603">
        <v>10</v>
      </c>
      <c r="J603">
        <f t="shared" si="29"/>
        <v>372.78899999999999</v>
      </c>
      <c r="K603" t="s">
        <v>2024</v>
      </c>
      <c r="L603" t="str">
        <f>_xlfn.XLOOKUP(Orders[[#This Row],[ProductID]],Products!A:A,Products!C:C)</f>
        <v>Home</v>
      </c>
    </row>
    <row r="604" spans="1:12" x14ac:dyDescent="0.3">
      <c r="A604">
        <v>603</v>
      </c>
      <c r="B604">
        <v>603</v>
      </c>
      <c r="C604">
        <v>8</v>
      </c>
      <c r="D604" t="s">
        <v>2100</v>
      </c>
      <c r="E604">
        <f t="shared" si="27"/>
        <v>2023</v>
      </c>
      <c r="F604" t="str">
        <f t="shared" si="28"/>
        <v>Nov</v>
      </c>
      <c r="G604">
        <v>1</v>
      </c>
      <c r="H604">
        <f>_xlfn.XLOOKUP(C604,Products!A:A,Products!D:D)</f>
        <v>155.08000000000001</v>
      </c>
      <c r="I604">
        <v>10</v>
      </c>
      <c r="J604">
        <f t="shared" si="29"/>
        <v>139.572</v>
      </c>
      <c r="K604" t="s">
        <v>2021</v>
      </c>
      <c r="L604" t="str">
        <f>_xlfn.XLOOKUP(Orders[[#This Row],[ProductID]],Products!A:A,Products!C:C)</f>
        <v>Clothing</v>
      </c>
    </row>
    <row r="605" spans="1:12" x14ac:dyDescent="0.3">
      <c r="A605">
        <v>604</v>
      </c>
      <c r="B605">
        <v>604</v>
      </c>
      <c r="C605">
        <v>36</v>
      </c>
      <c r="D605" t="s">
        <v>2088</v>
      </c>
      <c r="E605">
        <f t="shared" si="27"/>
        <v>2023</v>
      </c>
      <c r="F605" t="str">
        <f t="shared" si="28"/>
        <v>Apr</v>
      </c>
      <c r="G605">
        <v>2</v>
      </c>
      <c r="H605">
        <f>_xlfn.XLOOKUP(C605,Products!A:A,Products!D:D)</f>
        <v>992.01</v>
      </c>
      <c r="I605">
        <v>0</v>
      </c>
      <c r="J605">
        <f t="shared" si="29"/>
        <v>1984.02</v>
      </c>
      <c r="K605" t="s">
        <v>2015</v>
      </c>
      <c r="L605" t="str">
        <f>_xlfn.XLOOKUP(Orders[[#This Row],[ProductID]],Products!A:A,Products!C:C)</f>
        <v>Beauty</v>
      </c>
    </row>
    <row r="606" spans="1:12" x14ac:dyDescent="0.3">
      <c r="A606">
        <v>605</v>
      </c>
      <c r="B606">
        <v>605</v>
      </c>
      <c r="C606">
        <v>75</v>
      </c>
      <c r="D606" t="s">
        <v>719</v>
      </c>
      <c r="E606">
        <f t="shared" si="27"/>
        <v>2023</v>
      </c>
      <c r="F606" t="str">
        <f t="shared" si="28"/>
        <v>Feb</v>
      </c>
      <c r="G606">
        <v>3</v>
      </c>
      <c r="H606">
        <f>_xlfn.XLOOKUP(C606,Products!A:A,Products!D:D)</f>
        <v>390.41</v>
      </c>
      <c r="I606">
        <v>15</v>
      </c>
      <c r="J606">
        <f t="shared" si="29"/>
        <v>995.54549999999995</v>
      </c>
      <c r="K606" t="s">
        <v>2024</v>
      </c>
      <c r="L606" t="str">
        <f>_xlfn.XLOOKUP(Orders[[#This Row],[ProductID]],Products!A:A,Products!C:C)</f>
        <v>Electronics</v>
      </c>
    </row>
    <row r="607" spans="1:12" x14ac:dyDescent="0.3">
      <c r="A607">
        <v>606</v>
      </c>
      <c r="B607">
        <v>606</v>
      </c>
      <c r="C607">
        <v>78</v>
      </c>
      <c r="D607" t="s">
        <v>1032</v>
      </c>
      <c r="E607">
        <f t="shared" si="27"/>
        <v>2023</v>
      </c>
      <c r="F607" t="str">
        <f t="shared" si="28"/>
        <v>Oct</v>
      </c>
      <c r="G607">
        <v>1</v>
      </c>
      <c r="H607">
        <f>_xlfn.XLOOKUP(C607,Products!A:A,Products!D:D)</f>
        <v>795.77</v>
      </c>
      <c r="I607">
        <v>15</v>
      </c>
      <c r="J607">
        <f t="shared" si="29"/>
        <v>676.40449999999998</v>
      </c>
      <c r="K607" t="s">
        <v>2021</v>
      </c>
      <c r="L607" t="str">
        <f>_xlfn.XLOOKUP(Orders[[#This Row],[ProductID]],Products!A:A,Products!C:C)</f>
        <v>Beauty</v>
      </c>
    </row>
    <row r="608" spans="1:12" x14ac:dyDescent="0.3">
      <c r="A608">
        <v>607</v>
      </c>
      <c r="B608">
        <v>607</v>
      </c>
      <c r="C608">
        <v>42</v>
      </c>
      <c r="D608" t="s">
        <v>1803</v>
      </c>
      <c r="E608">
        <f t="shared" si="27"/>
        <v>2023</v>
      </c>
      <c r="F608" t="str">
        <f t="shared" si="28"/>
        <v>May</v>
      </c>
      <c r="G608">
        <v>1</v>
      </c>
      <c r="H608">
        <f>_xlfn.XLOOKUP(C608,Products!A:A,Products!D:D)</f>
        <v>233.11</v>
      </c>
      <c r="I608">
        <v>20</v>
      </c>
      <c r="J608">
        <f t="shared" si="29"/>
        <v>186.48800000000003</v>
      </c>
      <c r="K608" t="s">
        <v>2017</v>
      </c>
      <c r="L608" t="str">
        <f>_xlfn.XLOOKUP(Orders[[#This Row],[ProductID]],Products!A:A,Products!C:C)</f>
        <v>Home</v>
      </c>
    </row>
    <row r="609" spans="1:12" x14ac:dyDescent="0.3">
      <c r="A609">
        <v>608</v>
      </c>
      <c r="B609">
        <v>608</v>
      </c>
      <c r="C609">
        <v>20</v>
      </c>
      <c r="D609" t="s">
        <v>1816</v>
      </c>
      <c r="E609">
        <f t="shared" si="27"/>
        <v>2023</v>
      </c>
      <c r="F609" t="str">
        <f t="shared" si="28"/>
        <v>Aug</v>
      </c>
      <c r="G609">
        <v>1</v>
      </c>
      <c r="H609">
        <f>_xlfn.XLOOKUP(C609,Products!A:A,Products!D:D)</f>
        <v>613.27</v>
      </c>
      <c r="I609">
        <v>15</v>
      </c>
      <c r="J609">
        <f t="shared" si="29"/>
        <v>521.27949999999998</v>
      </c>
      <c r="K609" t="s">
        <v>2024</v>
      </c>
      <c r="L609" t="str">
        <f>_xlfn.XLOOKUP(Orders[[#This Row],[ProductID]],Products!A:A,Products!C:C)</f>
        <v>Home</v>
      </c>
    </row>
    <row r="610" spans="1:12" x14ac:dyDescent="0.3">
      <c r="A610">
        <v>609</v>
      </c>
      <c r="B610">
        <v>609</v>
      </c>
      <c r="C610">
        <v>19</v>
      </c>
      <c r="D610" t="s">
        <v>2085</v>
      </c>
      <c r="E610">
        <f t="shared" si="27"/>
        <v>2024</v>
      </c>
      <c r="F610" t="str">
        <f t="shared" si="28"/>
        <v>Apr</v>
      </c>
      <c r="G610">
        <v>2</v>
      </c>
      <c r="H610">
        <f>_xlfn.XLOOKUP(C610,Products!A:A,Products!D:D)</f>
        <v>262.97000000000003</v>
      </c>
      <c r="I610">
        <v>0</v>
      </c>
      <c r="J610">
        <f t="shared" si="29"/>
        <v>525.94000000000005</v>
      </c>
      <c r="K610" t="s">
        <v>2017</v>
      </c>
      <c r="L610" t="str">
        <f>_xlfn.XLOOKUP(Orders[[#This Row],[ProductID]],Products!A:A,Products!C:C)</f>
        <v>Beauty</v>
      </c>
    </row>
    <row r="611" spans="1:12" x14ac:dyDescent="0.3">
      <c r="A611">
        <v>610</v>
      </c>
      <c r="B611">
        <v>610</v>
      </c>
      <c r="C611">
        <v>24</v>
      </c>
      <c r="D611" t="s">
        <v>505</v>
      </c>
      <c r="E611">
        <f t="shared" si="27"/>
        <v>2023</v>
      </c>
      <c r="F611" t="str">
        <f t="shared" si="28"/>
        <v>Aug</v>
      </c>
      <c r="G611">
        <v>1</v>
      </c>
      <c r="H611">
        <f>_xlfn.XLOOKUP(C611,Products!A:A,Products!D:D)</f>
        <v>1019.85</v>
      </c>
      <c r="I611">
        <v>5</v>
      </c>
      <c r="J611">
        <f t="shared" si="29"/>
        <v>968.85749999999996</v>
      </c>
      <c r="K611" t="s">
        <v>2021</v>
      </c>
      <c r="L611" t="str">
        <f>_xlfn.XLOOKUP(Orders[[#This Row],[ProductID]],Products!A:A,Products!C:C)</f>
        <v>Beauty</v>
      </c>
    </row>
    <row r="612" spans="1:12" x14ac:dyDescent="0.3">
      <c r="A612">
        <v>611</v>
      </c>
      <c r="B612">
        <v>611</v>
      </c>
      <c r="C612">
        <v>73</v>
      </c>
      <c r="D612" t="s">
        <v>16</v>
      </c>
      <c r="E612">
        <f t="shared" si="27"/>
        <v>2023</v>
      </c>
      <c r="F612" t="str">
        <f t="shared" si="28"/>
        <v>Sep</v>
      </c>
      <c r="G612">
        <v>3</v>
      </c>
      <c r="H612">
        <f>_xlfn.XLOOKUP(C612,Products!A:A,Products!D:D)</f>
        <v>943.04</v>
      </c>
      <c r="I612">
        <v>5</v>
      </c>
      <c r="J612">
        <f t="shared" si="29"/>
        <v>2687.6639999999998</v>
      </c>
      <c r="K612" t="s">
        <v>2024</v>
      </c>
      <c r="L612" t="str">
        <f>_xlfn.XLOOKUP(Orders[[#This Row],[ProductID]],Products!A:A,Products!C:C)</f>
        <v>Home</v>
      </c>
    </row>
    <row r="613" spans="1:12" x14ac:dyDescent="0.3">
      <c r="A613">
        <v>612</v>
      </c>
      <c r="B613">
        <v>612</v>
      </c>
      <c r="C613">
        <v>3</v>
      </c>
      <c r="D613" t="s">
        <v>1350</v>
      </c>
      <c r="E613">
        <f t="shared" si="27"/>
        <v>2023</v>
      </c>
      <c r="F613" t="str">
        <f t="shared" si="28"/>
        <v>Jun</v>
      </c>
      <c r="G613">
        <v>1</v>
      </c>
      <c r="H613">
        <f>_xlfn.XLOOKUP(C613,Products!A:A,Products!D:D)</f>
        <v>506.08</v>
      </c>
      <c r="I613">
        <v>5</v>
      </c>
      <c r="J613">
        <f t="shared" si="29"/>
        <v>480.77599999999995</v>
      </c>
      <c r="K613" t="s">
        <v>2017</v>
      </c>
      <c r="L613" t="str">
        <f>_xlfn.XLOOKUP(Orders[[#This Row],[ProductID]],Products!A:A,Products!C:C)</f>
        <v>Clothing</v>
      </c>
    </row>
    <row r="614" spans="1:12" x14ac:dyDescent="0.3">
      <c r="A614">
        <v>613</v>
      </c>
      <c r="B614">
        <v>613</v>
      </c>
      <c r="C614">
        <v>78</v>
      </c>
      <c r="D614" t="s">
        <v>606</v>
      </c>
      <c r="E614">
        <f t="shared" si="27"/>
        <v>2023</v>
      </c>
      <c r="F614" t="str">
        <f t="shared" si="28"/>
        <v>Apr</v>
      </c>
      <c r="G614">
        <v>1</v>
      </c>
      <c r="H614">
        <f>_xlfn.XLOOKUP(C614,Products!A:A,Products!D:D)</f>
        <v>795.77</v>
      </c>
      <c r="I614">
        <v>5</v>
      </c>
      <c r="J614">
        <f t="shared" si="29"/>
        <v>755.98149999999998</v>
      </c>
      <c r="K614" t="s">
        <v>2019</v>
      </c>
      <c r="L614" t="str">
        <f>_xlfn.XLOOKUP(Orders[[#This Row],[ProductID]],Products!A:A,Products!C:C)</f>
        <v>Beauty</v>
      </c>
    </row>
    <row r="615" spans="1:12" x14ac:dyDescent="0.3">
      <c r="A615">
        <v>614</v>
      </c>
      <c r="B615">
        <v>614</v>
      </c>
      <c r="C615">
        <v>55</v>
      </c>
      <c r="D615" t="s">
        <v>673</v>
      </c>
      <c r="E615">
        <f t="shared" si="27"/>
        <v>2023</v>
      </c>
      <c r="F615" t="str">
        <f t="shared" si="28"/>
        <v>May</v>
      </c>
      <c r="G615">
        <v>2</v>
      </c>
      <c r="H615">
        <f>_xlfn.XLOOKUP(C615,Products!A:A,Products!D:D)</f>
        <v>1016.06</v>
      </c>
      <c r="I615">
        <v>15</v>
      </c>
      <c r="J615">
        <f t="shared" si="29"/>
        <v>1727.3019999999999</v>
      </c>
      <c r="K615" t="s">
        <v>2019</v>
      </c>
      <c r="L615" t="str">
        <f>_xlfn.XLOOKUP(Orders[[#This Row],[ProductID]],Products!A:A,Products!C:C)</f>
        <v>Clothing</v>
      </c>
    </row>
    <row r="616" spans="1:12" x14ac:dyDescent="0.3">
      <c r="A616">
        <v>615</v>
      </c>
      <c r="B616">
        <v>615</v>
      </c>
      <c r="C616">
        <v>68</v>
      </c>
      <c r="D616" t="s">
        <v>331</v>
      </c>
      <c r="E616">
        <f t="shared" si="27"/>
        <v>2023</v>
      </c>
      <c r="F616" t="str">
        <f t="shared" si="28"/>
        <v>Mar</v>
      </c>
      <c r="G616">
        <v>3</v>
      </c>
      <c r="H616">
        <f>_xlfn.XLOOKUP(C616,Products!A:A,Products!D:D)</f>
        <v>180.99</v>
      </c>
      <c r="I616">
        <v>0</v>
      </c>
      <c r="J616">
        <f t="shared" si="29"/>
        <v>542.97</v>
      </c>
      <c r="K616" t="s">
        <v>2015</v>
      </c>
      <c r="L616" t="str">
        <f>_xlfn.XLOOKUP(Orders[[#This Row],[ProductID]],Products!A:A,Products!C:C)</f>
        <v>Clothing</v>
      </c>
    </row>
    <row r="617" spans="1:12" x14ac:dyDescent="0.3">
      <c r="A617">
        <v>616</v>
      </c>
      <c r="B617">
        <v>616</v>
      </c>
      <c r="C617">
        <v>13</v>
      </c>
      <c r="D617" t="s">
        <v>1593</v>
      </c>
      <c r="E617">
        <f t="shared" si="27"/>
        <v>2023</v>
      </c>
      <c r="F617" t="str">
        <f t="shared" si="28"/>
        <v>Jul</v>
      </c>
      <c r="G617">
        <v>2</v>
      </c>
      <c r="H617">
        <f>_xlfn.XLOOKUP(C617,Products!A:A,Products!D:D)</f>
        <v>334.61</v>
      </c>
      <c r="I617">
        <v>0</v>
      </c>
      <c r="J617">
        <f t="shared" si="29"/>
        <v>669.22</v>
      </c>
      <c r="K617" t="s">
        <v>2019</v>
      </c>
      <c r="L617" t="str">
        <f>_xlfn.XLOOKUP(Orders[[#This Row],[ProductID]],Products!A:A,Products!C:C)</f>
        <v>Home</v>
      </c>
    </row>
    <row r="618" spans="1:12" x14ac:dyDescent="0.3">
      <c r="A618">
        <v>617</v>
      </c>
      <c r="B618">
        <v>617</v>
      </c>
      <c r="C618">
        <v>2</v>
      </c>
      <c r="D618" t="s">
        <v>2127</v>
      </c>
      <c r="E618">
        <f t="shared" si="27"/>
        <v>2024</v>
      </c>
      <c r="F618" t="str">
        <f t="shared" si="28"/>
        <v>Jan</v>
      </c>
      <c r="G618">
        <v>3</v>
      </c>
      <c r="H618">
        <f>_xlfn.XLOOKUP(C618,Products!A:A,Products!D:D)</f>
        <v>427.27</v>
      </c>
      <c r="I618">
        <v>0</v>
      </c>
      <c r="J618">
        <f t="shared" si="29"/>
        <v>1281.81</v>
      </c>
      <c r="K618" t="s">
        <v>2021</v>
      </c>
      <c r="L618" t="str">
        <f>_xlfn.XLOOKUP(Orders[[#This Row],[ProductID]],Products!A:A,Products!C:C)</f>
        <v>Home</v>
      </c>
    </row>
    <row r="619" spans="1:12" x14ac:dyDescent="0.3">
      <c r="A619">
        <v>618</v>
      </c>
      <c r="B619">
        <v>618</v>
      </c>
      <c r="C619">
        <v>32</v>
      </c>
      <c r="D619" t="s">
        <v>2115</v>
      </c>
      <c r="E619">
        <f t="shared" si="27"/>
        <v>2024</v>
      </c>
      <c r="F619" t="str">
        <f t="shared" si="28"/>
        <v>Jan</v>
      </c>
      <c r="G619">
        <v>1</v>
      </c>
      <c r="H619">
        <f>_xlfn.XLOOKUP(C619,Products!A:A,Products!D:D)</f>
        <v>342.57</v>
      </c>
      <c r="I619">
        <v>10</v>
      </c>
      <c r="J619">
        <f t="shared" si="29"/>
        <v>308.31299999999999</v>
      </c>
      <c r="K619" t="s">
        <v>2021</v>
      </c>
      <c r="L619" t="str">
        <f>_xlfn.XLOOKUP(Orders[[#This Row],[ProductID]],Products!A:A,Products!C:C)</f>
        <v>Clothing</v>
      </c>
    </row>
    <row r="620" spans="1:12" x14ac:dyDescent="0.3">
      <c r="A620">
        <v>619</v>
      </c>
      <c r="B620">
        <v>619</v>
      </c>
      <c r="C620">
        <v>77</v>
      </c>
      <c r="D620" t="s">
        <v>625</v>
      </c>
      <c r="E620">
        <f t="shared" si="27"/>
        <v>2023</v>
      </c>
      <c r="F620" t="str">
        <f t="shared" si="28"/>
        <v>Jan</v>
      </c>
      <c r="G620">
        <v>1</v>
      </c>
      <c r="H620">
        <f>_xlfn.XLOOKUP(C620,Products!A:A,Products!D:D)</f>
        <v>1078.19</v>
      </c>
      <c r="I620">
        <v>0</v>
      </c>
      <c r="J620">
        <f t="shared" si="29"/>
        <v>1078.19</v>
      </c>
      <c r="K620" t="s">
        <v>2015</v>
      </c>
      <c r="L620" t="str">
        <f>_xlfn.XLOOKUP(Orders[[#This Row],[ProductID]],Products!A:A,Products!C:C)</f>
        <v>Home</v>
      </c>
    </row>
    <row r="621" spans="1:12" x14ac:dyDescent="0.3">
      <c r="A621">
        <v>620</v>
      </c>
      <c r="B621">
        <v>620</v>
      </c>
      <c r="C621">
        <v>44</v>
      </c>
      <c r="D621" t="s">
        <v>2106</v>
      </c>
      <c r="E621">
        <f t="shared" si="27"/>
        <v>2024</v>
      </c>
      <c r="F621" t="str">
        <f t="shared" si="28"/>
        <v>Mar</v>
      </c>
      <c r="G621">
        <v>3</v>
      </c>
      <c r="H621">
        <f>_xlfn.XLOOKUP(C621,Products!A:A,Products!D:D)</f>
        <v>1038</v>
      </c>
      <c r="I621">
        <v>0</v>
      </c>
      <c r="J621">
        <f t="shared" si="29"/>
        <v>3114</v>
      </c>
      <c r="K621" t="s">
        <v>2021</v>
      </c>
      <c r="L621" t="str">
        <f>_xlfn.XLOOKUP(Orders[[#This Row],[ProductID]],Products!A:A,Products!C:C)</f>
        <v>Home</v>
      </c>
    </row>
    <row r="622" spans="1:12" x14ac:dyDescent="0.3">
      <c r="A622">
        <v>621</v>
      </c>
      <c r="B622">
        <v>621</v>
      </c>
      <c r="C622">
        <v>18</v>
      </c>
      <c r="D622" t="s">
        <v>1009</v>
      </c>
      <c r="E622">
        <f t="shared" si="27"/>
        <v>2023</v>
      </c>
      <c r="F622" t="str">
        <f t="shared" si="28"/>
        <v>Sep</v>
      </c>
      <c r="G622">
        <v>3</v>
      </c>
      <c r="H622">
        <f>_xlfn.XLOOKUP(C622,Products!A:A,Products!D:D)</f>
        <v>138.07</v>
      </c>
      <c r="I622">
        <v>15</v>
      </c>
      <c r="J622">
        <f t="shared" si="29"/>
        <v>352.07849999999996</v>
      </c>
      <c r="K622" t="s">
        <v>2021</v>
      </c>
      <c r="L622" t="str">
        <f>_xlfn.XLOOKUP(Orders[[#This Row],[ProductID]],Products!A:A,Products!C:C)</f>
        <v>Home</v>
      </c>
    </row>
    <row r="623" spans="1:12" x14ac:dyDescent="0.3">
      <c r="A623">
        <v>622</v>
      </c>
      <c r="B623">
        <v>622</v>
      </c>
      <c r="C623">
        <v>40</v>
      </c>
      <c r="D623" t="s">
        <v>1323</v>
      </c>
      <c r="E623">
        <f t="shared" si="27"/>
        <v>2023</v>
      </c>
      <c r="F623" t="str">
        <f t="shared" si="28"/>
        <v>Jun</v>
      </c>
      <c r="G623">
        <v>2</v>
      </c>
      <c r="H623">
        <f>_xlfn.XLOOKUP(C623,Products!A:A,Products!D:D)</f>
        <v>316.49</v>
      </c>
      <c r="I623">
        <v>5</v>
      </c>
      <c r="J623">
        <f t="shared" si="29"/>
        <v>601.33100000000002</v>
      </c>
      <c r="K623" t="s">
        <v>2021</v>
      </c>
      <c r="L623" t="str">
        <f>_xlfn.XLOOKUP(Orders[[#This Row],[ProductID]],Products!A:A,Products!C:C)</f>
        <v>Home</v>
      </c>
    </row>
    <row r="624" spans="1:12" x14ac:dyDescent="0.3">
      <c r="A624">
        <v>623</v>
      </c>
      <c r="B624">
        <v>623</v>
      </c>
      <c r="C624">
        <v>8</v>
      </c>
      <c r="D624" t="s">
        <v>1071</v>
      </c>
      <c r="E624">
        <f t="shared" si="27"/>
        <v>2023</v>
      </c>
      <c r="F624" t="str">
        <f t="shared" si="28"/>
        <v>Oct</v>
      </c>
      <c r="G624">
        <v>3</v>
      </c>
      <c r="H624">
        <f>_xlfn.XLOOKUP(C624,Products!A:A,Products!D:D)</f>
        <v>155.08000000000001</v>
      </c>
      <c r="I624">
        <v>10</v>
      </c>
      <c r="J624">
        <f t="shared" si="29"/>
        <v>418.71600000000001</v>
      </c>
      <c r="K624" t="s">
        <v>2015</v>
      </c>
      <c r="L624" t="str">
        <f>_xlfn.XLOOKUP(Orders[[#This Row],[ProductID]],Products!A:A,Products!C:C)</f>
        <v>Clothing</v>
      </c>
    </row>
    <row r="625" spans="1:12" x14ac:dyDescent="0.3">
      <c r="A625">
        <v>624</v>
      </c>
      <c r="B625">
        <v>624</v>
      </c>
      <c r="C625">
        <v>16</v>
      </c>
      <c r="D625" t="s">
        <v>2048</v>
      </c>
      <c r="E625">
        <f t="shared" si="27"/>
        <v>2023</v>
      </c>
      <c r="F625" t="str">
        <f t="shared" si="28"/>
        <v>Jan</v>
      </c>
      <c r="G625">
        <v>1</v>
      </c>
      <c r="H625">
        <f>_xlfn.XLOOKUP(C625,Products!A:A,Products!D:D)</f>
        <v>693.02</v>
      </c>
      <c r="I625">
        <v>0</v>
      </c>
      <c r="J625">
        <f t="shared" si="29"/>
        <v>693.02</v>
      </c>
      <c r="K625" t="s">
        <v>2015</v>
      </c>
      <c r="L625" t="str">
        <f>_xlfn.XLOOKUP(Orders[[#This Row],[ProductID]],Products!A:A,Products!C:C)</f>
        <v>Home</v>
      </c>
    </row>
    <row r="626" spans="1:12" x14ac:dyDescent="0.3">
      <c r="A626">
        <v>625</v>
      </c>
      <c r="B626">
        <v>625</v>
      </c>
      <c r="C626">
        <v>38</v>
      </c>
      <c r="D626" t="s">
        <v>1382</v>
      </c>
      <c r="E626">
        <f t="shared" si="27"/>
        <v>2023</v>
      </c>
      <c r="F626" t="str">
        <f t="shared" si="28"/>
        <v>Feb</v>
      </c>
      <c r="G626">
        <v>3</v>
      </c>
      <c r="H626">
        <f>_xlfn.XLOOKUP(C626,Products!A:A,Products!D:D)</f>
        <v>802.88</v>
      </c>
      <c r="I626">
        <v>15</v>
      </c>
      <c r="J626">
        <f t="shared" si="29"/>
        <v>2047.3439999999998</v>
      </c>
      <c r="K626" t="s">
        <v>2021</v>
      </c>
      <c r="L626" t="str">
        <f>_xlfn.XLOOKUP(Orders[[#This Row],[ProductID]],Products!A:A,Products!C:C)</f>
        <v>Home</v>
      </c>
    </row>
    <row r="627" spans="1:12" x14ac:dyDescent="0.3">
      <c r="A627">
        <v>626</v>
      </c>
      <c r="B627">
        <v>626</v>
      </c>
      <c r="C627">
        <v>1</v>
      </c>
      <c r="D627" t="s">
        <v>2182</v>
      </c>
      <c r="E627">
        <f t="shared" si="27"/>
        <v>2024</v>
      </c>
      <c r="F627" t="str">
        <f t="shared" si="28"/>
        <v>Apr</v>
      </c>
      <c r="G627">
        <v>1</v>
      </c>
      <c r="H627">
        <f>_xlfn.XLOOKUP(C627,Products!A:A,Products!D:D)</f>
        <v>469.08</v>
      </c>
      <c r="I627">
        <v>0</v>
      </c>
      <c r="J627">
        <f t="shared" si="29"/>
        <v>469.08</v>
      </c>
      <c r="K627" t="s">
        <v>2021</v>
      </c>
      <c r="L627" t="str">
        <f>_xlfn.XLOOKUP(Orders[[#This Row],[ProductID]],Products!A:A,Products!C:C)</f>
        <v>Clothing</v>
      </c>
    </row>
    <row r="628" spans="1:12" x14ac:dyDescent="0.3">
      <c r="A628">
        <v>627</v>
      </c>
      <c r="B628">
        <v>627</v>
      </c>
      <c r="C628">
        <v>55</v>
      </c>
      <c r="D628" t="s">
        <v>401</v>
      </c>
      <c r="E628">
        <f t="shared" si="27"/>
        <v>2023</v>
      </c>
      <c r="F628" t="str">
        <f t="shared" si="28"/>
        <v>Jul</v>
      </c>
      <c r="G628">
        <v>1</v>
      </c>
      <c r="H628">
        <f>_xlfn.XLOOKUP(C628,Products!A:A,Products!D:D)</f>
        <v>1016.06</v>
      </c>
      <c r="I628">
        <v>10</v>
      </c>
      <c r="J628">
        <f t="shared" si="29"/>
        <v>914.45399999999995</v>
      </c>
      <c r="K628" t="s">
        <v>2024</v>
      </c>
      <c r="L628" t="str">
        <f>_xlfn.XLOOKUP(Orders[[#This Row],[ProductID]],Products!A:A,Products!C:C)</f>
        <v>Clothing</v>
      </c>
    </row>
    <row r="629" spans="1:12" x14ac:dyDescent="0.3">
      <c r="A629">
        <v>628</v>
      </c>
      <c r="B629">
        <v>628</v>
      </c>
      <c r="C629">
        <v>29</v>
      </c>
      <c r="D629" t="s">
        <v>2183</v>
      </c>
      <c r="E629">
        <f t="shared" si="27"/>
        <v>2024</v>
      </c>
      <c r="F629" t="str">
        <f t="shared" si="28"/>
        <v>Apr</v>
      </c>
      <c r="G629">
        <v>3</v>
      </c>
      <c r="H629">
        <f>_xlfn.XLOOKUP(C629,Products!A:A,Products!D:D)</f>
        <v>757</v>
      </c>
      <c r="I629">
        <v>15</v>
      </c>
      <c r="J629">
        <f t="shared" si="29"/>
        <v>1930.35</v>
      </c>
      <c r="K629" t="s">
        <v>2019</v>
      </c>
      <c r="L629" t="str">
        <f>_xlfn.XLOOKUP(Orders[[#This Row],[ProductID]],Products!A:A,Products!C:C)</f>
        <v>Clothing</v>
      </c>
    </row>
    <row r="630" spans="1:12" x14ac:dyDescent="0.3">
      <c r="A630">
        <v>629</v>
      </c>
      <c r="B630">
        <v>629</v>
      </c>
      <c r="C630">
        <v>63</v>
      </c>
      <c r="D630" t="s">
        <v>467</v>
      </c>
      <c r="E630">
        <f t="shared" si="27"/>
        <v>2023</v>
      </c>
      <c r="F630" t="str">
        <f t="shared" si="28"/>
        <v>Mar</v>
      </c>
      <c r="G630">
        <v>1</v>
      </c>
      <c r="H630">
        <f>_xlfn.XLOOKUP(C630,Products!A:A,Products!D:D)</f>
        <v>309.79000000000002</v>
      </c>
      <c r="I630">
        <v>5</v>
      </c>
      <c r="J630">
        <f t="shared" si="29"/>
        <v>294.3005</v>
      </c>
      <c r="K630" t="s">
        <v>2019</v>
      </c>
      <c r="L630" t="str">
        <f>_xlfn.XLOOKUP(Orders[[#This Row],[ProductID]],Products!A:A,Products!C:C)</f>
        <v>Electronics</v>
      </c>
    </row>
    <row r="631" spans="1:12" x14ac:dyDescent="0.3">
      <c r="A631">
        <v>630</v>
      </c>
      <c r="B631">
        <v>630</v>
      </c>
      <c r="C631">
        <v>37</v>
      </c>
      <c r="D631" t="s">
        <v>814</v>
      </c>
      <c r="E631">
        <f t="shared" si="27"/>
        <v>2023</v>
      </c>
      <c r="F631" t="str">
        <f t="shared" si="28"/>
        <v>Jul</v>
      </c>
      <c r="G631">
        <v>1</v>
      </c>
      <c r="H631">
        <f>_xlfn.XLOOKUP(C631,Products!A:A,Products!D:D)</f>
        <v>968.87</v>
      </c>
      <c r="I631">
        <v>20</v>
      </c>
      <c r="J631">
        <f t="shared" si="29"/>
        <v>775.096</v>
      </c>
      <c r="K631" t="s">
        <v>2024</v>
      </c>
      <c r="L631" t="str">
        <f>_xlfn.XLOOKUP(Orders[[#This Row],[ProductID]],Products!A:A,Products!C:C)</f>
        <v>Home</v>
      </c>
    </row>
    <row r="632" spans="1:12" x14ac:dyDescent="0.3">
      <c r="A632">
        <v>631</v>
      </c>
      <c r="B632">
        <v>631</v>
      </c>
      <c r="C632">
        <v>16</v>
      </c>
      <c r="D632" t="s">
        <v>757</v>
      </c>
      <c r="E632">
        <f t="shared" si="27"/>
        <v>2023</v>
      </c>
      <c r="F632" t="str">
        <f t="shared" si="28"/>
        <v>Jul</v>
      </c>
      <c r="G632">
        <v>1</v>
      </c>
      <c r="H632">
        <f>_xlfn.XLOOKUP(C632,Products!A:A,Products!D:D)</f>
        <v>693.02</v>
      </c>
      <c r="I632">
        <v>0</v>
      </c>
      <c r="J632">
        <f t="shared" si="29"/>
        <v>693.02</v>
      </c>
      <c r="K632" t="s">
        <v>2015</v>
      </c>
      <c r="L632" t="str">
        <f>_xlfn.XLOOKUP(Orders[[#This Row],[ProductID]],Products!A:A,Products!C:C)</f>
        <v>Home</v>
      </c>
    </row>
    <row r="633" spans="1:12" x14ac:dyDescent="0.3">
      <c r="A633">
        <v>632</v>
      </c>
      <c r="B633">
        <v>632</v>
      </c>
      <c r="C633">
        <v>20</v>
      </c>
      <c r="D633" t="s">
        <v>1133</v>
      </c>
      <c r="E633">
        <f t="shared" si="27"/>
        <v>2023</v>
      </c>
      <c r="F633" t="str">
        <f t="shared" si="28"/>
        <v>Apr</v>
      </c>
      <c r="G633">
        <v>2</v>
      </c>
      <c r="H633">
        <f>_xlfn.XLOOKUP(C633,Products!A:A,Products!D:D)</f>
        <v>613.27</v>
      </c>
      <c r="I633">
        <v>20</v>
      </c>
      <c r="J633">
        <f t="shared" si="29"/>
        <v>981.23199999999997</v>
      </c>
      <c r="K633" t="s">
        <v>2024</v>
      </c>
      <c r="L633" t="str">
        <f>_xlfn.XLOOKUP(Orders[[#This Row],[ProductID]],Products!A:A,Products!C:C)</f>
        <v>Home</v>
      </c>
    </row>
    <row r="634" spans="1:12" x14ac:dyDescent="0.3">
      <c r="A634">
        <v>633</v>
      </c>
      <c r="B634">
        <v>633</v>
      </c>
      <c r="C634">
        <v>77</v>
      </c>
      <c r="D634" t="s">
        <v>2028</v>
      </c>
      <c r="E634">
        <f t="shared" si="27"/>
        <v>2023</v>
      </c>
      <c r="F634" t="str">
        <f t="shared" si="28"/>
        <v>Apr</v>
      </c>
      <c r="G634">
        <v>3</v>
      </c>
      <c r="H634">
        <f>_xlfn.XLOOKUP(C634,Products!A:A,Products!D:D)</f>
        <v>1078.19</v>
      </c>
      <c r="I634">
        <v>15</v>
      </c>
      <c r="J634">
        <f t="shared" si="29"/>
        <v>2749.3845000000001</v>
      </c>
      <c r="K634" t="s">
        <v>2021</v>
      </c>
      <c r="L634" t="str">
        <f>_xlfn.XLOOKUP(Orders[[#This Row],[ProductID]],Products!A:A,Products!C:C)</f>
        <v>Home</v>
      </c>
    </row>
    <row r="635" spans="1:12" x14ac:dyDescent="0.3">
      <c r="A635">
        <v>634</v>
      </c>
      <c r="B635">
        <v>634</v>
      </c>
      <c r="C635">
        <v>39</v>
      </c>
      <c r="D635" t="s">
        <v>314</v>
      </c>
      <c r="E635">
        <f t="shared" si="27"/>
        <v>2023</v>
      </c>
      <c r="F635" t="str">
        <f t="shared" si="28"/>
        <v>Nov</v>
      </c>
      <c r="G635">
        <v>2</v>
      </c>
      <c r="H635">
        <f>_xlfn.XLOOKUP(C635,Products!A:A,Products!D:D)</f>
        <v>256.08999999999997</v>
      </c>
      <c r="I635">
        <v>10</v>
      </c>
      <c r="J635">
        <f t="shared" si="29"/>
        <v>460.96199999999999</v>
      </c>
      <c r="K635" t="s">
        <v>2019</v>
      </c>
      <c r="L635" t="str">
        <f>_xlfn.XLOOKUP(Orders[[#This Row],[ProductID]],Products!A:A,Products!C:C)</f>
        <v>Clothing</v>
      </c>
    </row>
    <row r="636" spans="1:12" x14ac:dyDescent="0.3">
      <c r="A636">
        <v>635</v>
      </c>
      <c r="B636">
        <v>635</v>
      </c>
      <c r="C636">
        <v>35</v>
      </c>
      <c r="D636" t="s">
        <v>2184</v>
      </c>
      <c r="E636">
        <f t="shared" si="27"/>
        <v>2024</v>
      </c>
      <c r="F636" t="str">
        <f t="shared" si="28"/>
        <v>Apr</v>
      </c>
      <c r="G636">
        <v>2</v>
      </c>
      <c r="H636">
        <f>_xlfn.XLOOKUP(C636,Products!A:A,Products!D:D)</f>
        <v>958.87</v>
      </c>
      <c r="I636">
        <v>10</v>
      </c>
      <c r="J636">
        <f t="shared" si="29"/>
        <v>1725.9660000000001</v>
      </c>
      <c r="K636" t="s">
        <v>2024</v>
      </c>
      <c r="L636" t="str">
        <f>_xlfn.XLOOKUP(Orders[[#This Row],[ProductID]],Products!A:A,Products!C:C)</f>
        <v>Clothing</v>
      </c>
    </row>
    <row r="637" spans="1:12" x14ac:dyDescent="0.3">
      <c r="A637">
        <v>636</v>
      </c>
      <c r="B637">
        <v>636</v>
      </c>
      <c r="C637">
        <v>10</v>
      </c>
      <c r="D637" t="s">
        <v>2102</v>
      </c>
      <c r="E637">
        <f t="shared" si="27"/>
        <v>2024</v>
      </c>
      <c r="F637" t="str">
        <f t="shared" si="28"/>
        <v>Feb</v>
      </c>
      <c r="G637">
        <v>1</v>
      </c>
      <c r="H637">
        <f>_xlfn.XLOOKUP(C637,Products!A:A,Products!D:D)</f>
        <v>64.11</v>
      </c>
      <c r="I637">
        <v>5</v>
      </c>
      <c r="J637">
        <f t="shared" si="29"/>
        <v>60.904499999999999</v>
      </c>
      <c r="K637" t="s">
        <v>2021</v>
      </c>
      <c r="L637" t="str">
        <f>_xlfn.XLOOKUP(Orders[[#This Row],[ProductID]],Products!A:A,Products!C:C)</f>
        <v>Clothing</v>
      </c>
    </row>
    <row r="638" spans="1:12" x14ac:dyDescent="0.3">
      <c r="A638">
        <v>637</v>
      </c>
      <c r="B638">
        <v>637</v>
      </c>
      <c r="C638">
        <v>41</v>
      </c>
      <c r="D638" t="s">
        <v>224</v>
      </c>
      <c r="E638">
        <f t="shared" si="27"/>
        <v>2023</v>
      </c>
      <c r="F638" t="str">
        <f t="shared" si="28"/>
        <v>Mar</v>
      </c>
      <c r="G638">
        <v>2</v>
      </c>
      <c r="H638">
        <f>_xlfn.XLOOKUP(C638,Products!A:A,Products!D:D)</f>
        <v>554.80999999999995</v>
      </c>
      <c r="I638">
        <v>15</v>
      </c>
      <c r="J638">
        <f t="shared" si="29"/>
        <v>943.17699999999991</v>
      </c>
      <c r="K638" t="s">
        <v>2017</v>
      </c>
      <c r="L638" t="str">
        <f>_xlfn.XLOOKUP(Orders[[#This Row],[ProductID]],Products!A:A,Products!C:C)</f>
        <v>Home</v>
      </c>
    </row>
    <row r="639" spans="1:12" x14ac:dyDescent="0.3">
      <c r="A639">
        <v>638</v>
      </c>
      <c r="B639">
        <v>638</v>
      </c>
      <c r="C639">
        <v>9</v>
      </c>
      <c r="D639" t="s">
        <v>787</v>
      </c>
      <c r="E639">
        <f t="shared" si="27"/>
        <v>2023</v>
      </c>
      <c r="F639" t="str">
        <f t="shared" si="28"/>
        <v>Feb</v>
      </c>
      <c r="G639">
        <v>3</v>
      </c>
      <c r="H639">
        <f>_xlfn.XLOOKUP(C639,Products!A:A,Products!D:D)</f>
        <v>43.26</v>
      </c>
      <c r="I639">
        <v>15</v>
      </c>
      <c r="J639">
        <f t="shared" si="29"/>
        <v>110.313</v>
      </c>
      <c r="K639" t="s">
        <v>2024</v>
      </c>
      <c r="L639" t="str">
        <f>_xlfn.XLOOKUP(Orders[[#This Row],[ProductID]],Products!A:A,Products!C:C)</f>
        <v>Electronics</v>
      </c>
    </row>
    <row r="640" spans="1:12" x14ac:dyDescent="0.3">
      <c r="A640">
        <v>639</v>
      </c>
      <c r="B640">
        <v>639</v>
      </c>
      <c r="C640">
        <v>19</v>
      </c>
      <c r="D640" t="s">
        <v>520</v>
      </c>
      <c r="E640">
        <f t="shared" si="27"/>
        <v>2023</v>
      </c>
      <c r="F640" t="str">
        <f t="shared" si="28"/>
        <v>Feb</v>
      </c>
      <c r="G640">
        <v>2</v>
      </c>
      <c r="H640">
        <f>_xlfn.XLOOKUP(C640,Products!A:A,Products!D:D)</f>
        <v>262.97000000000003</v>
      </c>
      <c r="I640">
        <v>5</v>
      </c>
      <c r="J640">
        <f t="shared" si="29"/>
        <v>499.64300000000003</v>
      </c>
      <c r="K640" t="s">
        <v>2021</v>
      </c>
      <c r="L640" t="str">
        <f>_xlfn.XLOOKUP(Orders[[#This Row],[ProductID]],Products!A:A,Products!C:C)</f>
        <v>Beauty</v>
      </c>
    </row>
    <row r="641" spans="1:12" x14ac:dyDescent="0.3">
      <c r="A641">
        <v>640</v>
      </c>
      <c r="B641">
        <v>640</v>
      </c>
      <c r="C641">
        <v>50</v>
      </c>
      <c r="D641" t="s">
        <v>575</v>
      </c>
      <c r="E641">
        <f t="shared" si="27"/>
        <v>2023</v>
      </c>
      <c r="F641" t="str">
        <f t="shared" si="28"/>
        <v>Jun</v>
      </c>
      <c r="G641">
        <v>2</v>
      </c>
      <c r="H641">
        <f>_xlfn.XLOOKUP(C641,Products!A:A,Products!D:D)</f>
        <v>1122.8699999999999</v>
      </c>
      <c r="I641">
        <v>15</v>
      </c>
      <c r="J641">
        <f t="shared" si="29"/>
        <v>1908.8789999999997</v>
      </c>
      <c r="K641" t="s">
        <v>2017</v>
      </c>
      <c r="L641" t="str">
        <f>_xlfn.XLOOKUP(Orders[[#This Row],[ProductID]],Products!A:A,Products!C:C)</f>
        <v>Home</v>
      </c>
    </row>
    <row r="642" spans="1:12" x14ac:dyDescent="0.3">
      <c r="A642">
        <v>641</v>
      </c>
      <c r="B642">
        <v>641</v>
      </c>
      <c r="C642">
        <v>62</v>
      </c>
      <c r="D642" t="s">
        <v>2071</v>
      </c>
      <c r="E642">
        <f t="shared" si="27"/>
        <v>2023</v>
      </c>
      <c r="F642" t="str">
        <f t="shared" si="28"/>
        <v>Dec</v>
      </c>
      <c r="G642">
        <v>2</v>
      </c>
      <c r="H642">
        <f>_xlfn.XLOOKUP(C642,Products!A:A,Products!D:D)</f>
        <v>196.96</v>
      </c>
      <c r="I642">
        <v>20</v>
      </c>
      <c r="J642">
        <f t="shared" si="29"/>
        <v>315.13600000000002</v>
      </c>
      <c r="K642" t="s">
        <v>2024</v>
      </c>
      <c r="L642" t="str">
        <f>_xlfn.XLOOKUP(Orders[[#This Row],[ProductID]],Products!A:A,Products!C:C)</f>
        <v>Electronics</v>
      </c>
    </row>
    <row r="643" spans="1:12" x14ac:dyDescent="0.3">
      <c r="A643">
        <v>642</v>
      </c>
      <c r="B643">
        <v>642</v>
      </c>
      <c r="C643">
        <v>18</v>
      </c>
      <c r="D643" t="s">
        <v>2061</v>
      </c>
      <c r="E643">
        <f t="shared" ref="E643:E706" si="30">YEAR(D643)</f>
        <v>2024</v>
      </c>
      <c r="F643" t="str">
        <f t="shared" ref="F643:F706" si="31">TEXT(D643,"mmm")</f>
        <v>Feb</v>
      </c>
      <c r="G643">
        <v>3</v>
      </c>
      <c r="H643">
        <f>_xlfn.XLOOKUP(C643,Products!A:A,Products!D:D)</f>
        <v>138.07</v>
      </c>
      <c r="I643">
        <v>5</v>
      </c>
      <c r="J643">
        <f t="shared" ref="J643:J706" si="32">G643*H643*(1-I643/100)</f>
        <v>393.49949999999995</v>
      </c>
      <c r="K643" t="s">
        <v>2017</v>
      </c>
      <c r="L643" t="str">
        <f>_xlfn.XLOOKUP(Orders[[#This Row],[ProductID]],Products!A:A,Products!C:C)</f>
        <v>Home</v>
      </c>
    </row>
    <row r="644" spans="1:12" x14ac:dyDescent="0.3">
      <c r="A644">
        <v>643</v>
      </c>
      <c r="B644">
        <v>643</v>
      </c>
      <c r="C644">
        <v>54</v>
      </c>
      <c r="D644" t="s">
        <v>104</v>
      </c>
      <c r="E644">
        <f t="shared" si="30"/>
        <v>2023</v>
      </c>
      <c r="F644" t="str">
        <f t="shared" si="31"/>
        <v>Oct</v>
      </c>
      <c r="G644">
        <v>2</v>
      </c>
      <c r="H644">
        <f>_xlfn.XLOOKUP(C644,Products!A:A,Products!D:D)</f>
        <v>900.79</v>
      </c>
      <c r="I644">
        <v>20</v>
      </c>
      <c r="J644">
        <f t="shared" si="32"/>
        <v>1441.2640000000001</v>
      </c>
      <c r="K644" t="s">
        <v>2015</v>
      </c>
      <c r="L644" t="str">
        <f>_xlfn.XLOOKUP(Orders[[#This Row],[ProductID]],Products!A:A,Products!C:C)</f>
        <v>Electronics</v>
      </c>
    </row>
    <row r="645" spans="1:12" x14ac:dyDescent="0.3">
      <c r="A645">
        <v>644</v>
      </c>
      <c r="B645">
        <v>644</v>
      </c>
      <c r="C645">
        <v>64</v>
      </c>
      <c r="D645" t="s">
        <v>399</v>
      </c>
      <c r="E645">
        <f t="shared" si="30"/>
        <v>2023</v>
      </c>
      <c r="F645" t="str">
        <f t="shared" si="31"/>
        <v>Sep</v>
      </c>
      <c r="G645">
        <v>3</v>
      </c>
      <c r="H645">
        <f>_xlfn.XLOOKUP(C645,Products!A:A,Products!D:D)</f>
        <v>567.71</v>
      </c>
      <c r="I645">
        <v>5</v>
      </c>
      <c r="J645">
        <f t="shared" si="32"/>
        <v>1617.9735000000001</v>
      </c>
      <c r="K645" t="s">
        <v>2017</v>
      </c>
      <c r="L645" t="str">
        <f>_xlfn.XLOOKUP(Orders[[#This Row],[ProductID]],Products!A:A,Products!C:C)</f>
        <v>Clothing</v>
      </c>
    </row>
    <row r="646" spans="1:12" x14ac:dyDescent="0.3">
      <c r="A646">
        <v>645</v>
      </c>
      <c r="B646">
        <v>645</v>
      </c>
      <c r="C646">
        <v>11</v>
      </c>
      <c r="D646" t="s">
        <v>678</v>
      </c>
      <c r="E646">
        <f t="shared" si="30"/>
        <v>2023</v>
      </c>
      <c r="F646" t="str">
        <f t="shared" si="31"/>
        <v>Oct</v>
      </c>
      <c r="G646">
        <v>3</v>
      </c>
      <c r="H646">
        <f>_xlfn.XLOOKUP(C646,Products!A:A,Products!D:D)</f>
        <v>1038.77</v>
      </c>
      <c r="I646">
        <v>15</v>
      </c>
      <c r="J646">
        <f t="shared" si="32"/>
        <v>2648.8634999999999</v>
      </c>
      <c r="K646" t="s">
        <v>2015</v>
      </c>
      <c r="L646" t="str">
        <f>_xlfn.XLOOKUP(Orders[[#This Row],[ProductID]],Products!A:A,Products!C:C)</f>
        <v>Beauty</v>
      </c>
    </row>
    <row r="647" spans="1:12" x14ac:dyDescent="0.3">
      <c r="A647">
        <v>646</v>
      </c>
      <c r="B647">
        <v>646</v>
      </c>
      <c r="C647">
        <v>74</v>
      </c>
      <c r="D647" t="s">
        <v>2153</v>
      </c>
      <c r="E647">
        <f t="shared" si="30"/>
        <v>2024</v>
      </c>
      <c r="F647" t="str">
        <f t="shared" si="31"/>
        <v>Feb</v>
      </c>
      <c r="G647">
        <v>3</v>
      </c>
      <c r="H647">
        <f>_xlfn.XLOOKUP(C647,Products!A:A,Products!D:D)</f>
        <v>1034.31</v>
      </c>
      <c r="I647">
        <v>5</v>
      </c>
      <c r="J647">
        <f t="shared" si="32"/>
        <v>2947.7834999999995</v>
      </c>
      <c r="K647" t="s">
        <v>2019</v>
      </c>
      <c r="L647" t="str">
        <f>_xlfn.XLOOKUP(Orders[[#This Row],[ProductID]],Products!A:A,Products!C:C)</f>
        <v>Electronics</v>
      </c>
    </row>
    <row r="648" spans="1:12" x14ac:dyDescent="0.3">
      <c r="A648">
        <v>647</v>
      </c>
      <c r="B648">
        <v>647</v>
      </c>
      <c r="C648">
        <v>31</v>
      </c>
      <c r="D648" t="s">
        <v>491</v>
      </c>
      <c r="E648">
        <f t="shared" si="30"/>
        <v>2023</v>
      </c>
      <c r="F648" t="str">
        <f t="shared" si="31"/>
        <v>Jul</v>
      </c>
      <c r="G648">
        <v>1</v>
      </c>
      <c r="H648">
        <f>_xlfn.XLOOKUP(C648,Products!A:A,Products!D:D)</f>
        <v>131.79</v>
      </c>
      <c r="I648">
        <v>5</v>
      </c>
      <c r="J648">
        <f t="shared" si="32"/>
        <v>125.20049999999999</v>
      </c>
      <c r="K648" t="s">
        <v>2019</v>
      </c>
      <c r="L648" t="str">
        <f>_xlfn.XLOOKUP(Orders[[#This Row],[ProductID]],Products!A:A,Products!C:C)</f>
        <v>Beauty</v>
      </c>
    </row>
    <row r="649" spans="1:12" x14ac:dyDescent="0.3">
      <c r="A649">
        <v>648</v>
      </c>
      <c r="B649">
        <v>648</v>
      </c>
      <c r="C649">
        <v>47</v>
      </c>
      <c r="D649" t="s">
        <v>667</v>
      </c>
      <c r="E649">
        <f t="shared" si="30"/>
        <v>2023</v>
      </c>
      <c r="F649" t="str">
        <f t="shared" si="31"/>
        <v>Oct</v>
      </c>
      <c r="G649">
        <v>2</v>
      </c>
      <c r="H649">
        <f>_xlfn.XLOOKUP(C649,Products!A:A,Products!D:D)</f>
        <v>1126.96</v>
      </c>
      <c r="I649">
        <v>5</v>
      </c>
      <c r="J649">
        <f t="shared" si="32"/>
        <v>2141.2240000000002</v>
      </c>
      <c r="K649" t="s">
        <v>2019</v>
      </c>
      <c r="L649" t="str">
        <f>_xlfn.XLOOKUP(Orders[[#This Row],[ProductID]],Products!A:A,Products!C:C)</f>
        <v>Beauty</v>
      </c>
    </row>
    <row r="650" spans="1:12" x14ac:dyDescent="0.3">
      <c r="A650">
        <v>649</v>
      </c>
      <c r="B650">
        <v>649</v>
      </c>
      <c r="C650">
        <v>8</v>
      </c>
      <c r="D650" t="s">
        <v>2125</v>
      </c>
      <c r="E650">
        <f t="shared" si="30"/>
        <v>2024</v>
      </c>
      <c r="F650" t="str">
        <f t="shared" si="31"/>
        <v>Apr</v>
      </c>
      <c r="G650">
        <v>2</v>
      </c>
      <c r="H650">
        <f>_xlfn.XLOOKUP(C650,Products!A:A,Products!D:D)</f>
        <v>155.08000000000001</v>
      </c>
      <c r="I650">
        <v>10</v>
      </c>
      <c r="J650">
        <f t="shared" si="32"/>
        <v>279.14400000000001</v>
      </c>
      <c r="K650" t="s">
        <v>2021</v>
      </c>
      <c r="L650" t="str">
        <f>_xlfn.XLOOKUP(Orders[[#This Row],[ProductID]],Products!A:A,Products!C:C)</f>
        <v>Clothing</v>
      </c>
    </row>
    <row r="651" spans="1:12" x14ac:dyDescent="0.3">
      <c r="A651">
        <v>650</v>
      </c>
      <c r="B651">
        <v>650</v>
      </c>
      <c r="C651">
        <v>38</v>
      </c>
      <c r="D651" t="s">
        <v>505</v>
      </c>
      <c r="E651">
        <f t="shared" si="30"/>
        <v>2023</v>
      </c>
      <c r="F651" t="str">
        <f t="shared" si="31"/>
        <v>Aug</v>
      </c>
      <c r="G651">
        <v>1</v>
      </c>
      <c r="H651">
        <f>_xlfn.XLOOKUP(C651,Products!A:A,Products!D:D)</f>
        <v>802.88</v>
      </c>
      <c r="I651">
        <v>20</v>
      </c>
      <c r="J651">
        <f t="shared" si="32"/>
        <v>642.30400000000009</v>
      </c>
      <c r="K651" t="s">
        <v>2017</v>
      </c>
      <c r="L651" t="str">
        <f>_xlfn.XLOOKUP(Orders[[#This Row],[ProductID]],Products!A:A,Products!C:C)</f>
        <v>Home</v>
      </c>
    </row>
    <row r="652" spans="1:12" x14ac:dyDescent="0.3">
      <c r="A652">
        <v>651</v>
      </c>
      <c r="B652">
        <v>651</v>
      </c>
      <c r="C652">
        <v>32</v>
      </c>
      <c r="D652" t="s">
        <v>640</v>
      </c>
      <c r="E652">
        <f t="shared" si="30"/>
        <v>2023</v>
      </c>
      <c r="F652" t="str">
        <f t="shared" si="31"/>
        <v>Apr</v>
      </c>
      <c r="G652">
        <v>1</v>
      </c>
      <c r="H652">
        <f>_xlfn.XLOOKUP(C652,Products!A:A,Products!D:D)</f>
        <v>342.57</v>
      </c>
      <c r="I652">
        <v>0</v>
      </c>
      <c r="J652">
        <f t="shared" si="32"/>
        <v>342.57</v>
      </c>
      <c r="K652" t="s">
        <v>2021</v>
      </c>
      <c r="L652" t="str">
        <f>_xlfn.XLOOKUP(Orders[[#This Row],[ProductID]],Products!A:A,Products!C:C)</f>
        <v>Clothing</v>
      </c>
    </row>
    <row r="653" spans="1:12" x14ac:dyDescent="0.3">
      <c r="A653">
        <v>652</v>
      </c>
      <c r="B653">
        <v>652</v>
      </c>
      <c r="C653">
        <v>16</v>
      </c>
      <c r="D653" t="s">
        <v>2077</v>
      </c>
      <c r="E653">
        <f t="shared" si="30"/>
        <v>2024</v>
      </c>
      <c r="F653" t="str">
        <f t="shared" si="31"/>
        <v>May</v>
      </c>
      <c r="G653">
        <v>3</v>
      </c>
      <c r="H653">
        <f>_xlfn.XLOOKUP(C653,Products!A:A,Products!D:D)</f>
        <v>693.02</v>
      </c>
      <c r="I653">
        <v>5</v>
      </c>
      <c r="J653">
        <f t="shared" si="32"/>
        <v>1975.1069999999997</v>
      </c>
      <c r="K653" t="s">
        <v>2017</v>
      </c>
      <c r="L653" t="str">
        <f>_xlfn.XLOOKUP(Orders[[#This Row],[ProductID]],Products!A:A,Products!C:C)</f>
        <v>Home</v>
      </c>
    </row>
    <row r="654" spans="1:12" x14ac:dyDescent="0.3">
      <c r="A654">
        <v>653</v>
      </c>
      <c r="B654">
        <v>653</v>
      </c>
      <c r="C654">
        <v>4</v>
      </c>
      <c r="D654" t="s">
        <v>2132</v>
      </c>
      <c r="E654">
        <f t="shared" si="30"/>
        <v>2023</v>
      </c>
      <c r="F654" t="str">
        <f t="shared" si="31"/>
        <v>Dec</v>
      </c>
      <c r="G654">
        <v>2</v>
      </c>
      <c r="H654">
        <f>_xlfn.XLOOKUP(C654,Products!A:A,Products!D:D)</f>
        <v>800.26</v>
      </c>
      <c r="I654">
        <v>10</v>
      </c>
      <c r="J654">
        <f t="shared" si="32"/>
        <v>1440.4680000000001</v>
      </c>
      <c r="K654" t="s">
        <v>2019</v>
      </c>
      <c r="L654" t="str">
        <f>_xlfn.XLOOKUP(Orders[[#This Row],[ProductID]],Products!A:A,Products!C:C)</f>
        <v>Electronics</v>
      </c>
    </row>
    <row r="655" spans="1:12" x14ac:dyDescent="0.3">
      <c r="A655">
        <v>654</v>
      </c>
      <c r="B655">
        <v>654</v>
      </c>
      <c r="C655">
        <v>14</v>
      </c>
      <c r="D655" t="s">
        <v>2185</v>
      </c>
      <c r="E655">
        <f t="shared" si="30"/>
        <v>2023</v>
      </c>
      <c r="F655" t="str">
        <f t="shared" si="31"/>
        <v>Dec</v>
      </c>
      <c r="G655">
        <v>3</v>
      </c>
      <c r="H655">
        <f>_xlfn.XLOOKUP(C655,Products!A:A,Products!D:D)</f>
        <v>574.25</v>
      </c>
      <c r="I655">
        <v>0</v>
      </c>
      <c r="J655">
        <f t="shared" si="32"/>
        <v>1722.75</v>
      </c>
      <c r="K655" t="s">
        <v>2017</v>
      </c>
      <c r="L655" t="str">
        <f>_xlfn.XLOOKUP(Orders[[#This Row],[ProductID]],Products!A:A,Products!C:C)</f>
        <v>Beauty</v>
      </c>
    </row>
    <row r="656" spans="1:12" x14ac:dyDescent="0.3">
      <c r="A656">
        <v>655</v>
      </c>
      <c r="B656">
        <v>655</v>
      </c>
      <c r="C656">
        <v>77</v>
      </c>
      <c r="D656" t="s">
        <v>2073</v>
      </c>
      <c r="E656">
        <f t="shared" si="30"/>
        <v>2024</v>
      </c>
      <c r="F656" t="str">
        <f t="shared" si="31"/>
        <v>Mar</v>
      </c>
      <c r="G656">
        <v>1</v>
      </c>
      <c r="H656">
        <f>_xlfn.XLOOKUP(C656,Products!A:A,Products!D:D)</f>
        <v>1078.19</v>
      </c>
      <c r="I656">
        <v>0</v>
      </c>
      <c r="J656">
        <f t="shared" si="32"/>
        <v>1078.19</v>
      </c>
      <c r="K656" t="s">
        <v>2021</v>
      </c>
      <c r="L656" t="str">
        <f>_xlfn.XLOOKUP(Orders[[#This Row],[ProductID]],Products!A:A,Products!C:C)</f>
        <v>Home</v>
      </c>
    </row>
    <row r="657" spans="1:12" x14ac:dyDescent="0.3">
      <c r="A657">
        <v>656</v>
      </c>
      <c r="B657">
        <v>656</v>
      </c>
      <c r="C657">
        <v>47</v>
      </c>
      <c r="D657" t="s">
        <v>178</v>
      </c>
      <c r="E657">
        <f t="shared" si="30"/>
        <v>2023</v>
      </c>
      <c r="F657" t="str">
        <f t="shared" si="31"/>
        <v>Mar</v>
      </c>
      <c r="G657">
        <v>1</v>
      </c>
      <c r="H657">
        <f>_xlfn.XLOOKUP(C657,Products!A:A,Products!D:D)</f>
        <v>1126.96</v>
      </c>
      <c r="I657">
        <v>5</v>
      </c>
      <c r="J657">
        <f t="shared" si="32"/>
        <v>1070.6120000000001</v>
      </c>
      <c r="K657" t="s">
        <v>2019</v>
      </c>
      <c r="L657" t="str">
        <f>_xlfn.XLOOKUP(Orders[[#This Row],[ProductID]],Products!A:A,Products!C:C)</f>
        <v>Beauty</v>
      </c>
    </row>
    <row r="658" spans="1:12" x14ac:dyDescent="0.3">
      <c r="A658">
        <v>657</v>
      </c>
      <c r="B658">
        <v>657</v>
      </c>
      <c r="C658">
        <v>2</v>
      </c>
      <c r="D658" t="s">
        <v>73</v>
      </c>
      <c r="E658">
        <f t="shared" si="30"/>
        <v>2023</v>
      </c>
      <c r="F658" t="str">
        <f t="shared" si="31"/>
        <v>Oct</v>
      </c>
      <c r="G658">
        <v>2</v>
      </c>
      <c r="H658">
        <f>_xlfn.XLOOKUP(C658,Products!A:A,Products!D:D)</f>
        <v>427.27</v>
      </c>
      <c r="I658">
        <v>5</v>
      </c>
      <c r="J658">
        <f t="shared" si="32"/>
        <v>811.81299999999987</v>
      </c>
      <c r="K658" t="s">
        <v>2021</v>
      </c>
      <c r="L658" t="str">
        <f>_xlfn.XLOOKUP(Orders[[#This Row],[ProductID]],Products!A:A,Products!C:C)</f>
        <v>Home</v>
      </c>
    </row>
    <row r="659" spans="1:12" x14ac:dyDescent="0.3">
      <c r="A659">
        <v>658</v>
      </c>
      <c r="B659">
        <v>658</v>
      </c>
      <c r="C659">
        <v>61</v>
      </c>
      <c r="D659" t="s">
        <v>2089</v>
      </c>
      <c r="E659">
        <f t="shared" si="30"/>
        <v>2024</v>
      </c>
      <c r="F659" t="str">
        <f t="shared" si="31"/>
        <v>Jan</v>
      </c>
      <c r="G659">
        <v>1</v>
      </c>
      <c r="H659">
        <f>_xlfn.XLOOKUP(C659,Products!A:A,Products!D:D)</f>
        <v>498.92</v>
      </c>
      <c r="I659">
        <v>20</v>
      </c>
      <c r="J659">
        <f t="shared" si="32"/>
        <v>399.13600000000002</v>
      </c>
      <c r="K659" t="s">
        <v>2024</v>
      </c>
      <c r="L659" t="str">
        <f>_xlfn.XLOOKUP(Orders[[#This Row],[ProductID]],Products!A:A,Products!C:C)</f>
        <v>Clothing</v>
      </c>
    </row>
    <row r="660" spans="1:12" x14ac:dyDescent="0.3">
      <c r="A660">
        <v>659</v>
      </c>
      <c r="B660">
        <v>659</v>
      </c>
      <c r="C660">
        <v>61</v>
      </c>
      <c r="D660" t="s">
        <v>1162</v>
      </c>
      <c r="E660">
        <f t="shared" si="30"/>
        <v>2023</v>
      </c>
      <c r="F660" t="str">
        <f t="shared" si="31"/>
        <v>Jul</v>
      </c>
      <c r="G660">
        <v>3</v>
      </c>
      <c r="H660">
        <f>_xlfn.XLOOKUP(C660,Products!A:A,Products!D:D)</f>
        <v>498.92</v>
      </c>
      <c r="I660">
        <v>10</v>
      </c>
      <c r="J660">
        <f t="shared" si="32"/>
        <v>1347.0840000000001</v>
      </c>
      <c r="K660" t="s">
        <v>2017</v>
      </c>
      <c r="L660" t="str">
        <f>_xlfn.XLOOKUP(Orders[[#This Row],[ProductID]],Products!A:A,Products!C:C)</f>
        <v>Clothing</v>
      </c>
    </row>
    <row r="661" spans="1:12" x14ac:dyDescent="0.3">
      <c r="A661">
        <v>660</v>
      </c>
      <c r="B661">
        <v>660</v>
      </c>
      <c r="C661">
        <v>2</v>
      </c>
      <c r="D661" t="s">
        <v>1893</v>
      </c>
      <c r="E661">
        <f t="shared" si="30"/>
        <v>2023</v>
      </c>
      <c r="F661" t="str">
        <f t="shared" si="31"/>
        <v>May</v>
      </c>
      <c r="G661">
        <v>1</v>
      </c>
      <c r="H661">
        <f>_xlfn.XLOOKUP(C661,Products!A:A,Products!D:D)</f>
        <v>427.27</v>
      </c>
      <c r="I661">
        <v>5</v>
      </c>
      <c r="J661">
        <f t="shared" si="32"/>
        <v>405.90649999999994</v>
      </c>
      <c r="K661" t="s">
        <v>2019</v>
      </c>
      <c r="L661" t="str">
        <f>_xlfn.XLOOKUP(Orders[[#This Row],[ProductID]],Products!A:A,Products!C:C)</f>
        <v>Home</v>
      </c>
    </row>
    <row r="662" spans="1:12" x14ac:dyDescent="0.3">
      <c r="A662">
        <v>661</v>
      </c>
      <c r="B662">
        <v>661</v>
      </c>
      <c r="C662">
        <v>5</v>
      </c>
      <c r="D662" t="s">
        <v>460</v>
      </c>
      <c r="E662">
        <f t="shared" si="30"/>
        <v>2023</v>
      </c>
      <c r="F662" t="str">
        <f t="shared" si="31"/>
        <v>Nov</v>
      </c>
      <c r="G662">
        <v>1</v>
      </c>
      <c r="H662">
        <f>_xlfn.XLOOKUP(C662,Products!A:A,Products!D:D)</f>
        <v>296.85000000000002</v>
      </c>
      <c r="I662">
        <v>20</v>
      </c>
      <c r="J662">
        <f t="shared" si="32"/>
        <v>237.48000000000002</v>
      </c>
      <c r="K662" t="s">
        <v>2021</v>
      </c>
      <c r="L662" t="str">
        <f>_xlfn.XLOOKUP(Orders[[#This Row],[ProductID]],Products!A:A,Products!C:C)</f>
        <v>Clothing</v>
      </c>
    </row>
    <row r="663" spans="1:12" x14ac:dyDescent="0.3">
      <c r="A663">
        <v>662</v>
      </c>
      <c r="B663">
        <v>662</v>
      </c>
      <c r="C663">
        <v>2</v>
      </c>
      <c r="D663" t="s">
        <v>101</v>
      </c>
      <c r="E663">
        <f t="shared" si="30"/>
        <v>2023</v>
      </c>
      <c r="F663" t="str">
        <f t="shared" si="31"/>
        <v>Jul</v>
      </c>
      <c r="G663">
        <v>2</v>
      </c>
      <c r="H663">
        <f>_xlfn.XLOOKUP(C663,Products!A:A,Products!D:D)</f>
        <v>427.27</v>
      </c>
      <c r="I663">
        <v>15</v>
      </c>
      <c r="J663">
        <f t="shared" si="32"/>
        <v>726.35899999999992</v>
      </c>
      <c r="K663" t="s">
        <v>2015</v>
      </c>
      <c r="L663" t="str">
        <f>_xlfn.XLOOKUP(Orders[[#This Row],[ProductID]],Products!A:A,Products!C:C)</f>
        <v>Home</v>
      </c>
    </row>
    <row r="664" spans="1:12" x14ac:dyDescent="0.3">
      <c r="A664">
        <v>663</v>
      </c>
      <c r="B664">
        <v>663</v>
      </c>
      <c r="C664">
        <v>34</v>
      </c>
      <c r="D664" t="s">
        <v>2096</v>
      </c>
      <c r="E664">
        <f t="shared" si="30"/>
        <v>2024</v>
      </c>
      <c r="F664" t="str">
        <f t="shared" si="31"/>
        <v>Apr</v>
      </c>
      <c r="G664">
        <v>3</v>
      </c>
      <c r="H664">
        <f>_xlfn.XLOOKUP(C664,Products!A:A,Products!D:D)</f>
        <v>523.98</v>
      </c>
      <c r="I664">
        <v>20</v>
      </c>
      <c r="J664">
        <f t="shared" si="32"/>
        <v>1257.5520000000001</v>
      </c>
      <c r="K664" t="s">
        <v>2024</v>
      </c>
      <c r="L664" t="str">
        <f>_xlfn.XLOOKUP(Orders[[#This Row],[ProductID]],Products!A:A,Products!C:C)</f>
        <v>Home</v>
      </c>
    </row>
    <row r="665" spans="1:12" x14ac:dyDescent="0.3">
      <c r="A665">
        <v>664</v>
      </c>
      <c r="B665">
        <v>664</v>
      </c>
      <c r="C665">
        <v>30</v>
      </c>
      <c r="D665" t="s">
        <v>1110</v>
      </c>
      <c r="E665">
        <f t="shared" si="30"/>
        <v>2023</v>
      </c>
      <c r="F665" t="str">
        <f t="shared" si="31"/>
        <v>Aug</v>
      </c>
      <c r="G665">
        <v>1</v>
      </c>
      <c r="H665">
        <f>_xlfn.XLOOKUP(C665,Products!A:A,Products!D:D)</f>
        <v>866.89</v>
      </c>
      <c r="I665">
        <v>10</v>
      </c>
      <c r="J665">
        <f t="shared" si="32"/>
        <v>780.20100000000002</v>
      </c>
      <c r="K665" t="s">
        <v>2019</v>
      </c>
      <c r="L665" t="str">
        <f>_xlfn.XLOOKUP(Orders[[#This Row],[ProductID]],Products!A:A,Products!C:C)</f>
        <v>Electronics</v>
      </c>
    </row>
    <row r="666" spans="1:12" x14ac:dyDescent="0.3">
      <c r="A666">
        <v>665</v>
      </c>
      <c r="B666">
        <v>665</v>
      </c>
      <c r="C666">
        <v>67</v>
      </c>
      <c r="D666" t="s">
        <v>1593</v>
      </c>
      <c r="E666">
        <f t="shared" si="30"/>
        <v>2023</v>
      </c>
      <c r="F666" t="str">
        <f t="shared" si="31"/>
        <v>Jul</v>
      </c>
      <c r="G666">
        <v>1</v>
      </c>
      <c r="H666">
        <f>_xlfn.XLOOKUP(C666,Products!A:A,Products!D:D)</f>
        <v>258.35000000000002</v>
      </c>
      <c r="I666">
        <v>5</v>
      </c>
      <c r="J666">
        <f t="shared" si="32"/>
        <v>245.4325</v>
      </c>
      <c r="K666" t="s">
        <v>2017</v>
      </c>
      <c r="L666" t="str">
        <f>_xlfn.XLOOKUP(Orders[[#This Row],[ProductID]],Products!A:A,Products!C:C)</f>
        <v>Electronics</v>
      </c>
    </row>
    <row r="667" spans="1:12" x14ac:dyDescent="0.3">
      <c r="A667">
        <v>666</v>
      </c>
      <c r="B667">
        <v>666</v>
      </c>
      <c r="C667">
        <v>80</v>
      </c>
      <c r="D667" t="s">
        <v>237</v>
      </c>
      <c r="E667">
        <f t="shared" si="30"/>
        <v>2023</v>
      </c>
      <c r="F667" t="str">
        <f t="shared" si="31"/>
        <v>Jan</v>
      </c>
      <c r="G667">
        <v>1</v>
      </c>
      <c r="H667">
        <f>_xlfn.XLOOKUP(C667,Products!A:A,Products!D:D)</f>
        <v>1014.45</v>
      </c>
      <c r="I667">
        <v>15</v>
      </c>
      <c r="J667">
        <f t="shared" si="32"/>
        <v>862.28250000000003</v>
      </c>
      <c r="K667" t="s">
        <v>2021</v>
      </c>
      <c r="L667" t="str">
        <f>_xlfn.XLOOKUP(Orders[[#This Row],[ProductID]],Products!A:A,Products!C:C)</f>
        <v>Beauty</v>
      </c>
    </row>
    <row r="668" spans="1:12" x14ac:dyDescent="0.3">
      <c r="A668">
        <v>667</v>
      </c>
      <c r="B668">
        <v>667</v>
      </c>
      <c r="C668">
        <v>72</v>
      </c>
      <c r="D668" t="s">
        <v>460</v>
      </c>
      <c r="E668">
        <f t="shared" si="30"/>
        <v>2023</v>
      </c>
      <c r="F668" t="str">
        <f t="shared" si="31"/>
        <v>Nov</v>
      </c>
      <c r="G668">
        <v>1</v>
      </c>
      <c r="H668">
        <f>_xlfn.XLOOKUP(C668,Products!A:A,Products!D:D)</f>
        <v>1157.27</v>
      </c>
      <c r="I668">
        <v>15</v>
      </c>
      <c r="J668">
        <f t="shared" si="32"/>
        <v>983.67949999999996</v>
      </c>
      <c r="K668" t="s">
        <v>2017</v>
      </c>
      <c r="L668" t="str">
        <f>_xlfn.XLOOKUP(Orders[[#This Row],[ProductID]],Products!A:A,Products!C:C)</f>
        <v>Electronics</v>
      </c>
    </row>
    <row r="669" spans="1:12" x14ac:dyDescent="0.3">
      <c r="A669">
        <v>668</v>
      </c>
      <c r="B669">
        <v>668</v>
      </c>
      <c r="C669">
        <v>41</v>
      </c>
      <c r="D669" t="s">
        <v>1201</v>
      </c>
      <c r="E669">
        <f t="shared" si="30"/>
        <v>2023</v>
      </c>
      <c r="F669" t="str">
        <f t="shared" si="31"/>
        <v>Dec</v>
      </c>
      <c r="G669">
        <v>3</v>
      </c>
      <c r="H669">
        <f>_xlfn.XLOOKUP(C669,Products!A:A,Products!D:D)</f>
        <v>554.80999999999995</v>
      </c>
      <c r="I669">
        <v>15</v>
      </c>
      <c r="J669">
        <f t="shared" si="32"/>
        <v>1414.7654999999997</v>
      </c>
      <c r="K669" t="s">
        <v>2017</v>
      </c>
      <c r="L669" t="str">
        <f>_xlfn.XLOOKUP(Orders[[#This Row],[ProductID]],Products!A:A,Products!C:C)</f>
        <v>Home</v>
      </c>
    </row>
    <row r="670" spans="1:12" x14ac:dyDescent="0.3">
      <c r="A670">
        <v>669</v>
      </c>
      <c r="B670">
        <v>669</v>
      </c>
      <c r="C670">
        <v>22</v>
      </c>
      <c r="D670" t="s">
        <v>256</v>
      </c>
      <c r="E670">
        <f t="shared" si="30"/>
        <v>2023</v>
      </c>
      <c r="F670" t="str">
        <f t="shared" si="31"/>
        <v>Jan</v>
      </c>
      <c r="G670">
        <v>2</v>
      </c>
      <c r="H670">
        <f>_xlfn.XLOOKUP(C670,Products!A:A,Products!D:D)</f>
        <v>373.43</v>
      </c>
      <c r="I670">
        <v>15</v>
      </c>
      <c r="J670">
        <f t="shared" si="32"/>
        <v>634.83100000000002</v>
      </c>
      <c r="K670" t="s">
        <v>2021</v>
      </c>
      <c r="L670" t="str">
        <f>_xlfn.XLOOKUP(Orders[[#This Row],[ProductID]],Products!A:A,Products!C:C)</f>
        <v>Beauty</v>
      </c>
    </row>
    <row r="671" spans="1:12" x14ac:dyDescent="0.3">
      <c r="A671">
        <v>670</v>
      </c>
      <c r="B671">
        <v>670</v>
      </c>
      <c r="C671">
        <v>35</v>
      </c>
      <c r="D671" t="s">
        <v>1432</v>
      </c>
      <c r="E671">
        <f t="shared" si="30"/>
        <v>2023</v>
      </c>
      <c r="F671" t="str">
        <f t="shared" si="31"/>
        <v>Feb</v>
      </c>
      <c r="G671">
        <v>1</v>
      </c>
      <c r="H671">
        <f>_xlfn.XLOOKUP(C671,Products!A:A,Products!D:D)</f>
        <v>958.87</v>
      </c>
      <c r="I671">
        <v>0</v>
      </c>
      <c r="J671">
        <f t="shared" si="32"/>
        <v>958.87</v>
      </c>
      <c r="K671" t="s">
        <v>2024</v>
      </c>
      <c r="L671" t="str">
        <f>_xlfn.XLOOKUP(Orders[[#This Row],[ProductID]],Products!A:A,Products!C:C)</f>
        <v>Clothing</v>
      </c>
    </row>
    <row r="672" spans="1:12" x14ac:dyDescent="0.3">
      <c r="A672">
        <v>671</v>
      </c>
      <c r="B672">
        <v>671</v>
      </c>
      <c r="C672">
        <v>78</v>
      </c>
      <c r="D672" t="s">
        <v>2166</v>
      </c>
      <c r="E672">
        <f t="shared" si="30"/>
        <v>2024</v>
      </c>
      <c r="F672" t="str">
        <f t="shared" si="31"/>
        <v>Feb</v>
      </c>
      <c r="G672">
        <v>2</v>
      </c>
      <c r="H672">
        <f>_xlfn.XLOOKUP(C672,Products!A:A,Products!D:D)</f>
        <v>795.77</v>
      </c>
      <c r="I672">
        <v>0</v>
      </c>
      <c r="J672">
        <f t="shared" si="32"/>
        <v>1591.54</v>
      </c>
      <c r="K672" t="s">
        <v>2021</v>
      </c>
      <c r="L672" t="str">
        <f>_xlfn.XLOOKUP(Orders[[#This Row],[ProductID]],Products!A:A,Products!C:C)</f>
        <v>Beauty</v>
      </c>
    </row>
    <row r="673" spans="1:12" x14ac:dyDescent="0.3">
      <c r="A673">
        <v>672</v>
      </c>
      <c r="B673">
        <v>672</v>
      </c>
      <c r="C673">
        <v>37</v>
      </c>
      <c r="D673" t="s">
        <v>378</v>
      </c>
      <c r="E673">
        <f t="shared" si="30"/>
        <v>2023</v>
      </c>
      <c r="F673" t="str">
        <f t="shared" si="31"/>
        <v>Mar</v>
      </c>
      <c r="G673">
        <v>3</v>
      </c>
      <c r="H673">
        <f>_xlfn.XLOOKUP(C673,Products!A:A,Products!D:D)</f>
        <v>968.87</v>
      </c>
      <c r="I673">
        <v>0</v>
      </c>
      <c r="J673">
        <f t="shared" si="32"/>
        <v>2906.61</v>
      </c>
      <c r="K673" t="s">
        <v>2019</v>
      </c>
      <c r="L673" t="str">
        <f>_xlfn.XLOOKUP(Orders[[#This Row],[ProductID]],Products!A:A,Products!C:C)</f>
        <v>Home</v>
      </c>
    </row>
    <row r="674" spans="1:12" x14ac:dyDescent="0.3">
      <c r="A674">
        <v>673</v>
      </c>
      <c r="B674">
        <v>673</v>
      </c>
      <c r="C674">
        <v>28</v>
      </c>
      <c r="D674" t="s">
        <v>528</v>
      </c>
      <c r="E674">
        <f t="shared" si="30"/>
        <v>2023</v>
      </c>
      <c r="F674" t="str">
        <f t="shared" si="31"/>
        <v>Nov</v>
      </c>
      <c r="G674">
        <v>1</v>
      </c>
      <c r="H674">
        <f>_xlfn.XLOOKUP(C674,Products!A:A,Products!D:D)</f>
        <v>494.39</v>
      </c>
      <c r="I674">
        <v>10</v>
      </c>
      <c r="J674">
        <f t="shared" si="32"/>
        <v>444.95100000000002</v>
      </c>
      <c r="K674" t="s">
        <v>2021</v>
      </c>
      <c r="L674" t="str">
        <f>_xlfn.XLOOKUP(Orders[[#This Row],[ProductID]],Products!A:A,Products!C:C)</f>
        <v>Beauty</v>
      </c>
    </row>
    <row r="675" spans="1:12" x14ac:dyDescent="0.3">
      <c r="A675">
        <v>674</v>
      </c>
      <c r="B675">
        <v>674</v>
      </c>
      <c r="C675">
        <v>71</v>
      </c>
      <c r="D675" t="s">
        <v>1630</v>
      </c>
      <c r="E675">
        <f t="shared" si="30"/>
        <v>2023</v>
      </c>
      <c r="F675" t="str">
        <f t="shared" si="31"/>
        <v>Apr</v>
      </c>
      <c r="G675">
        <v>3</v>
      </c>
      <c r="H675">
        <f>_xlfn.XLOOKUP(C675,Products!A:A,Products!D:D)</f>
        <v>780.27</v>
      </c>
      <c r="I675">
        <v>0</v>
      </c>
      <c r="J675">
        <f t="shared" si="32"/>
        <v>2340.81</v>
      </c>
      <c r="K675" t="s">
        <v>2021</v>
      </c>
      <c r="L675" t="str">
        <f>_xlfn.XLOOKUP(Orders[[#This Row],[ProductID]],Products!A:A,Products!C:C)</f>
        <v>Electronics</v>
      </c>
    </row>
    <row r="676" spans="1:12" x14ac:dyDescent="0.3">
      <c r="A676">
        <v>675</v>
      </c>
      <c r="B676">
        <v>675</v>
      </c>
      <c r="C676">
        <v>35</v>
      </c>
      <c r="D676" t="s">
        <v>60</v>
      </c>
      <c r="E676">
        <f t="shared" si="30"/>
        <v>2023</v>
      </c>
      <c r="F676" t="str">
        <f t="shared" si="31"/>
        <v>Feb</v>
      </c>
      <c r="G676">
        <v>3</v>
      </c>
      <c r="H676">
        <f>_xlfn.XLOOKUP(C676,Products!A:A,Products!D:D)</f>
        <v>958.87</v>
      </c>
      <c r="I676">
        <v>20</v>
      </c>
      <c r="J676">
        <f t="shared" si="32"/>
        <v>2301.288</v>
      </c>
      <c r="K676" t="s">
        <v>2019</v>
      </c>
      <c r="L676" t="str">
        <f>_xlfn.XLOOKUP(Orders[[#This Row],[ProductID]],Products!A:A,Products!C:C)</f>
        <v>Clothing</v>
      </c>
    </row>
    <row r="677" spans="1:12" x14ac:dyDescent="0.3">
      <c r="A677">
        <v>676</v>
      </c>
      <c r="B677">
        <v>676</v>
      </c>
      <c r="C677">
        <v>73</v>
      </c>
      <c r="D677" t="s">
        <v>2186</v>
      </c>
      <c r="E677">
        <f t="shared" si="30"/>
        <v>2024</v>
      </c>
      <c r="F677" t="str">
        <f t="shared" si="31"/>
        <v>Feb</v>
      </c>
      <c r="G677">
        <v>2</v>
      </c>
      <c r="H677">
        <f>_xlfn.XLOOKUP(C677,Products!A:A,Products!D:D)</f>
        <v>943.04</v>
      </c>
      <c r="I677">
        <v>0</v>
      </c>
      <c r="J677">
        <f t="shared" si="32"/>
        <v>1886.08</v>
      </c>
      <c r="K677" t="s">
        <v>2019</v>
      </c>
      <c r="L677" t="str">
        <f>_xlfn.XLOOKUP(Orders[[#This Row],[ProductID]],Products!A:A,Products!C:C)</f>
        <v>Home</v>
      </c>
    </row>
    <row r="678" spans="1:12" x14ac:dyDescent="0.3">
      <c r="A678">
        <v>677</v>
      </c>
      <c r="B678">
        <v>677</v>
      </c>
      <c r="C678">
        <v>41</v>
      </c>
      <c r="D678" t="s">
        <v>1212</v>
      </c>
      <c r="E678">
        <f t="shared" si="30"/>
        <v>2023</v>
      </c>
      <c r="F678" t="str">
        <f t="shared" si="31"/>
        <v>Feb</v>
      </c>
      <c r="G678">
        <v>2</v>
      </c>
      <c r="H678">
        <f>_xlfn.XLOOKUP(C678,Products!A:A,Products!D:D)</f>
        <v>554.80999999999995</v>
      </c>
      <c r="I678">
        <v>0</v>
      </c>
      <c r="J678">
        <f t="shared" si="32"/>
        <v>1109.6199999999999</v>
      </c>
      <c r="K678" t="s">
        <v>2024</v>
      </c>
      <c r="L678" t="str">
        <f>_xlfn.XLOOKUP(Orders[[#This Row],[ProductID]],Products!A:A,Products!C:C)</f>
        <v>Home</v>
      </c>
    </row>
    <row r="679" spans="1:12" x14ac:dyDescent="0.3">
      <c r="A679">
        <v>678</v>
      </c>
      <c r="B679">
        <v>678</v>
      </c>
      <c r="C679">
        <v>37</v>
      </c>
      <c r="D679" t="s">
        <v>2075</v>
      </c>
      <c r="E679">
        <f t="shared" si="30"/>
        <v>2024</v>
      </c>
      <c r="F679" t="str">
        <f t="shared" si="31"/>
        <v>May</v>
      </c>
      <c r="G679">
        <v>2</v>
      </c>
      <c r="H679">
        <f>_xlfn.XLOOKUP(C679,Products!A:A,Products!D:D)</f>
        <v>968.87</v>
      </c>
      <c r="I679">
        <v>20</v>
      </c>
      <c r="J679">
        <f t="shared" si="32"/>
        <v>1550.192</v>
      </c>
      <c r="K679" t="s">
        <v>2021</v>
      </c>
      <c r="L679" t="str">
        <f>_xlfn.XLOOKUP(Orders[[#This Row],[ProductID]],Products!A:A,Products!C:C)</f>
        <v>Home</v>
      </c>
    </row>
    <row r="680" spans="1:12" x14ac:dyDescent="0.3">
      <c r="A680">
        <v>679</v>
      </c>
      <c r="B680">
        <v>679</v>
      </c>
      <c r="C680">
        <v>41</v>
      </c>
      <c r="D680" t="s">
        <v>2176</v>
      </c>
      <c r="E680">
        <f t="shared" si="30"/>
        <v>2024</v>
      </c>
      <c r="F680" t="str">
        <f t="shared" si="31"/>
        <v>Jan</v>
      </c>
      <c r="G680">
        <v>2</v>
      </c>
      <c r="H680">
        <f>_xlfn.XLOOKUP(C680,Products!A:A,Products!D:D)</f>
        <v>554.80999999999995</v>
      </c>
      <c r="I680">
        <v>10</v>
      </c>
      <c r="J680">
        <f t="shared" si="32"/>
        <v>998.6579999999999</v>
      </c>
      <c r="K680" t="s">
        <v>2021</v>
      </c>
      <c r="L680" t="str">
        <f>_xlfn.XLOOKUP(Orders[[#This Row],[ProductID]],Products!A:A,Products!C:C)</f>
        <v>Home</v>
      </c>
    </row>
    <row r="681" spans="1:12" x14ac:dyDescent="0.3">
      <c r="A681">
        <v>680</v>
      </c>
      <c r="B681">
        <v>680</v>
      </c>
      <c r="C681">
        <v>13</v>
      </c>
      <c r="D681" t="s">
        <v>1323</v>
      </c>
      <c r="E681">
        <f t="shared" si="30"/>
        <v>2023</v>
      </c>
      <c r="F681" t="str">
        <f t="shared" si="31"/>
        <v>Jun</v>
      </c>
      <c r="G681">
        <v>2</v>
      </c>
      <c r="H681">
        <f>_xlfn.XLOOKUP(C681,Products!A:A,Products!D:D)</f>
        <v>334.61</v>
      </c>
      <c r="I681">
        <v>20</v>
      </c>
      <c r="J681">
        <f t="shared" si="32"/>
        <v>535.37600000000009</v>
      </c>
      <c r="K681" t="s">
        <v>2019</v>
      </c>
      <c r="L681" t="str">
        <f>_xlfn.XLOOKUP(Orders[[#This Row],[ProductID]],Products!A:A,Products!C:C)</f>
        <v>Home</v>
      </c>
    </row>
    <row r="682" spans="1:12" x14ac:dyDescent="0.3">
      <c r="A682">
        <v>681</v>
      </c>
      <c r="B682">
        <v>681</v>
      </c>
      <c r="C682">
        <v>65</v>
      </c>
      <c r="D682" t="s">
        <v>2078</v>
      </c>
      <c r="E682">
        <f t="shared" si="30"/>
        <v>2024</v>
      </c>
      <c r="F682" t="str">
        <f t="shared" si="31"/>
        <v>Feb</v>
      </c>
      <c r="G682">
        <v>1</v>
      </c>
      <c r="H682">
        <f>_xlfn.XLOOKUP(C682,Products!A:A,Products!D:D)</f>
        <v>1189.73</v>
      </c>
      <c r="I682">
        <v>0</v>
      </c>
      <c r="J682">
        <f t="shared" si="32"/>
        <v>1189.73</v>
      </c>
      <c r="K682" t="s">
        <v>2015</v>
      </c>
      <c r="L682" t="str">
        <f>_xlfn.XLOOKUP(Orders[[#This Row],[ProductID]],Products!A:A,Products!C:C)</f>
        <v>Home</v>
      </c>
    </row>
    <row r="683" spans="1:12" x14ac:dyDescent="0.3">
      <c r="A683">
        <v>682</v>
      </c>
      <c r="B683">
        <v>682</v>
      </c>
      <c r="C683">
        <v>49</v>
      </c>
      <c r="D683" t="s">
        <v>1680</v>
      </c>
      <c r="E683">
        <f t="shared" si="30"/>
        <v>2023</v>
      </c>
      <c r="F683" t="str">
        <f t="shared" si="31"/>
        <v>Sep</v>
      </c>
      <c r="G683">
        <v>3</v>
      </c>
      <c r="H683">
        <f>_xlfn.XLOOKUP(C683,Products!A:A,Products!D:D)</f>
        <v>974.54</v>
      </c>
      <c r="I683">
        <v>0</v>
      </c>
      <c r="J683">
        <f t="shared" si="32"/>
        <v>2923.62</v>
      </c>
      <c r="K683" t="s">
        <v>2024</v>
      </c>
      <c r="L683" t="str">
        <f>_xlfn.XLOOKUP(Orders[[#This Row],[ProductID]],Products!A:A,Products!C:C)</f>
        <v>Home</v>
      </c>
    </row>
    <row r="684" spans="1:12" x14ac:dyDescent="0.3">
      <c r="A684">
        <v>683</v>
      </c>
      <c r="B684">
        <v>683</v>
      </c>
      <c r="C684">
        <v>21</v>
      </c>
      <c r="D684" t="s">
        <v>2060</v>
      </c>
      <c r="E684">
        <f t="shared" si="30"/>
        <v>2023</v>
      </c>
      <c r="F684" t="str">
        <f t="shared" si="31"/>
        <v>Mar</v>
      </c>
      <c r="G684">
        <v>3</v>
      </c>
      <c r="H684">
        <f>_xlfn.XLOOKUP(C684,Products!A:A,Products!D:D)</f>
        <v>420.66</v>
      </c>
      <c r="I684">
        <v>15</v>
      </c>
      <c r="J684">
        <f t="shared" si="32"/>
        <v>1072.683</v>
      </c>
      <c r="K684" t="s">
        <v>2019</v>
      </c>
      <c r="L684" t="str">
        <f>_xlfn.XLOOKUP(Orders[[#This Row],[ProductID]],Products!A:A,Products!C:C)</f>
        <v>Beauty</v>
      </c>
    </row>
    <row r="685" spans="1:12" x14ac:dyDescent="0.3">
      <c r="A685">
        <v>684</v>
      </c>
      <c r="B685">
        <v>684</v>
      </c>
      <c r="C685">
        <v>12</v>
      </c>
      <c r="D685" t="s">
        <v>2062</v>
      </c>
      <c r="E685">
        <f t="shared" si="30"/>
        <v>2024</v>
      </c>
      <c r="F685" t="str">
        <f t="shared" si="31"/>
        <v>May</v>
      </c>
      <c r="G685">
        <v>3</v>
      </c>
      <c r="H685">
        <f>_xlfn.XLOOKUP(C685,Products!A:A,Products!D:D)</f>
        <v>627.41999999999996</v>
      </c>
      <c r="I685">
        <v>5</v>
      </c>
      <c r="J685">
        <f t="shared" si="32"/>
        <v>1788.1469999999997</v>
      </c>
      <c r="K685" t="s">
        <v>2021</v>
      </c>
      <c r="L685" t="str">
        <f>_xlfn.XLOOKUP(Orders[[#This Row],[ProductID]],Products!A:A,Products!C:C)</f>
        <v>Beauty</v>
      </c>
    </row>
    <row r="686" spans="1:12" x14ac:dyDescent="0.3">
      <c r="A686">
        <v>685</v>
      </c>
      <c r="B686">
        <v>685</v>
      </c>
      <c r="C686">
        <v>19</v>
      </c>
      <c r="D686" t="s">
        <v>2187</v>
      </c>
      <c r="E686">
        <f t="shared" si="30"/>
        <v>2024</v>
      </c>
      <c r="F686" t="str">
        <f t="shared" si="31"/>
        <v>Jan</v>
      </c>
      <c r="G686">
        <v>3</v>
      </c>
      <c r="H686">
        <f>_xlfn.XLOOKUP(C686,Products!A:A,Products!D:D)</f>
        <v>262.97000000000003</v>
      </c>
      <c r="I686">
        <v>5</v>
      </c>
      <c r="J686">
        <f t="shared" si="32"/>
        <v>749.46450000000004</v>
      </c>
      <c r="K686" t="s">
        <v>2015</v>
      </c>
      <c r="L686" t="str">
        <f>_xlfn.XLOOKUP(Orders[[#This Row],[ProductID]],Products!A:A,Products!C:C)</f>
        <v>Beauty</v>
      </c>
    </row>
    <row r="687" spans="1:12" x14ac:dyDescent="0.3">
      <c r="A687">
        <v>686</v>
      </c>
      <c r="B687">
        <v>686</v>
      </c>
      <c r="C687">
        <v>67</v>
      </c>
      <c r="D687" t="s">
        <v>2092</v>
      </c>
      <c r="E687">
        <f t="shared" si="30"/>
        <v>2024</v>
      </c>
      <c r="F687" t="str">
        <f t="shared" si="31"/>
        <v>Jan</v>
      </c>
      <c r="G687">
        <v>3</v>
      </c>
      <c r="H687">
        <f>_xlfn.XLOOKUP(C687,Products!A:A,Products!D:D)</f>
        <v>258.35000000000002</v>
      </c>
      <c r="I687">
        <v>20</v>
      </c>
      <c r="J687">
        <f t="shared" si="32"/>
        <v>620.04000000000008</v>
      </c>
      <c r="K687" t="s">
        <v>2024</v>
      </c>
      <c r="L687" t="str">
        <f>_xlfn.XLOOKUP(Orders[[#This Row],[ProductID]],Products!A:A,Products!C:C)</f>
        <v>Electronics</v>
      </c>
    </row>
    <row r="688" spans="1:12" x14ac:dyDescent="0.3">
      <c r="A688">
        <v>687</v>
      </c>
      <c r="B688">
        <v>687</v>
      </c>
      <c r="C688">
        <v>58</v>
      </c>
      <c r="D688" t="s">
        <v>2105</v>
      </c>
      <c r="E688">
        <f t="shared" si="30"/>
        <v>2024</v>
      </c>
      <c r="F688" t="str">
        <f t="shared" si="31"/>
        <v>Feb</v>
      </c>
      <c r="G688">
        <v>1</v>
      </c>
      <c r="H688">
        <f>_xlfn.XLOOKUP(C688,Products!A:A,Products!D:D)</f>
        <v>334.98</v>
      </c>
      <c r="I688">
        <v>10</v>
      </c>
      <c r="J688">
        <f t="shared" si="32"/>
        <v>301.48200000000003</v>
      </c>
      <c r="K688" t="s">
        <v>2024</v>
      </c>
      <c r="L688" t="str">
        <f>_xlfn.XLOOKUP(Orders[[#This Row],[ProductID]],Products!A:A,Products!C:C)</f>
        <v>Home</v>
      </c>
    </row>
    <row r="689" spans="1:12" x14ac:dyDescent="0.3">
      <c r="A689">
        <v>688</v>
      </c>
      <c r="B689">
        <v>688</v>
      </c>
      <c r="C689">
        <v>47</v>
      </c>
      <c r="D689" t="s">
        <v>314</v>
      </c>
      <c r="E689">
        <f t="shared" si="30"/>
        <v>2023</v>
      </c>
      <c r="F689" t="str">
        <f t="shared" si="31"/>
        <v>Nov</v>
      </c>
      <c r="G689">
        <v>2</v>
      </c>
      <c r="H689">
        <f>_xlfn.XLOOKUP(C689,Products!A:A,Products!D:D)</f>
        <v>1126.96</v>
      </c>
      <c r="I689">
        <v>0</v>
      </c>
      <c r="J689">
        <f t="shared" si="32"/>
        <v>2253.92</v>
      </c>
      <c r="K689" t="s">
        <v>2017</v>
      </c>
      <c r="L689" t="str">
        <f>_xlfn.XLOOKUP(Orders[[#This Row],[ProductID]],Products!A:A,Products!C:C)</f>
        <v>Beauty</v>
      </c>
    </row>
    <row r="690" spans="1:12" x14ac:dyDescent="0.3">
      <c r="A690">
        <v>689</v>
      </c>
      <c r="B690">
        <v>689</v>
      </c>
      <c r="C690">
        <v>31</v>
      </c>
      <c r="D690" t="s">
        <v>197</v>
      </c>
      <c r="E690">
        <f t="shared" si="30"/>
        <v>2023</v>
      </c>
      <c r="F690" t="str">
        <f t="shared" si="31"/>
        <v>Apr</v>
      </c>
      <c r="G690">
        <v>3</v>
      </c>
      <c r="H690">
        <f>_xlfn.XLOOKUP(C690,Products!A:A,Products!D:D)</f>
        <v>131.79</v>
      </c>
      <c r="I690">
        <v>20</v>
      </c>
      <c r="J690">
        <f t="shared" si="32"/>
        <v>316.29600000000005</v>
      </c>
      <c r="K690" t="s">
        <v>2019</v>
      </c>
      <c r="L690" t="str">
        <f>_xlfn.XLOOKUP(Orders[[#This Row],[ProductID]],Products!A:A,Products!C:C)</f>
        <v>Beauty</v>
      </c>
    </row>
    <row r="691" spans="1:12" x14ac:dyDescent="0.3">
      <c r="A691">
        <v>690</v>
      </c>
      <c r="B691">
        <v>690</v>
      </c>
      <c r="C691">
        <v>20</v>
      </c>
      <c r="D691" t="s">
        <v>993</v>
      </c>
      <c r="E691">
        <f t="shared" si="30"/>
        <v>2023</v>
      </c>
      <c r="F691" t="str">
        <f t="shared" si="31"/>
        <v>Oct</v>
      </c>
      <c r="G691">
        <v>3</v>
      </c>
      <c r="H691">
        <f>_xlfn.XLOOKUP(C691,Products!A:A,Products!D:D)</f>
        <v>613.27</v>
      </c>
      <c r="I691">
        <v>15</v>
      </c>
      <c r="J691">
        <f t="shared" si="32"/>
        <v>1563.8384999999998</v>
      </c>
      <c r="K691" t="s">
        <v>2019</v>
      </c>
      <c r="L691" t="str">
        <f>_xlfn.XLOOKUP(Orders[[#This Row],[ProductID]],Products!A:A,Products!C:C)</f>
        <v>Home</v>
      </c>
    </row>
    <row r="692" spans="1:12" x14ac:dyDescent="0.3">
      <c r="A692">
        <v>691</v>
      </c>
      <c r="B692">
        <v>691</v>
      </c>
      <c r="C692">
        <v>2</v>
      </c>
      <c r="D692" t="s">
        <v>1952</v>
      </c>
      <c r="E692">
        <f t="shared" si="30"/>
        <v>2023</v>
      </c>
      <c r="F692" t="str">
        <f t="shared" si="31"/>
        <v>Mar</v>
      </c>
      <c r="G692">
        <v>2</v>
      </c>
      <c r="H692">
        <f>_xlfn.XLOOKUP(C692,Products!A:A,Products!D:D)</f>
        <v>427.27</v>
      </c>
      <c r="I692">
        <v>20</v>
      </c>
      <c r="J692">
        <f t="shared" si="32"/>
        <v>683.63200000000006</v>
      </c>
      <c r="K692" t="s">
        <v>2019</v>
      </c>
      <c r="L692" t="str">
        <f>_xlfn.XLOOKUP(Orders[[#This Row],[ProductID]],Products!A:A,Products!C:C)</f>
        <v>Home</v>
      </c>
    </row>
    <row r="693" spans="1:12" x14ac:dyDescent="0.3">
      <c r="A693">
        <v>692</v>
      </c>
      <c r="B693">
        <v>692</v>
      </c>
      <c r="C693">
        <v>64</v>
      </c>
      <c r="D693" t="s">
        <v>1366</v>
      </c>
      <c r="E693">
        <f t="shared" si="30"/>
        <v>2023</v>
      </c>
      <c r="F693" t="str">
        <f t="shared" si="31"/>
        <v>Feb</v>
      </c>
      <c r="G693">
        <v>2</v>
      </c>
      <c r="H693">
        <f>_xlfn.XLOOKUP(C693,Products!A:A,Products!D:D)</f>
        <v>567.71</v>
      </c>
      <c r="I693">
        <v>10</v>
      </c>
      <c r="J693">
        <f t="shared" si="32"/>
        <v>1021.878</v>
      </c>
      <c r="K693" t="s">
        <v>2021</v>
      </c>
      <c r="L693" t="str">
        <f>_xlfn.XLOOKUP(Orders[[#This Row],[ProductID]],Products!A:A,Products!C:C)</f>
        <v>Clothing</v>
      </c>
    </row>
    <row r="694" spans="1:12" x14ac:dyDescent="0.3">
      <c r="A694">
        <v>693</v>
      </c>
      <c r="B694">
        <v>693</v>
      </c>
      <c r="C694">
        <v>38</v>
      </c>
      <c r="D694" t="s">
        <v>648</v>
      </c>
      <c r="E694">
        <f t="shared" si="30"/>
        <v>2023</v>
      </c>
      <c r="F694" t="str">
        <f t="shared" si="31"/>
        <v>Mar</v>
      </c>
      <c r="G694">
        <v>1</v>
      </c>
      <c r="H694">
        <f>_xlfn.XLOOKUP(C694,Products!A:A,Products!D:D)</f>
        <v>802.88</v>
      </c>
      <c r="I694">
        <v>10</v>
      </c>
      <c r="J694">
        <f t="shared" si="32"/>
        <v>722.59199999999998</v>
      </c>
      <c r="K694" t="s">
        <v>2015</v>
      </c>
      <c r="L694" t="str">
        <f>_xlfn.XLOOKUP(Orders[[#This Row],[ProductID]],Products!A:A,Products!C:C)</f>
        <v>Home</v>
      </c>
    </row>
    <row r="695" spans="1:12" x14ac:dyDescent="0.3">
      <c r="A695">
        <v>694</v>
      </c>
      <c r="B695">
        <v>694</v>
      </c>
      <c r="C695">
        <v>47</v>
      </c>
      <c r="D695" t="s">
        <v>575</v>
      </c>
      <c r="E695">
        <f t="shared" si="30"/>
        <v>2023</v>
      </c>
      <c r="F695" t="str">
        <f t="shared" si="31"/>
        <v>Jun</v>
      </c>
      <c r="G695">
        <v>1</v>
      </c>
      <c r="H695">
        <f>_xlfn.XLOOKUP(C695,Products!A:A,Products!D:D)</f>
        <v>1126.96</v>
      </c>
      <c r="I695">
        <v>0</v>
      </c>
      <c r="J695">
        <f t="shared" si="32"/>
        <v>1126.96</v>
      </c>
      <c r="K695" t="s">
        <v>2021</v>
      </c>
      <c r="L695" t="str">
        <f>_xlfn.XLOOKUP(Orders[[#This Row],[ProductID]],Products!A:A,Products!C:C)</f>
        <v>Beauty</v>
      </c>
    </row>
    <row r="696" spans="1:12" x14ac:dyDescent="0.3">
      <c r="A696">
        <v>695</v>
      </c>
      <c r="B696">
        <v>695</v>
      </c>
      <c r="C696">
        <v>59</v>
      </c>
      <c r="D696" t="s">
        <v>271</v>
      </c>
      <c r="E696">
        <f t="shared" si="30"/>
        <v>2023</v>
      </c>
      <c r="F696" t="str">
        <f t="shared" si="31"/>
        <v>May</v>
      </c>
      <c r="G696">
        <v>2</v>
      </c>
      <c r="H696">
        <f>_xlfn.XLOOKUP(C696,Products!A:A,Products!D:D)</f>
        <v>782.33</v>
      </c>
      <c r="I696">
        <v>10</v>
      </c>
      <c r="J696">
        <f t="shared" si="32"/>
        <v>1408.1940000000002</v>
      </c>
      <c r="K696" t="s">
        <v>2017</v>
      </c>
      <c r="L696" t="str">
        <f>_xlfn.XLOOKUP(Orders[[#This Row],[ProductID]],Products!A:A,Products!C:C)</f>
        <v>Clothing</v>
      </c>
    </row>
    <row r="697" spans="1:12" x14ac:dyDescent="0.3">
      <c r="A697">
        <v>696</v>
      </c>
      <c r="B697">
        <v>696</v>
      </c>
      <c r="C697">
        <v>18</v>
      </c>
      <c r="D697" t="s">
        <v>2156</v>
      </c>
      <c r="E697">
        <f t="shared" si="30"/>
        <v>2024</v>
      </c>
      <c r="F697" t="str">
        <f t="shared" si="31"/>
        <v>Apr</v>
      </c>
      <c r="G697">
        <v>1</v>
      </c>
      <c r="H697">
        <f>_xlfn.XLOOKUP(C697,Products!A:A,Products!D:D)</f>
        <v>138.07</v>
      </c>
      <c r="I697">
        <v>20</v>
      </c>
      <c r="J697">
        <f t="shared" si="32"/>
        <v>110.456</v>
      </c>
      <c r="K697" t="s">
        <v>2017</v>
      </c>
      <c r="L697" t="str">
        <f>_xlfn.XLOOKUP(Orders[[#This Row],[ProductID]],Products!A:A,Products!C:C)</f>
        <v>Home</v>
      </c>
    </row>
    <row r="698" spans="1:12" x14ac:dyDescent="0.3">
      <c r="A698">
        <v>697</v>
      </c>
      <c r="B698">
        <v>697</v>
      </c>
      <c r="C698">
        <v>6</v>
      </c>
      <c r="D698" t="s">
        <v>2178</v>
      </c>
      <c r="E698">
        <f t="shared" si="30"/>
        <v>2023</v>
      </c>
      <c r="F698" t="str">
        <f t="shared" si="31"/>
        <v>Jul</v>
      </c>
      <c r="G698">
        <v>2</v>
      </c>
      <c r="H698">
        <f>_xlfn.XLOOKUP(C698,Products!A:A,Products!D:D)</f>
        <v>719.19</v>
      </c>
      <c r="I698">
        <v>15</v>
      </c>
      <c r="J698">
        <f t="shared" si="32"/>
        <v>1222.623</v>
      </c>
      <c r="K698" t="s">
        <v>2017</v>
      </c>
      <c r="L698" t="str">
        <f>_xlfn.XLOOKUP(Orders[[#This Row],[ProductID]],Products!A:A,Products!C:C)</f>
        <v>Clothing</v>
      </c>
    </row>
    <row r="699" spans="1:12" x14ac:dyDescent="0.3">
      <c r="A699">
        <v>698</v>
      </c>
      <c r="B699">
        <v>698</v>
      </c>
      <c r="C699">
        <v>80</v>
      </c>
      <c r="D699" t="s">
        <v>2184</v>
      </c>
      <c r="E699">
        <f t="shared" si="30"/>
        <v>2024</v>
      </c>
      <c r="F699" t="str">
        <f t="shared" si="31"/>
        <v>Apr</v>
      </c>
      <c r="G699">
        <v>3</v>
      </c>
      <c r="H699">
        <f>_xlfn.XLOOKUP(C699,Products!A:A,Products!D:D)</f>
        <v>1014.45</v>
      </c>
      <c r="I699">
        <v>5</v>
      </c>
      <c r="J699">
        <f t="shared" si="32"/>
        <v>2891.1825000000003</v>
      </c>
      <c r="K699" t="s">
        <v>2017</v>
      </c>
      <c r="L699" t="str">
        <f>_xlfn.XLOOKUP(Orders[[#This Row],[ProductID]],Products!A:A,Products!C:C)</f>
        <v>Beauty</v>
      </c>
    </row>
    <row r="700" spans="1:12" x14ac:dyDescent="0.3">
      <c r="A700">
        <v>699</v>
      </c>
      <c r="B700">
        <v>699</v>
      </c>
      <c r="C700">
        <v>47</v>
      </c>
      <c r="D700" t="s">
        <v>1501</v>
      </c>
      <c r="E700">
        <f t="shared" si="30"/>
        <v>2023</v>
      </c>
      <c r="F700" t="str">
        <f t="shared" si="31"/>
        <v>Sep</v>
      </c>
      <c r="G700">
        <v>3</v>
      </c>
      <c r="H700">
        <f>_xlfn.XLOOKUP(C700,Products!A:A,Products!D:D)</f>
        <v>1126.96</v>
      </c>
      <c r="I700">
        <v>10</v>
      </c>
      <c r="J700">
        <f t="shared" si="32"/>
        <v>3042.7920000000004</v>
      </c>
      <c r="K700" t="s">
        <v>2024</v>
      </c>
      <c r="L700" t="str">
        <f>_xlfn.XLOOKUP(Orders[[#This Row],[ProductID]],Products!A:A,Products!C:C)</f>
        <v>Beauty</v>
      </c>
    </row>
    <row r="701" spans="1:12" x14ac:dyDescent="0.3">
      <c r="A701">
        <v>700</v>
      </c>
      <c r="B701">
        <v>700</v>
      </c>
      <c r="C701">
        <v>11</v>
      </c>
      <c r="D701" t="s">
        <v>2188</v>
      </c>
      <c r="E701">
        <f t="shared" si="30"/>
        <v>2023</v>
      </c>
      <c r="F701" t="str">
        <f t="shared" si="31"/>
        <v>Dec</v>
      </c>
      <c r="G701">
        <v>2</v>
      </c>
      <c r="H701">
        <f>_xlfn.XLOOKUP(C701,Products!A:A,Products!D:D)</f>
        <v>1038.77</v>
      </c>
      <c r="I701">
        <v>20</v>
      </c>
      <c r="J701">
        <f t="shared" si="32"/>
        <v>1662.0320000000002</v>
      </c>
      <c r="K701" t="s">
        <v>2017</v>
      </c>
      <c r="L701" t="str">
        <f>_xlfn.XLOOKUP(Orders[[#This Row],[ProductID]],Products!A:A,Products!C:C)</f>
        <v>Beauty</v>
      </c>
    </row>
    <row r="702" spans="1:12" x14ac:dyDescent="0.3">
      <c r="A702">
        <v>701</v>
      </c>
      <c r="B702">
        <v>701</v>
      </c>
      <c r="C702">
        <v>34</v>
      </c>
      <c r="D702" t="s">
        <v>2018</v>
      </c>
      <c r="E702">
        <f t="shared" si="30"/>
        <v>2024</v>
      </c>
      <c r="F702" t="str">
        <f t="shared" si="31"/>
        <v>Mar</v>
      </c>
      <c r="G702">
        <v>3</v>
      </c>
      <c r="H702">
        <f>_xlfn.XLOOKUP(C702,Products!A:A,Products!D:D)</f>
        <v>523.98</v>
      </c>
      <c r="I702">
        <v>0</v>
      </c>
      <c r="J702">
        <f t="shared" si="32"/>
        <v>1571.94</v>
      </c>
      <c r="K702" t="s">
        <v>2015</v>
      </c>
      <c r="L702" t="str">
        <f>_xlfn.XLOOKUP(Orders[[#This Row],[ProductID]],Products!A:A,Products!C:C)</f>
        <v>Home</v>
      </c>
    </row>
    <row r="703" spans="1:12" x14ac:dyDescent="0.3">
      <c r="A703">
        <v>702</v>
      </c>
      <c r="B703">
        <v>702</v>
      </c>
      <c r="C703">
        <v>8</v>
      </c>
      <c r="D703" t="s">
        <v>2189</v>
      </c>
      <c r="E703">
        <f t="shared" si="30"/>
        <v>2024</v>
      </c>
      <c r="F703" t="str">
        <f t="shared" si="31"/>
        <v>Jan</v>
      </c>
      <c r="G703">
        <v>1</v>
      </c>
      <c r="H703">
        <f>_xlfn.XLOOKUP(C703,Products!A:A,Products!D:D)</f>
        <v>155.08000000000001</v>
      </c>
      <c r="I703">
        <v>20</v>
      </c>
      <c r="J703">
        <f t="shared" si="32"/>
        <v>124.06400000000002</v>
      </c>
      <c r="K703" t="s">
        <v>2019</v>
      </c>
      <c r="L703" t="str">
        <f>_xlfn.XLOOKUP(Orders[[#This Row],[ProductID]],Products!A:A,Products!C:C)</f>
        <v>Clothing</v>
      </c>
    </row>
    <row r="704" spans="1:12" x14ac:dyDescent="0.3">
      <c r="A704">
        <v>703</v>
      </c>
      <c r="B704">
        <v>703</v>
      </c>
      <c r="C704">
        <v>20</v>
      </c>
      <c r="D704" t="s">
        <v>2106</v>
      </c>
      <c r="E704">
        <f t="shared" si="30"/>
        <v>2024</v>
      </c>
      <c r="F704" t="str">
        <f t="shared" si="31"/>
        <v>Mar</v>
      </c>
      <c r="G704">
        <v>1</v>
      </c>
      <c r="H704">
        <f>_xlfn.XLOOKUP(C704,Products!A:A,Products!D:D)</f>
        <v>613.27</v>
      </c>
      <c r="I704">
        <v>10</v>
      </c>
      <c r="J704">
        <f t="shared" si="32"/>
        <v>551.94299999999998</v>
      </c>
      <c r="K704" t="s">
        <v>2017</v>
      </c>
      <c r="L704" t="str">
        <f>_xlfn.XLOOKUP(Orders[[#This Row],[ProductID]],Products!A:A,Products!C:C)</f>
        <v>Home</v>
      </c>
    </row>
    <row r="705" spans="1:12" x14ac:dyDescent="0.3">
      <c r="A705">
        <v>704</v>
      </c>
      <c r="B705">
        <v>704</v>
      </c>
      <c r="C705">
        <v>21</v>
      </c>
      <c r="D705" t="s">
        <v>73</v>
      </c>
      <c r="E705">
        <f t="shared" si="30"/>
        <v>2023</v>
      </c>
      <c r="F705" t="str">
        <f t="shared" si="31"/>
        <v>Oct</v>
      </c>
      <c r="G705">
        <v>2</v>
      </c>
      <c r="H705">
        <f>_xlfn.XLOOKUP(C705,Products!A:A,Products!D:D)</f>
        <v>420.66</v>
      </c>
      <c r="I705">
        <v>0</v>
      </c>
      <c r="J705">
        <f t="shared" si="32"/>
        <v>841.32</v>
      </c>
      <c r="K705" t="s">
        <v>2021</v>
      </c>
      <c r="L705" t="str">
        <f>_xlfn.XLOOKUP(Orders[[#This Row],[ProductID]],Products!A:A,Products!C:C)</f>
        <v>Beauty</v>
      </c>
    </row>
    <row r="706" spans="1:12" x14ac:dyDescent="0.3">
      <c r="A706">
        <v>705</v>
      </c>
      <c r="B706">
        <v>705</v>
      </c>
      <c r="C706">
        <v>50</v>
      </c>
      <c r="D706" t="s">
        <v>2190</v>
      </c>
      <c r="E706">
        <f t="shared" si="30"/>
        <v>2024</v>
      </c>
      <c r="F706" t="str">
        <f t="shared" si="31"/>
        <v>Mar</v>
      </c>
      <c r="G706">
        <v>2</v>
      </c>
      <c r="H706">
        <f>_xlfn.XLOOKUP(C706,Products!A:A,Products!D:D)</f>
        <v>1122.8699999999999</v>
      </c>
      <c r="I706">
        <v>0</v>
      </c>
      <c r="J706">
        <f t="shared" si="32"/>
        <v>2245.7399999999998</v>
      </c>
      <c r="K706" t="s">
        <v>2024</v>
      </c>
      <c r="L706" t="str">
        <f>_xlfn.XLOOKUP(Orders[[#This Row],[ProductID]],Products!A:A,Products!C:C)</f>
        <v>Home</v>
      </c>
    </row>
    <row r="707" spans="1:12" x14ac:dyDescent="0.3">
      <c r="A707">
        <v>706</v>
      </c>
      <c r="B707">
        <v>706</v>
      </c>
      <c r="C707">
        <v>60</v>
      </c>
      <c r="D707" t="s">
        <v>1411</v>
      </c>
      <c r="E707">
        <f t="shared" ref="E707:E770" si="33">YEAR(D707)</f>
        <v>2023</v>
      </c>
      <c r="F707" t="str">
        <f t="shared" ref="F707:F770" si="34">TEXT(D707,"mmm")</f>
        <v>Aug</v>
      </c>
      <c r="G707">
        <v>3</v>
      </c>
      <c r="H707">
        <f>_xlfn.XLOOKUP(C707,Products!A:A,Products!D:D)</f>
        <v>830.49</v>
      </c>
      <c r="I707">
        <v>20</v>
      </c>
      <c r="J707">
        <f t="shared" ref="J707:J770" si="35">G707*H707*(1-I707/100)</f>
        <v>1993.1760000000004</v>
      </c>
      <c r="K707" t="s">
        <v>2017</v>
      </c>
      <c r="L707" t="str">
        <f>_xlfn.XLOOKUP(Orders[[#This Row],[ProductID]],Products!A:A,Products!C:C)</f>
        <v>Clothing</v>
      </c>
    </row>
    <row r="708" spans="1:12" x14ac:dyDescent="0.3">
      <c r="A708">
        <v>707</v>
      </c>
      <c r="B708">
        <v>707</v>
      </c>
      <c r="C708">
        <v>14</v>
      </c>
      <c r="D708" t="s">
        <v>60</v>
      </c>
      <c r="E708">
        <f t="shared" si="33"/>
        <v>2023</v>
      </c>
      <c r="F708" t="str">
        <f t="shared" si="34"/>
        <v>Feb</v>
      </c>
      <c r="G708">
        <v>1</v>
      </c>
      <c r="H708">
        <f>_xlfn.XLOOKUP(C708,Products!A:A,Products!D:D)</f>
        <v>574.25</v>
      </c>
      <c r="I708">
        <v>0</v>
      </c>
      <c r="J708">
        <f t="shared" si="35"/>
        <v>574.25</v>
      </c>
      <c r="K708" t="s">
        <v>2017</v>
      </c>
      <c r="L708" t="str">
        <f>_xlfn.XLOOKUP(Orders[[#This Row],[ProductID]],Products!A:A,Products!C:C)</f>
        <v>Beauty</v>
      </c>
    </row>
    <row r="709" spans="1:12" x14ac:dyDescent="0.3">
      <c r="A709">
        <v>708</v>
      </c>
      <c r="B709">
        <v>708</v>
      </c>
      <c r="C709">
        <v>56</v>
      </c>
      <c r="D709" t="s">
        <v>848</v>
      </c>
      <c r="E709">
        <f t="shared" si="33"/>
        <v>2023</v>
      </c>
      <c r="F709" t="str">
        <f t="shared" si="34"/>
        <v>Apr</v>
      </c>
      <c r="G709">
        <v>2</v>
      </c>
      <c r="H709">
        <f>_xlfn.XLOOKUP(C709,Products!A:A,Products!D:D)</f>
        <v>396.01</v>
      </c>
      <c r="I709">
        <v>10</v>
      </c>
      <c r="J709">
        <f t="shared" si="35"/>
        <v>712.81799999999998</v>
      </c>
      <c r="K709" t="s">
        <v>2019</v>
      </c>
      <c r="L709" t="str">
        <f>_xlfn.XLOOKUP(Orders[[#This Row],[ProductID]],Products!A:A,Products!C:C)</f>
        <v>Home</v>
      </c>
    </row>
    <row r="710" spans="1:12" x14ac:dyDescent="0.3">
      <c r="A710">
        <v>709</v>
      </c>
      <c r="B710">
        <v>709</v>
      </c>
      <c r="C710">
        <v>41</v>
      </c>
      <c r="D710" t="s">
        <v>93</v>
      </c>
      <c r="E710">
        <f t="shared" si="33"/>
        <v>2023</v>
      </c>
      <c r="F710" t="str">
        <f t="shared" si="34"/>
        <v>Jun</v>
      </c>
      <c r="G710">
        <v>3</v>
      </c>
      <c r="H710">
        <f>_xlfn.XLOOKUP(C710,Products!A:A,Products!D:D)</f>
        <v>554.80999999999995</v>
      </c>
      <c r="I710">
        <v>15</v>
      </c>
      <c r="J710">
        <f t="shared" si="35"/>
        <v>1414.7654999999997</v>
      </c>
      <c r="K710" t="s">
        <v>2021</v>
      </c>
      <c r="L710" t="str">
        <f>_xlfn.XLOOKUP(Orders[[#This Row],[ProductID]],Products!A:A,Products!C:C)</f>
        <v>Home</v>
      </c>
    </row>
    <row r="711" spans="1:12" x14ac:dyDescent="0.3">
      <c r="A711">
        <v>710</v>
      </c>
      <c r="B711">
        <v>710</v>
      </c>
      <c r="C711">
        <v>61</v>
      </c>
      <c r="D711" t="s">
        <v>530</v>
      </c>
      <c r="E711">
        <f t="shared" si="33"/>
        <v>2023</v>
      </c>
      <c r="F711" t="str">
        <f t="shared" si="34"/>
        <v>Feb</v>
      </c>
      <c r="G711">
        <v>2</v>
      </c>
      <c r="H711">
        <f>_xlfn.XLOOKUP(C711,Products!A:A,Products!D:D)</f>
        <v>498.92</v>
      </c>
      <c r="I711">
        <v>15</v>
      </c>
      <c r="J711">
        <f t="shared" si="35"/>
        <v>848.16399999999999</v>
      </c>
      <c r="K711" t="s">
        <v>2019</v>
      </c>
      <c r="L711" t="str">
        <f>_xlfn.XLOOKUP(Orders[[#This Row],[ProductID]],Products!A:A,Products!C:C)</f>
        <v>Clothing</v>
      </c>
    </row>
    <row r="712" spans="1:12" x14ac:dyDescent="0.3">
      <c r="A712">
        <v>711</v>
      </c>
      <c r="B712">
        <v>711</v>
      </c>
      <c r="C712">
        <v>70</v>
      </c>
      <c r="D712" t="s">
        <v>927</v>
      </c>
      <c r="E712">
        <f t="shared" si="33"/>
        <v>2023</v>
      </c>
      <c r="F712" t="str">
        <f t="shared" si="34"/>
        <v>Mar</v>
      </c>
      <c r="G712">
        <v>2</v>
      </c>
      <c r="H712">
        <f>_xlfn.XLOOKUP(C712,Products!A:A,Products!D:D)</f>
        <v>797.23</v>
      </c>
      <c r="I712">
        <v>5</v>
      </c>
      <c r="J712">
        <f t="shared" si="35"/>
        <v>1514.7369999999999</v>
      </c>
      <c r="K712" t="s">
        <v>2021</v>
      </c>
      <c r="L712" t="str">
        <f>_xlfn.XLOOKUP(Orders[[#This Row],[ProductID]],Products!A:A,Products!C:C)</f>
        <v>Clothing</v>
      </c>
    </row>
    <row r="713" spans="1:12" x14ac:dyDescent="0.3">
      <c r="A713">
        <v>712</v>
      </c>
      <c r="B713">
        <v>712</v>
      </c>
      <c r="C713">
        <v>41</v>
      </c>
      <c r="D713" t="s">
        <v>993</v>
      </c>
      <c r="E713">
        <f t="shared" si="33"/>
        <v>2023</v>
      </c>
      <c r="F713" t="str">
        <f t="shared" si="34"/>
        <v>Oct</v>
      </c>
      <c r="G713">
        <v>1</v>
      </c>
      <c r="H713">
        <f>_xlfn.XLOOKUP(C713,Products!A:A,Products!D:D)</f>
        <v>554.80999999999995</v>
      </c>
      <c r="I713">
        <v>20</v>
      </c>
      <c r="J713">
        <f t="shared" si="35"/>
        <v>443.84799999999996</v>
      </c>
      <c r="K713" t="s">
        <v>2017</v>
      </c>
      <c r="L713" t="str">
        <f>_xlfn.XLOOKUP(Orders[[#This Row],[ProductID]],Products!A:A,Products!C:C)</f>
        <v>Home</v>
      </c>
    </row>
    <row r="714" spans="1:12" x14ac:dyDescent="0.3">
      <c r="A714">
        <v>713</v>
      </c>
      <c r="B714">
        <v>713</v>
      </c>
      <c r="C714">
        <v>8</v>
      </c>
      <c r="D714" t="s">
        <v>2191</v>
      </c>
      <c r="E714">
        <f t="shared" si="33"/>
        <v>2024</v>
      </c>
      <c r="F714" t="str">
        <f t="shared" si="34"/>
        <v>Apr</v>
      </c>
      <c r="G714">
        <v>2</v>
      </c>
      <c r="H714">
        <f>_xlfn.XLOOKUP(C714,Products!A:A,Products!D:D)</f>
        <v>155.08000000000001</v>
      </c>
      <c r="I714">
        <v>15</v>
      </c>
      <c r="J714">
        <f t="shared" si="35"/>
        <v>263.63600000000002</v>
      </c>
      <c r="K714" t="s">
        <v>2017</v>
      </c>
      <c r="L714" t="str">
        <f>_xlfn.XLOOKUP(Orders[[#This Row],[ProductID]],Products!A:A,Products!C:C)</f>
        <v>Clothing</v>
      </c>
    </row>
    <row r="715" spans="1:12" x14ac:dyDescent="0.3">
      <c r="A715">
        <v>714</v>
      </c>
      <c r="B715">
        <v>714</v>
      </c>
      <c r="C715">
        <v>28</v>
      </c>
      <c r="D715" t="s">
        <v>256</v>
      </c>
      <c r="E715">
        <f t="shared" si="33"/>
        <v>2023</v>
      </c>
      <c r="F715" t="str">
        <f t="shared" si="34"/>
        <v>Jan</v>
      </c>
      <c r="G715">
        <v>1</v>
      </c>
      <c r="H715">
        <f>_xlfn.XLOOKUP(C715,Products!A:A,Products!D:D)</f>
        <v>494.39</v>
      </c>
      <c r="I715">
        <v>0</v>
      </c>
      <c r="J715">
        <f t="shared" si="35"/>
        <v>494.39</v>
      </c>
      <c r="K715" t="s">
        <v>2017</v>
      </c>
      <c r="L715" t="str">
        <f>_xlfn.XLOOKUP(Orders[[#This Row],[ProductID]],Products!A:A,Products!C:C)</f>
        <v>Beauty</v>
      </c>
    </row>
    <row r="716" spans="1:12" x14ac:dyDescent="0.3">
      <c r="A716">
        <v>715</v>
      </c>
      <c r="B716">
        <v>715</v>
      </c>
      <c r="C716">
        <v>35</v>
      </c>
      <c r="D716" t="s">
        <v>410</v>
      </c>
      <c r="E716">
        <f t="shared" si="33"/>
        <v>2023</v>
      </c>
      <c r="F716" t="str">
        <f t="shared" si="34"/>
        <v>May</v>
      </c>
      <c r="G716">
        <v>3</v>
      </c>
      <c r="H716">
        <f>_xlfn.XLOOKUP(C716,Products!A:A,Products!D:D)</f>
        <v>958.87</v>
      </c>
      <c r="I716">
        <v>5</v>
      </c>
      <c r="J716">
        <f t="shared" si="35"/>
        <v>2732.7795000000001</v>
      </c>
      <c r="K716" t="s">
        <v>2019</v>
      </c>
      <c r="L716" t="str">
        <f>_xlfn.XLOOKUP(Orders[[#This Row],[ProductID]],Products!A:A,Products!C:C)</f>
        <v>Clothing</v>
      </c>
    </row>
    <row r="717" spans="1:12" x14ac:dyDescent="0.3">
      <c r="A717">
        <v>716</v>
      </c>
      <c r="B717">
        <v>716</v>
      </c>
      <c r="C717">
        <v>19</v>
      </c>
      <c r="D717" t="s">
        <v>2144</v>
      </c>
      <c r="E717">
        <f t="shared" si="33"/>
        <v>2023</v>
      </c>
      <c r="F717" t="str">
        <f t="shared" si="34"/>
        <v>Feb</v>
      </c>
      <c r="G717">
        <v>2</v>
      </c>
      <c r="H717">
        <f>_xlfn.XLOOKUP(C717,Products!A:A,Products!D:D)</f>
        <v>262.97000000000003</v>
      </c>
      <c r="I717">
        <v>15</v>
      </c>
      <c r="J717">
        <f t="shared" si="35"/>
        <v>447.04900000000004</v>
      </c>
      <c r="K717" t="s">
        <v>2019</v>
      </c>
      <c r="L717" t="str">
        <f>_xlfn.XLOOKUP(Orders[[#This Row],[ProductID]],Products!A:A,Products!C:C)</f>
        <v>Beauty</v>
      </c>
    </row>
    <row r="718" spans="1:12" x14ac:dyDescent="0.3">
      <c r="A718">
        <v>717</v>
      </c>
      <c r="B718">
        <v>717</v>
      </c>
      <c r="C718">
        <v>39</v>
      </c>
      <c r="D718" t="s">
        <v>2190</v>
      </c>
      <c r="E718">
        <f t="shared" si="33"/>
        <v>2024</v>
      </c>
      <c r="F718" t="str">
        <f t="shared" si="34"/>
        <v>Mar</v>
      </c>
      <c r="G718">
        <v>3</v>
      </c>
      <c r="H718">
        <f>_xlfn.XLOOKUP(C718,Products!A:A,Products!D:D)</f>
        <v>256.08999999999997</v>
      </c>
      <c r="I718">
        <v>15</v>
      </c>
      <c r="J718">
        <f t="shared" si="35"/>
        <v>653.02949999999998</v>
      </c>
      <c r="K718" t="s">
        <v>2017</v>
      </c>
      <c r="L718" t="str">
        <f>_xlfn.XLOOKUP(Orders[[#This Row],[ProductID]],Products!A:A,Products!C:C)</f>
        <v>Clothing</v>
      </c>
    </row>
    <row r="719" spans="1:12" x14ac:dyDescent="0.3">
      <c r="A719">
        <v>718</v>
      </c>
      <c r="B719">
        <v>718</v>
      </c>
      <c r="C719">
        <v>68</v>
      </c>
      <c r="D719" t="s">
        <v>878</v>
      </c>
      <c r="E719">
        <f t="shared" si="33"/>
        <v>2023</v>
      </c>
      <c r="F719" t="str">
        <f t="shared" si="34"/>
        <v>Apr</v>
      </c>
      <c r="G719">
        <v>3</v>
      </c>
      <c r="H719">
        <f>_xlfn.XLOOKUP(C719,Products!A:A,Products!D:D)</f>
        <v>180.99</v>
      </c>
      <c r="I719">
        <v>10</v>
      </c>
      <c r="J719">
        <f t="shared" si="35"/>
        <v>488.67300000000006</v>
      </c>
      <c r="K719" t="s">
        <v>2021</v>
      </c>
      <c r="L719" t="str">
        <f>_xlfn.XLOOKUP(Orders[[#This Row],[ProductID]],Products!A:A,Products!C:C)</f>
        <v>Clothing</v>
      </c>
    </row>
    <row r="720" spans="1:12" x14ac:dyDescent="0.3">
      <c r="A720">
        <v>719</v>
      </c>
      <c r="B720">
        <v>719</v>
      </c>
      <c r="C720">
        <v>7</v>
      </c>
      <c r="D720" t="s">
        <v>1212</v>
      </c>
      <c r="E720">
        <f t="shared" si="33"/>
        <v>2023</v>
      </c>
      <c r="F720" t="str">
        <f t="shared" si="34"/>
        <v>Feb</v>
      </c>
      <c r="G720">
        <v>2</v>
      </c>
      <c r="H720">
        <f>_xlfn.XLOOKUP(C720,Products!A:A,Products!D:D)</f>
        <v>97.29</v>
      </c>
      <c r="I720">
        <v>10</v>
      </c>
      <c r="J720">
        <f t="shared" si="35"/>
        <v>175.12200000000001</v>
      </c>
      <c r="K720" t="s">
        <v>2024</v>
      </c>
      <c r="L720" t="str">
        <f>_xlfn.XLOOKUP(Orders[[#This Row],[ProductID]],Products!A:A,Products!C:C)</f>
        <v>Beauty</v>
      </c>
    </row>
    <row r="721" spans="1:12" x14ac:dyDescent="0.3">
      <c r="A721">
        <v>720</v>
      </c>
      <c r="B721">
        <v>720</v>
      </c>
      <c r="C721">
        <v>22</v>
      </c>
      <c r="D721" t="s">
        <v>2107</v>
      </c>
      <c r="E721">
        <f t="shared" si="33"/>
        <v>2023</v>
      </c>
      <c r="F721" t="str">
        <f t="shared" si="34"/>
        <v>Apr</v>
      </c>
      <c r="G721">
        <v>2</v>
      </c>
      <c r="H721">
        <f>_xlfn.XLOOKUP(C721,Products!A:A,Products!D:D)</f>
        <v>373.43</v>
      </c>
      <c r="I721">
        <v>15</v>
      </c>
      <c r="J721">
        <f t="shared" si="35"/>
        <v>634.83100000000002</v>
      </c>
      <c r="K721" t="s">
        <v>2017</v>
      </c>
      <c r="L721" t="str">
        <f>_xlfn.XLOOKUP(Orders[[#This Row],[ProductID]],Products!A:A,Products!C:C)</f>
        <v>Beauty</v>
      </c>
    </row>
    <row r="722" spans="1:12" x14ac:dyDescent="0.3">
      <c r="A722">
        <v>721</v>
      </c>
      <c r="B722">
        <v>721</v>
      </c>
      <c r="C722">
        <v>61</v>
      </c>
      <c r="D722" t="s">
        <v>524</v>
      </c>
      <c r="E722">
        <f t="shared" si="33"/>
        <v>2023</v>
      </c>
      <c r="F722" t="str">
        <f t="shared" si="34"/>
        <v>Oct</v>
      </c>
      <c r="G722">
        <v>3</v>
      </c>
      <c r="H722">
        <f>_xlfn.XLOOKUP(C722,Products!A:A,Products!D:D)</f>
        <v>498.92</v>
      </c>
      <c r="I722">
        <v>5</v>
      </c>
      <c r="J722">
        <f t="shared" si="35"/>
        <v>1421.922</v>
      </c>
      <c r="K722" t="s">
        <v>2017</v>
      </c>
      <c r="L722" t="str">
        <f>_xlfn.XLOOKUP(Orders[[#This Row],[ProductID]],Products!A:A,Products!C:C)</f>
        <v>Clothing</v>
      </c>
    </row>
    <row r="723" spans="1:12" x14ac:dyDescent="0.3">
      <c r="A723">
        <v>722</v>
      </c>
      <c r="B723">
        <v>722</v>
      </c>
      <c r="C723">
        <v>46</v>
      </c>
      <c r="D723" t="s">
        <v>2182</v>
      </c>
      <c r="E723">
        <f t="shared" si="33"/>
        <v>2024</v>
      </c>
      <c r="F723" t="str">
        <f t="shared" si="34"/>
        <v>Apr</v>
      </c>
      <c r="G723">
        <v>3</v>
      </c>
      <c r="H723">
        <f>_xlfn.XLOOKUP(C723,Products!A:A,Products!D:D)</f>
        <v>1155.3</v>
      </c>
      <c r="I723">
        <v>20</v>
      </c>
      <c r="J723">
        <f t="shared" si="35"/>
        <v>2772.72</v>
      </c>
      <c r="K723" t="s">
        <v>2017</v>
      </c>
      <c r="L723" t="str">
        <f>_xlfn.XLOOKUP(Orders[[#This Row],[ProductID]],Products!A:A,Products!C:C)</f>
        <v>Beauty</v>
      </c>
    </row>
    <row r="724" spans="1:12" x14ac:dyDescent="0.3">
      <c r="A724">
        <v>723</v>
      </c>
      <c r="B724">
        <v>723</v>
      </c>
      <c r="C724">
        <v>2</v>
      </c>
      <c r="D724" t="s">
        <v>1317</v>
      </c>
      <c r="E724">
        <f t="shared" si="33"/>
        <v>2023</v>
      </c>
      <c r="F724" t="str">
        <f t="shared" si="34"/>
        <v>Oct</v>
      </c>
      <c r="G724">
        <v>3</v>
      </c>
      <c r="H724">
        <f>_xlfn.XLOOKUP(C724,Products!A:A,Products!D:D)</f>
        <v>427.27</v>
      </c>
      <c r="I724">
        <v>5</v>
      </c>
      <c r="J724">
        <f t="shared" si="35"/>
        <v>1217.7194999999999</v>
      </c>
      <c r="K724" t="s">
        <v>2019</v>
      </c>
      <c r="L724" t="str">
        <f>_xlfn.XLOOKUP(Orders[[#This Row],[ProductID]],Products!A:A,Products!C:C)</f>
        <v>Home</v>
      </c>
    </row>
    <row r="725" spans="1:12" x14ac:dyDescent="0.3">
      <c r="A725">
        <v>724</v>
      </c>
      <c r="B725">
        <v>724</v>
      </c>
      <c r="C725">
        <v>75</v>
      </c>
      <c r="D725" t="s">
        <v>214</v>
      </c>
      <c r="E725">
        <f t="shared" si="33"/>
        <v>2023</v>
      </c>
      <c r="F725" t="str">
        <f t="shared" si="34"/>
        <v>Nov</v>
      </c>
      <c r="G725">
        <v>1</v>
      </c>
      <c r="H725">
        <f>_xlfn.XLOOKUP(C725,Products!A:A,Products!D:D)</f>
        <v>390.41</v>
      </c>
      <c r="I725">
        <v>10</v>
      </c>
      <c r="J725">
        <f t="shared" si="35"/>
        <v>351.36900000000003</v>
      </c>
      <c r="K725" t="s">
        <v>2024</v>
      </c>
      <c r="L725" t="str">
        <f>_xlfn.XLOOKUP(Orders[[#This Row],[ProductID]],Products!A:A,Products!C:C)</f>
        <v>Electronics</v>
      </c>
    </row>
    <row r="726" spans="1:12" x14ac:dyDescent="0.3">
      <c r="A726">
        <v>725</v>
      </c>
      <c r="B726">
        <v>725</v>
      </c>
      <c r="C726">
        <v>2</v>
      </c>
      <c r="D726" t="s">
        <v>2060</v>
      </c>
      <c r="E726">
        <f t="shared" si="33"/>
        <v>2023</v>
      </c>
      <c r="F726" t="str">
        <f t="shared" si="34"/>
        <v>Mar</v>
      </c>
      <c r="G726">
        <v>2</v>
      </c>
      <c r="H726">
        <f>_xlfn.XLOOKUP(C726,Products!A:A,Products!D:D)</f>
        <v>427.27</v>
      </c>
      <c r="I726">
        <v>5</v>
      </c>
      <c r="J726">
        <f t="shared" si="35"/>
        <v>811.81299999999987</v>
      </c>
      <c r="K726" t="s">
        <v>2017</v>
      </c>
      <c r="L726" t="str">
        <f>_xlfn.XLOOKUP(Orders[[#This Row],[ProductID]],Products!A:A,Products!C:C)</f>
        <v>Home</v>
      </c>
    </row>
    <row r="727" spans="1:12" x14ac:dyDescent="0.3">
      <c r="A727">
        <v>726</v>
      </c>
      <c r="B727">
        <v>726</v>
      </c>
      <c r="C727">
        <v>41</v>
      </c>
      <c r="D727" t="s">
        <v>530</v>
      </c>
      <c r="E727">
        <f t="shared" si="33"/>
        <v>2023</v>
      </c>
      <c r="F727" t="str">
        <f t="shared" si="34"/>
        <v>Feb</v>
      </c>
      <c r="G727">
        <v>3</v>
      </c>
      <c r="H727">
        <f>_xlfn.XLOOKUP(C727,Products!A:A,Products!D:D)</f>
        <v>554.80999999999995</v>
      </c>
      <c r="I727">
        <v>15</v>
      </c>
      <c r="J727">
        <f t="shared" si="35"/>
        <v>1414.7654999999997</v>
      </c>
      <c r="K727" t="s">
        <v>2024</v>
      </c>
      <c r="L727" t="str">
        <f>_xlfn.XLOOKUP(Orders[[#This Row],[ProductID]],Products!A:A,Products!C:C)</f>
        <v>Home</v>
      </c>
    </row>
    <row r="728" spans="1:12" x14ac:dyDescent="0.3">
      <c r="A728">
        <v>727</v>
      </c>
      <c r="B728">
        <v>727</v>
      </c>
      <c r="C728">
        <v>67</v>
      </c>
      <c r="D728" t="s">
        <v>2146</v>
      </c>
      <c r="E728">
        <f t="shared" si="33"/>
        <v>2024</v>
      </c>
      <c r="F728" t="str">
        <f t="shared" si="34"/>
        <v>Jan</v>
      </c>
      <c r="G728">
        <v>1</v>
      </c>
      <c r="H728">
        <f>_xlfn.XLOOKUP(C728,Products!A:A,Products!D:D)</f>
        <v>258.35000000000002</v>
      </c>
      <c r="I728">
        <v>15</v>
      </c>
      <c r="J728">
        <f t="shared" si="35"/>
        <v>219.59750000000003</v>
      </c>
      <c r="K728" t="s">
        <v>2021</v>
      </c>
      <c r="L728" t="str">
        <f>_xlfn.XLOOKUP(Orders[[#This Row],[ProductID]],Products!A:A,Products!C:C)</f>
        <v>Electronics</v>
      </c>
    </row>
    <row r="729" spans="1:12" x14ac:dyDescent="0.3">
      <c r="A729">
        <v>728</v>
      </c>
      <c r="B729">
        <v>728</v>
      </c>
      <c r="C729">
        <v>58</v>
      </c>
      <c r="D729" t="s">
        <v>1307</v>
      </c>
      <c r="E729">
        <f t="shared" si="33"/>
        <v>2023</v>
      </c>
      <c r="F729" t="str">
        <f t="shared" si="34"/>
        <v>Nov</v>
      </c>
      <c r="G729">
        <v>3</v>
      </c>
      <c r="H729">
        <f>_xlfn.XLOOKUP(C729,Products!A:A,Products!D:D)</f>
        <v>334.98</v>
      </c>
      <c r="I729">
        <v>0</v>
      </c>
      <c r="J729">
        <f t="shared" si="35"/>
        <v>1004.94</v>
      </c>
      <c r="K729" t="s">
        <v>2019</v>
      </c>
      <c r="L729" t="str">
        <f>_xlfn.XLOOKUP(Orders[[#This Row],[ProductID]],Products!A:A,Products!C:C)</f>
        <v>Home</v>
      </c>
    </row>
    <row r="730" spans="1:12" x14ac:dyDescent="0.3">
      <c r="A730">
        <v>729</v>
      </c>
      <c r="B730">
        <v>729</v>
      </c>
      <c r="C730">
        <v>28</v>
      </c>
      <c r="D730" t="s">
        <v>2114</v>
      </c>
      <c r="E730">
        <f t="shared" si="33"/>
        <v>2024</v>
      </c>
      <c r="F730" t="str">
        <f t="shared" si="34"/>
        <v>Jan</v>
      </c>
      <c r="G730">
        <v>1</v>
      </c>
      <c r="H730">
        <f>_xlfn.XLOOKUP(C730,Products!A:A,Products!D:D)</f>
        <v>494.39</v>
      </c>
      <c r="I730">
        <v>15</v>
      </c>
      <c r="J730">
        <f t="shared" si="35"/>
        <v>420.23149999999998</v>
      </c>
      <c r="K730" t="s">
        <v>2015</v>
      </c>
      <c r="L730" t="str">
        <f>_xlfn.XLOOKUP(Orders[[#This Row],[ProductID]],Products!A:A,Products!C:C)</f>
        <v>Beauty</v>
      </c>
    </row>
    <row r="731" spans="1:12" x14ac:dyDescent="0.3">
      <c r="A731">
        <v>730</v>
      </c>
      <c r="B731">
        <v>730</v>
      </c>
      <c r="C731">
        <v>22</v>
      </c>
      <c r="D731" t="s">
        <v>619</v>
      </c>
      <c r="E731">
        <f t="shared" si="33"/>
        <v>2023</v>
      </c>
      <c r="F731" t="str">
        <f t="shared" si="34"/>
        <v>Nov</v>
      </c>
      <c r="G731">
        <v>2</v>
      </c>
      <c r="H731">
        <f>_xlfn.XLOOKUP(C731,Products!A:A,Products!D:D)</f>
        <v>373.43</v>
      </c>
      <c r="I731">
        <v>5</v>
      </c>
      <c r="J731">
        <f t="shared" si="35"/>
        <v>709.51699999999994</v>
      </c>
      <c r="K731" t="s">
        <v>2024</v>
      </c>
      <c r="L731" t="str">
        <f>_xlfn.XLOOKUP(Orders[[#This Row],[ProductID]],Products!A:A,Products!C:C)</f>
        <v>Beauty</v>
      </c>
    </row>
    <row r="732" spans="1:12" x14ac:dyDescent="0.3">
      <c r="A732">
        <v>731</v>
      </c>
      <c r="B732">
        <v>731</v>
      </c>
      <c r="C732">
        <v>27</v>
      </c>
      <c r="D732" t="s">
        <v>2062</v>
      </c>
      <c r="E732">
        <f t="shared" si="33"/>
        <v>2024</v>
      </c>
      <c r="F732" t="str">
        <f t="shared" si="34"/>
        <v>May</v>
      </c>
      <c r="G732">
        <v>1</v>
      </c>
      <c r="H732">
        <f>_xlfn.XLOOKUP(C732,Products!A:A,Products!D:D)</f>
        <v>76.09</v>
      </c>
      <c r="I732">
        <v>20</v>
      </c>
      <c r="J732">
        <f t="shared" si="35"/>
        <v>60.872000000000007</v>
      </c>
      <c r="K732" t="s">
        <v>2019</v>
      </c>
      <c r="L732" t="str">
        <f>_xlfn.XLOOKUP(Orders[[#This Row],[ProductID]],Products!A:A,Products!C:C)</f>
        <v>Clothing</v>
      </c>
    </row>
    <row r="733" spans="1:12" x14ac:dyDescent="0.3">
      <c r="A733">
        <v>732</v>
      </c>
      <c r="B733">
        <v>732</v>
      </c>
      <c r="C733">
        <v>48</v>
      </c>
      <c r="D733" t="s">
        <v>2036</v>
      </c>
      <c r="E733">
        <f t="shared" si="33"/>
        <v>2024</v>
      </c>
      <c r="F733" t="str">
        <f t="shared" si="34"/>
        <v>Feb</v>
      </c>
      <c r="G733">
        <v>2</v>
      </c>
      <c r="H733">
        <f>_xlfn.XLOOKUP(C733,Products!A:A,Products!D:D)</f>
        <v>1125.8499999999999</v>
      </c>
      <c r="I733">
        <v>0</v>
      </c>
      <c r="J733">
        <f t="shared" si="35"/>
        <v>2251.6999999999998</v>
      </c>
      <c r="K733" t="s">
        <v>2024</v>
      </c>
      <c r="L733" t="str">
        <f>_xlfn.XLOOKUP(Orders[[#This Row],[ProductID]],Products!A:A,Products!C:C)</f>
        <v>Clothing</v>
      </c>
    </row>
    <row r="734" spans="1:12" x14ac:dyDescent="0.3">
      <c r="A734">
        <v>733</v>
      </c>
      <c r="B734">
        <v>733</v>
      </c>
      <c r="C734">
        <v>40</v>
      </c>
      <c r="D734" t="s">
        <v>1900</v>
      </c>
      <c r="E734">
        <f t="shared" si="33"/>
        <v>2023</v>
      </c>
      <c r="F734" t="str">
        <f t="shared" si="34"/>
        <v>Sep</v>
      </c>
      <c r="G734">
        <v>1</v>
      </c>
      <c r="H734">
        <f>_xlfn.XLOOKUP(C734,Products!A:A,Products!D:D)</f>
        <v>316.49</v>
      </c>
      <c r="I734">
        <v>15</v>
      </c>
      <c r="J734">
        <f t="shared" si="35"/>
        <v>269.01650000000001</v>
      </c>
      <c r="K734" t="s">
        <v>2017</v>
      </c>
      <c r="L734" t="str">
        <f>_xlfn.XLOOKUP(Orders[[#This Row],[ProductID]],Products!A:A,Products!C:C)</f>
        <v>Home</v>
      </c>
    </row>
    <row r="735" spans="1:12" x14ac:dyDescent="0.3">
      <c r="A735">
        <v>734</v>
      </c>
      <c r="B735">
        <v>734</v>
      </c>
      <c r="C735">
        <v>53</v>
      </c>
      <c r="D735" t="s">
        <v>1162</v>
      </c>
      <c r="E735">
        <f t="shared" si="33"/>
        <v>2023</v>
      </c>
      <c r="F735" t="str">
        <f t="shared" si="34"/>
        <v>Jul</v>
      </c>
      <c r="G735">
        <v>2</v>
      </c>
      <c r="H735">
        <f>_xlfn.XLOOKUP(C735,Products!A:A,Products!D:D)</f>
        <v>194.34</v>
      </c>
      <c r="I735">
        <v>10</v>
      </c>
      <c r="J735">
        <f t="shared" si="35"/>
        <v>349.81200000000001</v>
      </c>
      <c r="K735" t="s">
        <v>2015</v>
      </c>
      <c r="L735" t="str">
        <f>_xlfn.XLOOKUP(Orders[[#This Row],[ProductID]],Products!A:A,Products!C:C)</f>
        <v>Home</v>
      </c>
    </row>
    <row r="736" spans="1:12" x14ac:dyDescent="0.3">
      <c r="A736">
        <v>735</v>
      </c>
      <c r="B736">
        <v>735</v>
      </c>
      <c r="C736">
        <v>55</v>
      </c>
      <c r="D736" t="s">
        <v>434</v>
      </c>
      <c r="E736">
        <f t="shared" si="33"/>
        <v>2023</v>
      </c>
      <c r="F736" t="str">
        <f t="shared" si="34"/>
        <v>Sep</v>
      </c>
      <c r="G736">
        <v>2</v>
      </c>
      <c r="H736">
        <f>_xlfn.XLOOKUP(C736,Products!A:A,Products!D:D)</f>
        <v>1016.06</v>
      </c>
      <c r="I736">
        <v>0</v>
      </c>
      <c r="J736">
        <f t="shared" si="35"/>
        <v>2032.12</v>
      </c>
      <c r="K736" t="s">
        <v>2021</v>
      </c>
      <c r="L736" t="str">
        <f>_xlfn.XLOOKUP(Orders[[#This Row],[ProductID]],Products!A:A,Products!C:C)</f>
        <v>Clothing</v>
      </c>
    </row>
    <row r="737" spans="1:12" x14ac:dyDescent="0.3">
      <c r="A737">
        <v>736</v>
      </c>
      <c r="B737">
        <v>736</v>
      </c>
      <c r="C737">
        <v>59</v>
      </c>
      <c r="D737" t="s">
        <v>110</v>
      </c>
      <c r="E737">
        <f t="shared" si="33"/>
        <v>2023</v>
      </c>
      <c r="F737" t="str">
        <f t="shared" si="34"/>
        <v>Aug</v>
      </c>
      <c r="G737">
        <v>2</v>
      </c>
      <c r="H737">
        <f>_xlfn.XLOOKUP(C737,Products!A:A,Products!D:D)</f>
        <v>782.33</v>
      </c>
      <c r="I737">
        <v>5</v>
      </c>
      <c r="J737">
        <f t="shared" si="35"/>
        <v>1486.4269999999999</v>
      </c>
      <c r="K737" t="s">
        <v>2015</v>
      </c>
      <c r="L737" t="str">
        <f>_xlfn.XLOOKUP(Orders[[#This Row],[ProductID]],Products!A:A,Products!C:C)</f>
        <v>Clothing</v>
      </c>
    </row>
    <row r="738" spans="1:12" x14ac:dyDescent="0.3">
      <c r="A738">
        <v>737</v>
      </c>
      <c r="B738">
        <v>737</v>
      </c>
      <c r="C738">
        <v>77</v>
      </c>
      <c r="D738" t="s">
        <v>378</v>
      </c>
      <c r="E738">
        <f t="shared" si="33"/>
        <v>2023</v>
      </c>
      <c r="F738" t="str">
        <f t="shared" si="34"/>
        <v>Mar</v>
      </c>
      <c r="G738">
        <v>3</v>
      </c>
      <c r="H738">
        <f>_xlfn.XLOOKUP(C738,Products!A:A,Products!D:D)</f>
        <v>1078.19</v>
      </c>
      <c r="I738">
        <v>15</v>
      </c>
      <c r="J738">
        <f t="shared" si="35"/>
        <v>2749.3845000000001</v>
      </c>
      <c r="K738" t="s">
        <v>2017</v>
      </c>
      <c r="L738" t="str">
        <f>_xlfn.XLOOKUP(Orders[[#This Row],[ProductID]],Products!A:A,Products!C:C)</f>
        <v>Home</v>
      </c>
    </row>
    <row r="739" spans="1:12" x14ac:dyDescent="0.3">
      <c r="A739">
        <v>738</v>
      </c>
      <c r="B739">
        <v>738</v>
      </c>
      <c r="C739">
        <v>37</v>
      </c>
      <c r="D739" t="s">
        <v>2070</v>
      </c>
      <c r="E739">
        <f t="shared" si="33"/>
        <v>2024</v>
      </c>
      <c r="F739" t="str">
        <f t="shared" si="34"/>
        <v>Mar</v>
      </c>
      <c r="G739">
        <v>3</v>
      </c>
      <c r="H739">
        <f>_xlfn.XLOOKUP(C739,Products!A:A,Products!D:D)</f>
        <v>968.87</v>
      </c>
      <c r="I739">
        <v>15</v>
      </c>
      <c r="J739">
        <f t="shared" si="35"/>
        <v>2470.6185</v>
      </c>
      <c r="K739" t="s">
        <v>2024</v>
      </c>
      <c r="L739" t="str">
        <f>_xlfn.XLOOKUP(Orders[[#This Row],[ProductID]],Products!A:A,Products!C:C)</f>
        <v>Home</v>
      </c>
    </row>
    <row r="740" spans="1:12" x14ac:dyDescent="0.3">
      <c r="A740">
        <v>739</v>
      </c>
      <c r="B740">
        <v>739</v>
      </c>
      <c r="C740">
        <v>80</v>
      </c>
      <c r="D740" t="s">
        <v>2093</v>
      </c>
      <c r="E740">
        <f t="shared" si="33"/>
        <v>2024</v>
      </c>
      <c r="F740" t="str">
        <f t="shared" si="34"/>
        <v>Apr</v>
      </c>
      <c r="G740">
        <v>1</v>
      </c>
      <c r="H740">
        <f>_xlfn.XLOOKUP(C740,Products!A:A,Products!D:D)</f>
        <v>1014.45</v>
      </c>
      <c r="I740">
        <v>0</v>
      </c>
      <c r="J740">
        <f t="shared" si="35"/>
        <v>1014.45</v>
      </c>
      <c r="K740" t="s">
        <v>2019</v>
      </c>
      <c r="L740" t="str">
        <f>_xlfn.XLOOKUP(Orders[[#This Row],[ProductID]],Products!A:A,Products!C:C)</f>
        <v>Beauty</v>
      </c>
    </row>
    <row r="741" spans="1:12" x14ac:dyDescent="0.3">
      <c r="A741">
        <v>740</v>
      </c>
      <c r="B741">
        <v>740</v>
      </c>
      <c r="C741">
        <v>12</v>
      </c>
      <c r="D741" t="s">
        <v>2112</v>
      </c>
      <c r="E741">
        <f t="shared" si="33"/>
        <v>2023</v>
      </c>
      <c r="F741" t="str">
        <f t="shared" si="34"/>
        <v>Nov</v>
      </c>
      <c r="G741">
        <v>1</v>
      </c>
      <c r="H741">
        <f>_xlfn.XLOOKUP(C741,Products!A:A,Products!D:D)</f>
        <v>627.41999999999996</v>
      </c>
      <c r="I741">
        <v>20</v>
      </c>
      <c r="J741">
        <f t="shared" si="35"/>
        <v>501.93599999999998</v>
      </c>
      <c r="K741" t="s">
        <v>2017</v>
      </c>
      <c r="L741" t="str">
        <f>_xlfn.XLOOKUP(Orders[[#This Row],[ProductID]],Products!A:A,Products!C:C)</f>
        <v>Beauty</v>
      </c>
    </row>
    <row r="742" spans="1:12" x14ac:dyDescent="0.3">
      <c r="A742">
        <v>741</v>
      </c>
      <c r="B742">
        <v>741</v>
      </c>
      <c r="C742">
        <v>14</v>
      </c>
      <c r="D742" t="s">
        <v>1761</v>
      </c>
      <c r="E742">
        <f t="shared" si="33"/>
        <v>2023</v>
      </c>
      <c r="F742" t="str">
        <f t="shared" si="34"/>
        <v>Sep</v>
      </c>
      <c r="G742">
        <v>3</v>
      </c>
      <c r="H742">
        <f>_xlfn.XLOOKUP(C742,Products!A:A,Products!D:D)</f>
        <v>574.25</v>
      </c>
      <c r="I742">
        <v>20</v>
      </c>
      <c r="J742">
        <f t="shared" si="35"/>
        <v>1378.2</v>
      </c>
      <c r="K742" t="s">
        <v>2015</v>
      </c>
      <c r="L742" t="str">
        <f>_xlfn.XLOOKUP(Orders[[#This Row],[ProductID]],Products!A:A,Products!C:C)</f>
        <v>Beauty</v>
      </c>
    </row>
    <row r="743" spans="1:12" x14ac:dyDescent="0.3">
      <c r="A743">
        <v>742</v>
      </c>
      <c r="B743">
        <v>742</v>
      </c>
      <c r="C743">
        <v>13</v>
      </c>
      <c r="D743" t="s">
        <v>2158</v>
      </c>
      <c r="E743">
        <f t="shared" si="33"/>
        <v>2023</v>
      </c>
      <c r="F743" t="str">
        <f t="shared" si="34"/>
        <v>Nov</v>
      </c>
      <c r="G743">
        <v>2</v>
      </c>
      <c r="H743">
        <f>_xlfn.XLOOKUP(C743,Products!A:A,Products!D:D)</f>
        <v>334.61</v>
      </c>
      <c r="I743">
        <v>20</v>
      </c>
      <c r="J743">
        <f t="shared" si="35"/>
        <v>535.37600000000009</v>
      </c>
      <c r="K743" t="s">
        <v>2015</v>
      </c>
      <c r="L743" t="str">
        <f>_xlfn.XLOOKUP(Orders[[#This Row],[ProductID]],Products!A:A,Products!C:C)</f>
        <v>Home</v>
      </c>
    </row>
    <row r="744" spans="1:12" x14ac:dyDescent="0.3">
      <c r="A744">
        <v>743</v>
      </c>
      <c r="B744">
        <v>743</v>
      </c>
      <c r="C744">
        <v>5</v>
      </c>
      <c r="D744" t="s">
        <v>2192</v>
      </c>
      <c r="E744">
        <f t="shared" si="33"/>
        <v>2023</v>
      </c>
      <c r="F744" t="str">
        <f t="shared" si="34"/>
        <v>Dec</v>
      </c>
      <c r="G744">
        <v>2</v>
      </c>
      <c r="H744">
        <f>_xlfn.XLOOKUP(C744,Products!A:A,Products!D:D)</f>
        <v>296.85000000000002</v>
      </c>
      <c r="I744">
        <v>15</v>
      </c>
      <c r="J744">
        <f t="shared" si="35"/>
        <v>504.64500000000004</v>
      </c>
      <c r="K744" t="s">
        <v>2021</v>
      </c>
      <c r="L744" t="str">
        <f>_xlfn.XLOOKUP(Orders[[#This Row],[ProductID]],Products!A:A,Products!C:C)</f>
        <v>Clothing</v>
      </c>
    </row>
    <row r="745" spans="1:12" x14ac:dyDescent="0.3">
      <c r="A745">
        <v>744</v>
      </c>
      <c r="B745">
        <v>744</v>
      </c>
      <c r="C745">
        <v>29</v>
      </c>
      <c r="D745" t="s">
        <v>2153</v>
      </c>
      <c r="E745">
        <f t="shared" si="33"/>
        <v>2024</v>
      </c>
      <c r="F745" t="str">
        <f t="shared" si="34"/>
        <v>Feb</v>
      </c>
      <c r="G745">
        <v>2</v>
      </c>
      <c r="H745">
        <f>_xlfn.XLOOKUP(C745,Products!A:A,Products!D:D)</f>
        <v>757</v>
      </c>
      <c r="I745">
        <v>20</v>
      </c>
      <c r="J745">
        <f t="shared" si="35"/>
        <v>1211.2</v>
      </c>
      <c r="K745" t="s">
        <v>2017</v>
      </c>
      <c r="L745" t="str">
        <f>_xlfn.XLOOKUP(Orders[[#This Row],[ProductID]],Products!A:A,Products!C:C)</f>
        <v>Clothing</v>
      </c>
    </row>
    <row r="746" spans="1:12" x14ac:dyDescent="0.3">
      <c r="A746">
        <v>745</v>
      </c>
      <c r="B746">
        <v>745</v>
      </c>
      <c r="C746">
        <v>15</v>
      </c>
      <c r="D746" t="s">
        <v>502</v>
      </c>
      <c r="E746">
        <f t="shared" si="33"/>
        <v>2023</v>
      </c>
      <c r="F746" t="str">
        <f t="shared" si="34"/>
        <v>Apr</v>
      </c>
      <c r="G746">
        <v>2</v>
      </c>
      <c r="H746">
        <f>_xlfn.XLOOKUP(C746,Products!A:A,Products!D:D)</f>
        <v>1183.2</v>
      </c>
      <c r="I746">
        <v>0</v>
      </c>
      <c r="J746">
        <f t="shared" si="35"/>
        <v>2366.4</v>
      </c>
      <c r="K746" t="s">
        <v>2024</v>
      </c>
      <c r="L746" t="str">
        <f>_xlfn.XLOOKUP(Orders[[#This Row],[ProductID]],Products!A:A,Products!C:C)</f>
        <v>Electronics</v>
      </c>
    </row>
    <row r="747" spans="1:12" x14ac:dyDescent="0.3">
      <c r="A747">
        <v>746</v>
      </c>
      <c r="B747">
        <v>746</v>
      </c>
      <c r="C747">
        <v>60</v>
      </c>
      <c r="D747" t="s">
        <v>351</v>
      </c>
      <c r="E747">
        <f t="shared" si="33"/>
        <v>2023</v>
      </c>
      <c r="F747" t="str">
        <f t="shared" si="34"/>
        <v>Jul</v>
      </c>
      <c r="G747">
        <v>3</v>
      </c>
      <c r="H747">
        <f>_xlfn.XLOOKUP(C747,Products!A:A,Products!D:D)</f>
        <v>830.49</v>
      </c>
      <c r="I747">
        <v>15</v>
      </c>
      <c r="J747">
        <f t="shared" si="35"/>
        <v>2117.7495000000004</v>
      </c>
      <c r="K747" t="s">
        <v>2019</v>
      </c>
      <c r="L747" t="str">
        <f>_xlfn.XLOOKUP(Orders[[#This Row],[ProductID]],Products!A:A,Products!C:C)</f>
        <v>Clothing</v>
      </c>
    </row>
    <row r="748" spans="1:12" x14ac:dyDescent="0.3">
      <c r="A748">
        <v>747</v>
      </c>
      <c r="B748">
        <v>747</v>
      </c>
      <c r="C748">
        <v>48</v>
      </c>
      <c r="D748" t="s">
        <v>2193</v>
      </c>
      <c r="E748">
        <f t="shared" si="33"/>
        <v>2024</v>
      </c>
      <c r="F748" t="str">
        <f t="shared" si="34"/>
        <v>Feb</v>
      </c>
      <c r="G748">
        <v>1</v>
      </c>
      <c r="H748">
        <f>_xlfn.XLOOKUP(C748,Products!A:A,Products!D:D)</f>
        <v>1125.8499999999999</v>
      </c>
      <c r="I748">
        <v>20</v>
      </c>
      <c r="J748">
        <f t="shared" si="35"/>
        <v>900.68</v>
      </c>
      <c r="K748" t="s">
        <v>2024</v>
      </c>
      <c r="L748" t="str">
        <f>_xlfn.XLOOKUP(Orders[[#This Row],[ProductID]],Products!A:A,Products!C:C)</f>
        <v>Clothing</v>
      </c>
    </row>
    <row r="749" spans="1:12" x14ac:dyDescent="0.3">
      <c r="A749">
        <v>748</v>
      </c>
      <c r="B749">
        <v>748</v>
      </c>
      <c r="C749">
        <v>35</v>
      </c>
      <c r="D749" t="s">
        <v>2097</v>
      </c>
      <c r="E749">
        <f t="shared" si="33"/>
        <v>2024</v>
      </c>
      <c r="F749" t="str">
        <f t="shared" si="34"/>
        <v>Mar</v>
      </c>
      <c r="G749">
        <v>3</v>
      </c>
      <c r="H749">
        <f>_xlfn.XLOOKUP(C749,Products!A:A,Products!D:D)</f>
        <v>958.87</v>
      </c>
      <c r="I749">
        <v>10</v>
      </c>
      <c r="J749">
        <f t="shared" si="35"/>
        <v>2588.9490000000001</v>
      </c>
      <c r="K749" t="s">
        <v>2024</v>
      </c>
      <c r="L749" t="str">
        <f>_xlfn.XLOOKUP(Orders[[#This Row],[ProductID]],Products!A:A,Products!C:C)</f>
        <v>Clothing</v>
      </c>
    </row>
    <row r="750" spans="1:12" x14ac:dyDescent="0.3">
      <c r="A750">
        <v>749</v>
      </c>
      <c r="B750">
        <v>749</v>
      </c>
      <c r="C750">
        <v>54</v>
      </c>
      <c r="D750" t="s">
        <v>2194</v>
      </c>
      <c r="E750">
        <f t="shared" si="33"/>
        <v>2023</v>
      </c>
      <c r="F750" t="str">
        <f t="shared" si="34"/>
        <v>Dec</v>
      </c>
      <c r="G750">
        <v>1</v>
      </c>
      <c r="H750">
        <f>_xlfn.XLOOKUP(C750,Products!A:A,Products!D:D)</f>
        <v>900.79</v>
      </c>
      <c r="I750">
        <v>0</v>
      </c>
      <c r="J750">
        <f t="shared" si="35"/>
        <v>900.79</v>
      </c>
      <c r="K750" t="s">
        <v>2017</v>
      </c>
      <c r="L750" t="str">
        <f>_xlfn.XLOOKUP(Orders[[#This Row],[ProductID]],Products!A:A,Products!C:C)</f>
        <v>Electronics</v>
      </c>
    </row>
    <row r="751" spans="1:12" x14ac:dyDescent="0.3">
      <c r="A751">
        <v>750</v>
      </c>
      <c r="B751">
        <v>750</v>
      </c>
      <c r="C751">
        <v>5</v>
      </c>
      <c r="D751" t="s">
        <v>2195</v>
      </c>
      <c r="E751">
        <f t="shared" si="33"/>
        <v>2023</v>
      </c>
      <c r="F751" t="str">
        <f t="shared" si="34"/>
        <v>Jan</v>
      </c>
      <c r="G751">
        <v>1</v>
      </c>
      <c r="H751">
        <f>_xlfn.XLOOKUP(C751,Products!A:A,Products!D:D)</f>
        <v>296.85000000000002</v>
      </c>
      <c r="I751">
        <v>5</v>
      </c>
      <c r="J751">
        <f t="shared" si="35"/>
        <v>282.00749999999999</v>
      </c>
      <c r="K751" t="s">
        <v>2024</v>
      </c>
      <c r="L751" t="str">
        <f>_xlfn.XLOOKUP(Orders[[#This Row],[ProductID]],Products!A:A,Products!C:C)</f>
        <v>Clothing</v>
      </c>
    </row>
    <row r="752" spans="1:12" x14ac:dyDescent="0.3">
      <c r="A752">
        <v>751</v>
      </c>
      <c r="B752">
        <v>751</v>
      </c>
      <c r="C752">
        <v>67</v>
      </c>
      <c r="D752" t="s">
        <v>2196</v>
      </c>
      <c r="E752">
        <f t="shared" si="33"/>
        <v>2024</v>
      </c>
      <c r="F752" t="str">
        <f t="shared" si="34"/>
        <v>Feb</v>
      </c>
      <c r="G752">
        <v>3</v>
      </c>
      <c r="H752">
        <f>_xlfn.XLOOKUP(C752,Products!A:A,Products!D:D)</f>
        <v>258.35000000000002</v>
      </c>
      <c r="I752">
        <v>20</v>
      </c>
      <c r="J752">
        <f t="shared" si="35"/>
        <v>620.04000000000008</v>
      </c>
      <c r="K752" t="s">
        <v>2024</v>
      </c>
      <c r="L752" t="str">
        <f>_xlfn.XLOOKUP(Orders[[#This Row],[ProductID]],Products!A:A,Products!C:C)</f>
        <v>Electronics</v>
      </c>
    </row>
    <row r="753" spans="1:12" x14ac:dyDescent="0.3">
      <c r="A753">
        <v>752</v>
      </c>
      <c r="B753">
        <v>752</v>
      </c>
      <c r="C753">
        <v>43</v>
      </c>
      <c r="D753" t="s">
        <v>2123</v>
      </c>
      <c r="E753">
        <f t="shared" si="33"/>
        <v>2023</v>
      </c>
      <c r="F753" t="str">
        <f t="shared" si="34"/>
        <v>Mar</v>
      </c>
      <c r="G753">
        <v>3</v>
      </c>
      <c r="H753">
        <f>_xlfn.XLOOKUP(C753,Products!A:A,Products!D:D)</f>
        <v>760.86</v>
      </c>
      <c r="I753">
        <v>15</v>
      </c>
      <c r="J753">
        <f t="shared" si="35"/>
        <v>1940.193</v>
      </c>
      <c r="K753" t="s">
        <v>2021</v>
      </c>
      <c r="L753" t="str">
        <f>_xlfn.XLOOKUP(Orders[[#This Row],[ProductID]],Products!A:A,Products!C:C)</f>
        <v>Electronics</v>
      </c>
    </row>
    <row r="754" spans="1:12" x14ac:dyDescent="0.3">
      <c r="A754">
        <v>753</v>
      </c>
      <c r="B754">
        <v>753</v>
      </c>
      <c r="C754">
        <v>72</v>
      </c>
      <c r="D754" t="s">
        <v>2151</v>
      </c>
      <c r="E754">
        <f t="shared" si="33"/>
        <v>2024</v>
      </c>
      <c r="F754" t="str">
        <f t="shared" si="34"/>
        <v>May</v>
      </c>
      <c r="G754">
        <v>2</v>
      </c>
      <c r="H754">
        <f>_xlfn.XLOOKUP(C754,Products!A:A,Products!D:D)</f>
        <v>1157.27</v>
      </c>
      <c r="I754">
        <v>5</v>
      </c>
      <c r="J754">
        <f t="shared" si="35"/>
        <v>2198.8129999999996</v>
      </c>
      <c r="K754" t="s">
        <v>2015</v>
      </c>
      <c r="L754" t="str">
        <f>_xlfn.XLOOKUP(Orders[[#This Row],[ProductID]],Products!A:A,Products!C:C)</f>
        <v>Electronics</v>
      </c>
    </row>
    <row r="755" spans="1:12" x14ac:dyDescent="0.3">
      <c r="A755">
        <v>754</v>
      </c>
      <c r="B755">
        <v>754</v>
      </c>
      <c r="C755">
        <v>51</v>
      </c>
      <c r="D755" t="s">
        <v>2044</v>
      </c>
      <c r="E755">
        <f t="shared" si="33"/>
        <v>2024</v>
      </c>
      <c r="F755" t="str">
        <f t="shared" si="34"/>
        <v>Feb</v>
      </c>
      <c r="G755">
        <v>1</v>
      </c>
      <c r="H755">
        <f>_xlfn.XLOOKUP(C755,Products!A:A,Products!D:D)</f>
        <v>759.57</v>
      </c>
      <c r="I755">
        <v>20</v>
      </c>
      <c r="J755">
        <f t="shared" si="35"/>
        <v>607.65600000000006</v>
      </c>
      <c r="K755" t="s">
        <v>2017</v>
      </c>
      <c r="L755" t="str">
        <f>_xlfn.XLOOKUP(Orders[[#This Row],[ProductID]],Products!A:A,Products!C:C)</f>
        <v>Beauty</v>
      </c>
    </row>
    <row r="756" spans="1:12" x14ac:dyDescent="0.3">
      <c r="A756">
        <v>755</v>
      </c>
      <c r="B756">
        <v>755</v>
      </c>
      <c r="C756">
        <v>17</v>
      </c>
      <c r="D756" t="s">
        <v>2093</v>
      </c>
      <c r="E756">
        <f t="shared" si="33"/>
        <v>2024</v>
      </c>
      <c r="F756" t="str">
        <f t="shared" si="34"/>
        <v>Apr</v>
      </c>
      <c r="G756">
        <v>3</v>
      </c>
      <c r="H756">
        <f>_xlfn.XLOOKUP(C756,Products!A:A,Products!D:D)</f>
        <v>695.6</v>
      </c>
      <c r="I756">
        <v>15</v>
      </c>
      <c r="J756">
        <f t="shared" si="35"/>
        <v>1773.7800000000002</v>
      </c>
      <c r="K756" t="s">
        <v>2021</v>
      </c>
      <c r="L756" t="str">
        <f>_xlfn.XLOOKUP(Orders[[#This Row],[ProductID]],Products!A:A,Products!C:C)</f>
        <v>Clothing</v>
      </c>
    </row>
    <row r="757" spans="1:12" x14ac:dyDescent="0.3">
      <c r="A757">
        <v>756</v>
      </c>
      <c r="B757">
        <v>756</v>
      </c>
      <c r="C757">
        <v>52</v>
      </c>
      <c r="D757" t="s">
        <v>2023</v>
      </c>
      <c r="E757">
        <f t="shared" si="33"/>
        <v>2024</v>
      </c>
      <c r="F757" t="str">
        <f t="shared" si="34"/>
        <v>Apr</v>
      </c>
      <c r="G757">
        <v>2</v>
      </c>
      <c r="H757">
        <f>_xlfn.XLOOKUP(C757,Products!A:A,Products!D:D)</f>
        <v>256.76</v>
      </c>
      <c r="I757">
        <v>20</v>
      </c>
      <c r="J757">
        <f t="shared" si="35"/>
        <v>410.81600000000003</v>
      </c>
      <c r="K757" t="s">
        <v>2021</v>
      </c>
      <c r="L757" t="str">
        <f>_xlfn.XLOOKUP(Orders[[#This Row],[ProductID]],Products!A:A,Products!C:C)</f>
        <v>Home</v>
      </c>
    </row>
    <row r="758" spans="1:12" x14ac:dyDescent="0.3">
      <c r="A758">
        <v>757</v>
      </c>
      <c r="B758">
        <v>757</v>
      </c>
      <c r="C758">
        <v>56</v>
      </c>
      <c r="D758" t="s">
        <v>855</v>
      </c>
      <c r="E758">
        <f t="shared" si="33"/>
        <v>2023</v>
      </c>
      <c r="F758" t="str">
        <f t="shared" si="34"/>
        <v>Apr</v>
      </c>
      <c r="G758">
        <v>1</v>
      </c>
      <c r="H758">
        <f>_xlfn.XLOOKUP(C758,Products!A:A,Products!D:D)</f>
        <v>396.01</v>
      </c>
      <c r="I758">
        <v>5</v>
      </c>
      <c r="J758">
        <f t="shared" si="35"/>
        <v>376.20949999999999</v>
      </c>
      <c r="K758" t="s">
        <v>2015</v>
      </c>
      <c r="L758" t="str">
        <f>_xlfn.XLOOKUP(Orders[[#This Row],[ProductID]],Products!A:A,Products!C:C)</f>
        <v>Home</v>
      </c>
    </row>
    <row r="759" spans="1:12" x14ac:dyDescent="0.3">
      <c r="A759">
        <v>758</v>
      </c>
      <c r="B759">
        <v>758</v>
      </c>
      <c r="C759">
        <v>16</v>
      </c>
      <c r="D759" t="s">
        <v>384</v>
      </c>
      <c r="E759">
        <f t="shared" si="33"/>
        <v>2023</v>
      </c>
      <c r="F759" t="str">
        <f t="shared" si="34"/>
        <v>Nov</v>
      </c>
      <c r="G759">
        <v>3</v>
      </c>
      <c r="H759">
        <f>_xlfn.XLOOKUP(C759,Products!A:A,Products!D:D)</f>
        <v>693.02</v>
      </c>
      <c r="I759">
        <v>15</v>
      </c>
      <c r="J759">
        <f t="shared" si="35"/>
        <v>1767.2009999999998</v>
      </c>
      <c r="K759" t="s">
        <v>2024</v>
      </c>
      <c r="L759" t="str">
        <f>_xlfn.XLOOKUP(Orders[[#This Row],[ProductID]],Products!A:A,Products!C:C)</f>
        <v>Home</v>
      </c>
    </row>
    <row r="760" spans="1:12" x14ac:dyDescent="0.3">
      <c r="A760">
        <v>759</v>
      </c>
      <c r="B760">
        <v>759</v>
      </c>
      <c r="C760">
        <v>71</v>
      </c>
      <c r="D760" t="s">
        <v>1919</v>
      </c>
      <c r="E760">
        <f t="shared" si="33"/>
        <v>2023</v>
      </c>
      <c r="F760" t="str">
        <f t="shared" si="34"/>
        <v>Mar</v>
      </c>
      <c r="G760">
        <v>2</v>
      </c>
      <c r="H760">
        <f>_xlfn.XLOOKUP(C760,Products!A:A,Products!D:D)</f>
        <v>780.27</v>
      </c>
      <c r="I760">
        <v>5</v>
      </c>
      <c r="J760">
        <f t="shared" si="35"/>
        <v>1482.5129999999999</v>
      </c>
      <c r="K760" t="s">
        <v>2019</v>
      </c>
      <c r="L760" t="str">
        <f>_xlfn.XLOOKUP(Orders[[#This Row],[ProductID]],Products!A:A,Products!C:C)</f>
        <v>Electronics</v>
      </c>
    </row>
    <row r="761" spans="1:12" x14ac:dyDescent="0.3">
      <c r="A761">
        <v>760</v>
      </c>
      <c r="B761">
        <v>760</v>
      </c>
      <c r="C761">
        <v>12</v>
      </c>
      <c r="D761" t="s">
        <v>1750</v>
      </c>
      <c r="E761">
        <f t="shared" si="33"/>
        <v>2023</v>
      </c>
      <c r="F761" t="str">
        <f t="shared" si="34"/>
        <v>Jan</v>
      </c>
      <c r="G761">
        <v>2</v>
      </c>
      <c r="H761">
        <f>_xlfn.XLOOKUP(C761,Products!A:A,Products!D:D)</f>
        <v>627.41999999999996</v>
      </c>
      <c r="I761">
        <v>0</v>
      </c>
      <c r="J761">
        <f t="shared" si="35"/>
        <v>1254.8399999999999</v>
      </c>
      <c r="K761" t="s">
        <v>2015</v>
      </c>
      <c r="L761" t="str">
        <f>_xlfn.XLOOKUP(Orders[[#This Row],[ProductID]],Products!A:A,Products!C:C)</f>
        <v>Beauty</v>
      </c>
    </row>
    <row r="762" spans="1:12" x14ac:dyDescent="0.3">
      <c r="A762">
        <v>761</v>
      </c>
      <c r="B762">
        <v>761</v>
      </c>
      <c r="C762">
        <v>20</v>
      </c>
      <c r="D762" t="s">
        <v>41</v>
      </c>
      <c r="E762">
        <f t="shared" si="33"/>
        <v>2023</v>
      </c>
      <c r="F762" t="str">
        <f t="shared" si="34"/>
        <v>Jan</v>
      </c>
      <c r="G762">
        <v>3</v>
      </c>
      <c r="H762">
        <f>_xlfn.XLOOKUP(C762,Products!A:A,Products!D:D)</f>
        <v>613.27</v>
      </c>
      <c r="I762">
        <v>20</v>
      </c>
      <c r="J762">
        <f t="shared" si="35"/>
        <v>1471.848</v>
      </c>
      <c r="K762" t="s">
        <v>2019</v>
      </c>
      <c r="L762" t="str">
        <f>_xlfn.XLOOKUP(Orders[[#This Row],[ProductID]],Products!A:A,Products!C:C)</f>
        <v>Home</v>
      </c>
    </row>
    <row r="763" spans="1:12" x14ac:dyDescent="0.3">
      <c r="A763">
        <v>762</v>
      </c>
      <c r="B763">
        <v>762</v>
      </c>
      <c r="C763">
        <v>74</v>
      </c>
      <c r="D763" t="s">
        <v>1339</v>
      </c>
      <c r="E763">
        <f t="shared" si="33"/>
        <v>2023</v>
      </c>
      <c r="F763" t="str">
        <f t="shared" si="34"/>
        <v>Jul</v>
      </c>
      <c r="G763">
        <v>1</v>
      </c>
      <c r="H763">
        <f>_xlfn.XLOOKUP(C763,Products!A:A,Products!D:D)</f>
        <v>1034.31</v>
      </c>
      <c r="I763">
        <v>5</v>
      </c>
      <c r="J763">
        <f t="shared" si="35"/>
        <v>982.59449999999993</v>
      </c>
      <c r="K763" t="s">
        <v>2017</v>
      </c>
      <c r="L763" t="str">
        <f>_xlfn.XLOOKUP(Orders[[#This Row],[ProductID]],Products!A:A,Products!C:C)</f>
        <v>Electronics</v>
      </c>
    </row>
    <row r="764" spans="1:12" x14ac:dyDescent="0.3">
      <c r="A764">
        <v>763</v>
      </c>
      <c r="B764">
        <v>763</v>
      </c>
      <c r="C764">
        <v>46</v>
      </c>
      <c r="D764" t="s">
        <v>996</v>
      </c>
      <c r="E764">
        <f t="shared" si="33"/>
        <v>2023</v>
      </c>
      <c r="F764" t="str">
        <f t="shared" si="34"/>
        <v>Apr</v>
      </c>
      <c r="G764">
        <v>1</v>
      </c>
      <c r="H764">
        <f>_xlfn.XLOOKUP(C764,Products!A:A,Products!D:D)</f>
        <v>1155.3</v>
      </c>
      <c r="I764">
        <v>5</v>
      </c>
      <c r="J764">
        <f t="shared" si="35"/>
        <v>1097.5349999999999</v>
      </c>
      <c r="K764" t="s">
        <v>2024</v>
      </c>
      <c r="L764" t="str">
        <f>_xlfn.XLOOKUP(Orders[[#This Row],[ProductID]],Products!A:A,Products!C:C)</f>
        <v>Beauty</v>
      </c>
    </row>
    <row r="765" spans="1:12" x14ac:dyDescent="0.3">
      <c r="A765">
        <v>764</v>
      </c>
      <c r="B765">
        <v>764</v>
      </c>
      <c r="C765">
        <v>25</v>
      </c>
      <c r="D765" t="s">
        <v>524</v>
      </c>
      <c r="E765">
        <f t="shared" si="33"/>
        <v>2023</v>
      </c>
      <c r="F765" t="str">
        <f t="shared" si="34"/>
        <v>Oct</v>
      </c>
      <c r="G765">
        <v>1</v>
      </c>
      <c r="H765">
        <f>_xlfn.XLOOKUP(C765,Products!A:A,Products!D:D)</f>
        <v>1011.65</v>
      </c>
      <c r="I765">
        <v>15</v>
      </c>
      <c r="J765">
        <f t="shared" si="35"/>
        <v>859.90249999999992</v>
      </c>
      <c r="K765" t="s">
        <v>2024</v>
      </c>
      <c r="L765" t="str">
        <f>_xlfn.XLOOKUP(Orders[[#This Row],[ProductID]],Products!A:A,Products!C:C)</f>
        <v>Electronics</v>
      </c>
    </row>
    <row r="766" spans="1:12" x14ac:dyDescent="0.3">
      <c r="A766">
        <v>765</v>
      </c>
      <c r="B766">
        <v>765</v>
      </c>
      <c r="C766">
        <v>7</v>
      </c>
      <c r="D766" t="s">
        <v>1100</v>
      </c>
      <c r="E766">
        <f t="shared" si="33"/>
        <v>2023</v>
      </c>
      <c r="F766" t="str">
        <f t="shared" si="34"/>
        <v>May</v>
      </c>
      <c r="G766">
        <v>1</v>
      </c>
      <c r="H766">
        <f>_xlfn.XLOOKUP(C766,Products!A:A,Products!D:D)</f>
        <v>97.29</v>
      </c>
      <c r="I766">
        <v>5</v>
      </c>
      <c r="J766">
        <f t="shared" si="35"/>
        <v>92.4255</v>
      </c>
      <c r="K766" t="s">
        <v>2019</v>
      </c>
      <c r="L766" t="str">
        <f>_xlfn.XLOOKUP(Orders[[#This Row],[ProductID]],Products!A:A,Products!C:C)</f>
        <v>Beauty</v>
      </c>
    </row>
    <row r="767" spans="1:12" x14ac:dyDescent="0.3">
      <c r="A767">
        <v>766</v>
      </c>
      <c r="B767">
        <v>766</v>
      </c>
      <c r="C767">
        <v>75</v>
      </c>
      <c r="D767" t="s">
        <v>2076</v>
      </c>
      <c r="E767">
        <f t="shared" si="33"/>
        <v>2024</v>
      </c>
      <c r="F767" t="str">
        <f t="shared" si="34"/>
        <v>Mar</v>
      </c>
      <c r="G767">
        <v>1</v>
      </c>
      <c r="H767">
        <f>_xlfn.XLOOKUP(C767,Products!A:A,Products!D:D)</f>
        <v>390.41</v>
      </c>
      <c r="I767">
        <v>0</v>
      </c>
      <c r="J767">
        <f t="shared" si="35"/>
        <v>390.41</v>
      </c>
      <c r="K767" t="s">
        <v>2017</v>
      </c>
      <c r="L767" t="str">
        <f>_xlfn.XLOOKUP(Orders[[#This Row],[ProductID]],Products!A:A,Products!C:C)</f>
        <v>Electronics</v>
      </c>
    </row>
    <row r="768" spans="1:12" x14ac:dyDescent="0.3">
      <c r="A768">
        <v>767</v>
      </c>
      <c r="B768">
        <v>767</v>
      </c>
      <c r="C768">
        <v>77</v>
      </c>
      <c r="D768" t="s">
        <v>2167</v>
      </c>
      <c r="E768">
        <f t="shared" si="33"/>
        <v>2023</v>
      </c>
      <c r="F768" t="str">
        <f t="shared" si="34"/>
        <v>Mar</v>
      </c>
      <c r="G768">
        <v>1</v>
      </c>
      <c r="H768">
        <f>_xlfn.XLOOKUP(C768,Products!A:A,Products!D:D)</f>
        <v>1078.19</v>
      </c>
      <c r="I768">
        <v>5</v>
      </c>
      <c r="J768">
        <f t="shared" si="35"/>
        <v>1024.2805000000001</v>
      </c>
      <c r="K768" t="s">
        <v>2024</v>
      </c>
      <c r="L768" t="str">
        <f>_xlfn.XLOOKUP(Orders[[#This Row],[ProductID]],Products!A:A,Products!C:C)</f>
        <v>Home</v>
      </c>
    </row>
    <row r="769" spans="1:12" x14ac:dyDescent="0.3">
      <c r="A769">
        <v>768</v>
      </c>
      <c r="B769">
        <v>768</v>
      </c>
      <c r="C769">
        <v>34</v>
      </c>
      <c r="D769" t="s">
        <v>2054</v>
      </c>
      <c r="E769">
        <f t="shared" si="33"/>
        <v>2024</v>
      </c>
      <c r="F769" t="str">
        <f t="shared" si="34"/>
        <v>Apr</v>
      </c>
      <c r="G769">
        <v>1</v>
      </c>
      <c r="H769">
        <f>_xlfn.XLOOKUP(C769,Products!A:A,Products!D:D)</f>
        <v>523.98</v>
      </c>
      <c r="I769">
        <v>0</v>
      </c>
      <c r="J769">
        <f t="shared" si="35"/>
        <v>523.98</v>
      </c>
      <c r="K769" t="s">
        <v>2019</v>
      </c>
      <c r="L769" t="str">
        <f>_xlfn.XLOOKUP(Orders[[#This Row],[ProductID]],Products!A:A,Products!C:C)</f>
        <v>Home</v>
      </c>
    </row>
    <row r="770" spans="1:12" x14ac:dyDescent="0.3">
      <c r="A770">
        <v>769</v>
      </c>
      <c r="B770">
        <v>769</v>
      </c>
      <c r="C770">
        <v>64</v>
      </c>
      <c r="D770" t="s">
        <v>2070</v>
      </c>
      <c r="E770">
        <f t="shared" si="33"/>
        <v>2024</v>
      </c>
      <c r="F770" t="str">
        <f t="shared" si="34"/>
        <v>Mar</v>
      </c>
      <c r="G770">
        <v>2</v>
      </c>
      <c r="H770">
        <f>_xlfn.XLOOKUP(C770,Products!A:A,Products!D:D)</f>
        <v>567.71</v>
      </c>
      <c r="I770">
        <v>5</v>
      </c>
      <c r="J770">
        <f t="shared" si="35"/>
        <v>1078.6490000000001</v>
      </c>
      <c r="K770" t="s">
        <v>2017</v>
      </c>
      <c r="L770" t="str">
        <f>_xlfn.XLOOKUP(Orders[[#This Row],[ProductID]],Products!A:A,Products!C:C)</f>
        <v>Clothing</v>
      </c>
    </row>
    <row r="771" spans="1:12" x14ac:dyDescent="0.3">
      <c r="A771">
        <v>770</v>
      </c>
      <c r="B771">
        <v>770</v>
      </c>
      <c r="C771">
        <v>13</v>
      </c>
      <c r="D771" t="s">
        <v>16</v>
      </c>
      <c r="E771">
        <f t="shared" ref="E771:E834" si="36">YEAR(D771)</f>
        <v>2023</v>
      </c>
      <c r="F771" t="str">
        <f t="shared" ref="F771:F834" si="37">TEXT(D771,"mmm")</f>
        <v>Sep</v>
      </c>
      <c r="G771">
        <v>1</v>
      </c>
      <c r="H771">
        <f>_xlfn.XLOOKUP(C771,Products!A:A,Products!D:D)</f>
        <v>334.61</v>
      </c>
      <c r="I771">
        <v>15</v>
      </c>
      <c r="J771">
        <f t="shared" ref="J771:J834" si="38">G771*H771*(1-I771/100)</f>
        <v>284.41849999999999</v>
      </c>
      <c r="K771" t="s">
        <v>2019</v>
      </c>
      <c r="L771" t="str">
        <f>_xlfn.XLOOKUP(Orders[[#This Row],[ProductID]],Products!A:A,Products!C:C)</f>
        <v>Home</v>
      </c>
    </row>
    <row r="772" spans="1:12" x14ac:dyDescent="0.3">
      <c r="A772">
        <v>771</v>
      </c>
      <c r="B772">
        <v>771</v>
      </c>
      <c r="C772">
        <v>63</v>
      </c>
      <c r="D772" t="s">
        <v>2103</v>
      </c>
      <c r="E772">
        <f t="shared" si="36"/>
        <v>2024</v>
      </c>
      <c r="F772" t="str">
        <f t="shared" si="37"/>
        <v>May</v>
      </c>
      <c r="G772">
        <v>3</v>
      </c>
      <c r="H772">
        <f>_xlfn.XLOOKUP(C772,Products!A:A,Products!D:D)</f>
        <v>309.79000000000002</v>
      </c>
      <c r="I772">
        <v>0</v>
      </c>
      <c r="J772">
        <f t="shared" si="38"/>
        <v>929.37000000000012</v>
      </c>
      <c r="K772" t="s">
        <v>2021</v>
      </c>
      <c r="L772" t="str">
        <f>_xlfn.XLOOKUP(Orders[[#This Row],[ProductID]],Products!A:A,Products!C:C)</f>
        <v>Electronics</v>
      </c>
    </row>
    <row r="773" spans="1:12" x14ac:dyDescent="0.3">
      <c r="A773">
        <v>772</v>
      </c>
      <c r="B773">
        <v>772</v>
      </c>
      <c r="C773">
        <v>54</v>
      </c>
      <c r="D773" t="s">
        <v>2197</v>
      </c>
      <c r="E773">
        <f t="shared" si="36"/>
        <v>2023</v>
      </c>
      <c r="F773" t="str">
        <f t="shared" si="37"/>
        <v>Jul</v>
      </c>
      <c r="G773">
        <v>2</v>
      </c>
      <c r="H773">
        <f>_xlfn.XLOOKUP(C773,Products!A:A,Products!D:D)</f>
        <v>900.79</v>
      </c>
      <c r="I773">
        <v>15</v>
      </c>
      <c r="J773">
        <f t="shared" si="38"/>
        <v>1531.3429999999998</v>
      </c>
      <c r="K773" t="s">
        <v>2021</v>
      </c>
      <c r="L773" t="str">
        <f>_xlfn.XLOOKUP(Orders[[#This Row],[ProductID]],Products!A:A,Products!C:C)</f>
        <v>Electronics</v>
      </c>
    </row>
    <row r="774" spans="1:12" x14ac:dyDescent="0.3">
      <c r="A774">
        <v>773</v>
      </c>
      <c r="B774">
        <v>773</v>
      </c>
      <c r="C774">
        <v>24</v>
      </c>
      <c r="D774" t="s">
        <v>910</v>
      </c>
      <c r="E774">
        <f t="shared" si="36"/>
        <v>2023</v>
      </c>
      <c r="F774" t="str">
        <f t="shared" si="37"/>
        <v>Jun</v>
      </c>
      <c r="G774">
        <v>1</v>
      </c>
      <c r="H774">
        <f>_xlfn.XLOOKUP(C774,Products!A:A,Products!D:D)</f>
        <v>1019.85</v>
      </c>
      <c r="I774">
        <v>5</v>
      </c>
      <c r="J774">
        <f t="shared" si="38"/>
        <v>968.85749999999996</v>
      </c>
      <c r="K774" t="s">
        <v>2015</v>
      </c>
      <c r="L774" t="str">
        <f>_xlfn.XLOOKUP(Orders[[#This Row],[ProductID]],Products!A:A,Products!C:C)</f>
        <v>Beauty</v>
      </c>
    </row>
    <row r="775" spans="1:12" x14ac:dyDescent="0.3">
      <c r="A775">
        <v>774</v>
      </c>
      <c r="B775">
        <v>774</v>
      </c>
      <c r="C775">
        <v>78</v>
      </c>
      <c r="D775" t="s">
        <v>2198</v>
      </c>
      <c r="E775">
        <f t="shared" si="36"/>
        <v>2024</v>
      </c>
      <c r="F775" t="str">
        <f t="shared" si="37"/>
        <v>Mar</v>
      </c>
      <c r="G775">
        <v>1</v>
      </c>
      <c r="H775">
        <f>_xlfn.XLOOKUP(C775,Products!A:A,Products!D:D)</f>
        <v>795.77</v>
      </c>
      <c r="I775">
        <v>0</v>
      </c>
      <c r="J775">
        <f t="shared" si="38"/>
        <v>795.77</v>
      </c>
      <c r="K775" t="s">
        <v>2024</v>
      </c>
      <c r="L775" t="str">
        <f>_xlfn.XLOOKUP(Orders[[#This Row],[ProductID]],Products!A:A,Products!C:C)</f>
        <v>Beauty</v>
      </c>
    </row>
    <row r="776" spans="1:12" x14ac:dyDescent="0.3">
      <c r="A776">
        <v>775</v>
      </c>
      <c r="B776">
        <v>775</v>
      </c>
      <c r="C776">
        <v>45</v>
      </c>
      <c r="D776" t="s">
        <v>2174</v>
      </c>
      <c r="E776">
        <f t="shared" si="36"/>
        <v>2023</v>
      </c>
      <c r="F776" t="str">
        <f t="shared" si="37"/>
        <v>Sep</v>
      </c>
      <c r="G776">
        <v>3</v>
      </c>
      <c r="H776">
        <f>_xlfn.XLOOKUP(C776,Products!A:A,Products!D:D)</f>
        <v>609.05999999999995</v>
      </c>
      <c r="I776">
        <v>20</v>
      </c>
      <c r="J776">
        <f t="shared" si="38"/>
        <v>1461.7439999999999</v>
      </c>
      <c r="K776" t="s">
        <v>2015</v>
      </c>
      <c r="L776" t="str">
        <f>_xlfn.XLOOKUP(Orders[[#This Row],[ProductID]],Products!A:A,Products!C:C)</f>
        <v>Beauty</v>
      </c>
    </row>
    <row r="777" spans="1:12" x14ac:dyDescent="0.3">
      <c r="A777">
        <v>776</v>
      </c>
      <c r="B777">
        <v>776</v>
      </c>
      <c r="C777">
        <v>1</v>
      </c>
      <c r="D777" t="s">
        <v>1919</v>
      </c>
      <c r="E777">
        <f t="shared" si="36"/>
        <v>2023</v>
      </c>
      <c r="F777" t="str">
        <f t="shared" si="37"/>
        <v>Mar</v>
      </c>
      <c r="G777">
        <v>3</v>
      </c>
      <c r="H777">
        <f>_xlfn.XLOOKUP(C777,Products!A:A,Products!D:D)</f>
        <v>469.08</v>
      </c>
      <c r="I777">
        <v>10</v>
      </c>
      <c r="J777">
        <f t="shared" si="38"/>
        <v>1266.5160000000001</v>
      </c>
      <c r="K777" t="s">
        <v>2019</v>
      </c>
      <c r="L777" t="str">
        <f>_xlfn.XLOOKUP(Orders[[#This Row],[ProductID]],Products!A:A,Products!C:C)</f>
        <v>Clothing</v>
      </c>
    </row>
    <row r="778" spans="1:12" x14ac:dyDescent="0.3">
      <c r="A778">
        <v>777</v>
      </c>
      <c r="B778">
        <v>777</v>
      </c>
      <c r="C778">
        <v>25</v>
      </c>
      <c r="D778" t="s">
        <v>912</v>
      </c>
      <c r="E778">
        <f t="shared" si="36"/>
        <v>2023</v>
      </c>
      <c r="F778" t="str">
        <f t="shared" si="37"/>
        <v>Nov</v>
      </c>
      <c r="G778">
        <v>1</v>
      </c>
      <c r="H778">
        <f>_xlfn.XLOOKUP(C778,Products!A:A,Products!D:D)</f>
        <v>1011.65</v>
      </c>
      <c r="I778">
        <v>20</v>
      </c>
      <c r="J778">
        <f t="shared" si="38"/>
        <v>809.32</v>
      </c>
      <c r="K778" t="s">
        <v>2019</v>
      </c>
      <c r="L778" t="str">
        <f>_xlfn.XLOOKUP(Orders[[#This Row],[ProductID]],Products!A:A,Products!C:C)</f>
        <v>Electronics</v>
      </c>
    </row>
    <row r="779" spans="1:12" x14ac:dyDescent="0.3">
      <c r="A779">
        <v>778</v>
      </c>
      <c r="B779">
        <v>778</v>
      </c>
      <c r="C779">
        <v>67</v>
      </c>
      <c r="D779" t="s">
        <v>1501</v>
      </c>
      <c r="E779">
        <f t="shared" si="36"/>
        <v>2023</v>
      </c>
      <c r="F779" t="str">
        <f t="shared" si="37"/>
        <v>Sep</v>
      </c>
      <c r="G779">
        <v>1</v>
      </c>
      <c r="H779">
        <f>_xlfn.XLOOKUP(C779,Products!A:A,Products!D:D)</f>
        <v>258.35000000000002</v>
      </c>
      <c r="I779">
        <v>5</v>
      </c>
      <c r="J779">
        <f t="shared" si="38"/>
        <v>245.4325</v>
      </c>
      <c r="K779" t="s">
        <v>2024</v>
      </c>
      <c r="L779" t="str">
        <f>_xlfn.XLOOKUP(Orders[[#This Row],[ProductID]],Products!A:A,Products!C:C)</f>
        <v>Electronics</v>
      </c>
    </row>
    <row r="780" spans="1:12" x14ac:dyDescent="0.3">
      <c r="A780">
        <v>779</v>
      </c>
      <c r="B780">
        <v>779</v>
      </c>
      <c r="C780">
        <v>15</v>
      </c>
      <c r="D780" t="s">
        <v>2074</v>
      </c>
      <c r="E780">
        <f t="shared" si="36"/>
        <v>2024</v>
      </c>
      <c r="F780" t="str">
        <f t="shared" si="37"/>
        <v>Apr</v>
      </c>
      <c r="G780">
        <v>1</v>
      </c>
      <c r="H780">
        <f>_xlfn.XLOOKUP(C780,Products!A:A,Products!D:D)</f>
        <v>1183.2</v>
      </c>
      <c r="I780">
        <v>0</v>
      </c>
      <c r="J780">
        <f t="shared" si="38"/>
        <v>1183.2</v>
      </c>
      <c r="K780" t="s">
        <v>2024</v>
      </c>
      <c r="L780" t="str">
        <f>_xlfn.XLOOKUP(Orders[[#This Row],[ProductID]],Products!A:A,Products!C:C)</f>
        <v>Electronics</v>
      </c>
    </row>
    <row r="781" spans="1:12" x14ac:dyDescent="0.3">
      <c r="A781">
        <v>780</v>
      </c>
      <c r="B781">
        <v>780</v>
      </c>
      <c r="C781">
        <v>18</v>
      </c>
      <c r="D781" t="s">
        <v>721</v>
      </c>
      <c r="E781">
        <f t="shared" si="36"/>
        <v>2023</v>
      </c>
      <c r="F781" t="str">
        <f t="shared" si="37"/>
        <v>Apr</v>
      </c>
      <c r="G781">
        <v>1</v>
      </c>
      <c r="H781">
        <f>_xlfn.XLOOKUP(C781,Products!A:A,Products!D:D)</f>
        <v>138.07</v>
      </c>
      <c r="I781">
        <v>5</v>
      </c>
      <c r="J781">
        <f t="shared" si="38"/>
        <v>131.16649999999998</v>
      </c>
      <c r="K781" t="s">
        <v>2024</v>
      </c>
      <c r="L781" t="str">
        <f>_xlfn.XLOOKUP(Orders[[#This Row],[ProductID]],Products!A:A,Products!C:C)</f>
        <v>Home</v>
      </c>
    </row>
    <row r="782" spans="1:12" x14ac:dyDescent="0.3">
      <c r="A782">
        <v>781</v>
      </c>
      <c r="B782">
        <v>781</v>
      </c>
      <c r="C782">
        <v>36</v>
      </c>
      <c r="D782" t="s">
        <v>633</v>
      </c>
      <c r="E782">
        <f t="shared" si="36"/>
        <v>2023</v>
      </c>
      <c r="F782" t="str">
        <f t="shared" si="37"/>
        <v>Sep</v>
      </c>
      <c r="G782">
        <v>1</v>
      </c>
      <c r="H782">
        <f>_xlfn.XLOOKUP(C782,Products!A:A,Products!D:D)</f>
        <v>992.01</v>
      </c>
      <c r="I782">
        <v>0</v>
      </c>
      <c r="J782">
        <f t="shared" si="38"/>
        <v>992.01</v>
      </c>
      <c r="K782" t="s">
        <v>2024</v>
      </c>
      <c r="L782" t="str">
        <f>_xlfn.XLOOKUP(Orders[[#This Row],[ProductID]],Products!A:A,Products!C:C)</f>
        <v>Beauty</v>
      </c>
    </row>
    <row r="783" spans="1:12" x14ac:dyDescent="0.3">
      <c r="A783">
        <v>782</v>
      </c>
      <c r="B783">
        <v>781</v>
      </c>
      <c r="C783">
        <v>71</v>
      </c>
      <c r="D783" t="s">
        <v>444</v>
      </c>
      <c r="E783">
        <f t="shared" si="36"/>
        <v>2023</v>
      </c>
      <c r="F783" t="str">
        <f t="shared" si="37"/>
        <v>Nov</v>
      </c>
      <c r="G783">
        <v>2</v>
      </c>
      <c r="H783">
        <f>_xlfn.XLOOKUP(C783,Products!A:A,Products!D:D)</f>
        <v>780.27</v>
      </c>
      <c r="I783">
        <v>15</v>
      </c>
      <c r="J783">
        <f t="shared" si="38"/>
        <v>1326.4589999999998</v>
      </c>
      <c r="K783" t="s">
        <v>2017</v>
      </c>
      <c r="L783" t="str">
        <f>_xlfn.XLOOKUP(Orders[[#This Row],[ProductID]],Products!A:A,Products!C:C)</f>
        <v>Electronics</v>
      </c>
    </row>
    <row r="784" spans="1:12" x14ac:dyDescent="0.3">
      <c r="A784">
        <v>783</v>
      </c>
      <c r="B784">
        <v>782</v>
      </c>
      <c r="C784">
        <v>56</v>
      </c>
      <c r="D784" t="s">
        <v>1501</v>
      </c>
      <c r="E784">
        <f t="shared" si="36"/>
        <v>2023</v>
      </c>
      <c r="F784" t="str">
        <f t="shared" si="37"/>
        <v>Sep</v>
      </c>
      <c r="G784">
        <v>2</v>
      </c>
      <c r="H784">
        <f>_xlfn.XLOOKUP(C784,Products!A:A,Products!D:D)</f>
        <v>396.01</v>
      </c>
      <c r="I784">
        <v>5</v>
      </c>
      <c r="J784">
        <f t="shared" si="38"/>
        <v>752.41899999999998</v>
      </c>
      <c r="K784" t="s">
        <v>2024</v>
      </c>
      <c r="L784" t="str">
        <f>_xlfn.XLOOKUP(Orders[[#This Row],[ProductID]],Products!A:A,Products!C:C)</f>
        <v>Home</v>
      </c>
    </row>
    <row r="785" spans="1:12" x14ac:dyDescent="0.3">
      <c r="A785">
        <v>784</v>
      </c>
      <c r="B785">
        <v>782</v>
      </c>
      <c r="C785">
        <v>23</v>
      </c>
      <c r="D785" t="s">
        <v>2107</v>
      </c>
      <c r="E785">
        <f t="shared" si="36"/>
        <v>2023</v>
      </c>
      <c r="F785" t="str">
        <f t="shared" si="37"/>
        <v>Apr</v>
      </c>
      <c r="G785">
        <v>3</v>
      </c>
      <c r="H785">
        <f>_xlfn.XLOOKUP(C785,Products!A:A,Products!D:D)</f>
        <v>258.08</v>
      </c>
      <c r="I785">
        <v>10</v>
      </c>
      <c r="J785">
        <f t="shared" si="38"/>
        <v>696.81600000000003</v>
      </c>
      <c r="K785" t="s">
        <v>2017</v>
      </c>
      <c r="L785" t="str">
        <f>_xlfn.XLOOKUP(Orders[[#This Row],[ProductID]],Products!A:A,Products!C:C)</f>
        <v>Home</v>
      </c>
    </row>
    <row r="786" spans="1:12" x14ac:dyDescent="0.3">
      <c r="A786">
        <v>785</v>
      </c>
      <c r="B786">
        <v>783</v>
      </c>
      <c r="C786">
        <v>14</v>
      </c>
      <c r="D786" t="s">
        <v>408</v>
      </c>
      <c r="E786">
        <f t="shared" si="36"/>
        <v>2023</v>
      </c>
      <c r="F786" t="str">
        <f t="shared" si="37"/>
        <v>Oct</v>
      </c>
      <c r="G786">
        <v>3</v>
      </c>
      <c r="H786">
        <f>_xlfn.XLOOKUP(C786,Products!A:A,Products!D:D)</f>
        <v>574.25</v>
      </c>
      <c r="I786">
        <v>10</v>
      </c>
      <c r="J786">
        <f t="shared" si="38"/>
        <v>1550.4750000000001</v>
      </c>
      <c r="K786" t="s">
        <v>2021</v>
      </c>
      <c r="L786" t="str">
        <f>_xlfn.XLOOKUP(Orders[[#This Row],[ProductID]],Products!A:A,Products!C:C)</f>
        <v>Beauty</v>
      </c>
    </row>
    <row r="787" spans="1:12" x14ac:dyDescent="0.3">
      <c r="A787">
        <v>786</v>
      </c>
      <c r="B787">
        <v>783</v>
      </c>
      <c r="C787">
        <v>27</v>
      </c>
      <c r="D787" t="s">
        <v>2199</v>
      </c>
      <c r="E787">
        <f t="shared" si="36"/>
        <v>2024</v>
      </c>
      <c r="F787" t="str">
        <f t="shared" si="37"/>
        <v>May</v>
      </c>
      <c r="G787">
        <v>3</v>
      </c>
      <c r="H787">
        <f>_xlfn.XLOOKUP(C787,Products!A:A,Products!D:D)</f>
        <v>76.09</v>
      </c>
      <c r="I787">
        <v>15</v>
      </c>
      <c r="J787">
        <f t="shared" si="38"/>
        <v>194.02950000000001</v>
      </c>
      <c r="K787" t="s">
        <v>2017</v>
      </c>
      <c r="L787" t="str">
        <f>_xlfn.XLOOKUP(Orders[[#This Row],[ProductID]],Products!A:A,Products!C:C)</f>
        <v>Clothing</v>
      </c>
    </row>
    <row r="788" spans="1:12" x14ac:dyDescent="0.3">
      <c r="A788">
        <v>787</v>
      </c>
      <c r="B788">
        <v>784</v>
      </c>
      <c r="C788">
        <v>58</v>
      </c>
      <c r="D788" t="s">
        <v>1110</v>
      </c>
      <c r="E788">
        <f t="shared" si="36"/>
        <v>2023</v>
      </c>
      <c r="F788" t="str">
        <f t="shared" si="37"/>
        <v>Aug</v>
      </c>
      <c r="G788">
        <v>3</v>
      </c>
      <c r="H788">
        <f>_xlfn.XLOOKUP(C788,Products!A:A,Products!D:D)</f>
        <v>334.98</v>
      </c>
      <c r="I788">
        <v>10</v>
      </c>
      <c r="J788">
        <f t="shared" si="38"/>
        <v>904.44600000000003</v>
      </c>
      <c r="K788" t="s">
        <v>2024</v>
      </c>
      <c r="L788" t="str">
        <f>_xlfn.XLOOKUP(Orders[[#This Row],[ProductID]],Products!A:A,Products!C:C)</f>
        <v>Home</v>
      </c>
    </row>
    <row r="789" spans="1:12" x14ac:dyDescent="0.3">
      <c r="A789">
        <v>788</v>
      </c>
      <c r="B789">
        <v>784</v>
      </c>
      <c r="C789">
        <v>80</v>
      </c>
      <c r="D789" t="s">
        <v>1432</v>
      </c>
      <c r="E789">
        <f t="shared" si="36"/>
        <v>2023</v>
      </c>
      <c r="F789" t="str">
        <f t="shared" si="37"/>
        <v>Feb</v>
      </c>
      <c r="G789">
        <v>3</v>
      </c>
      <c r="H789">
        <f>_xlfn.XLOOKUP(C789,Products!A:A,Products!D:D)</f>
        <v>1014.45</v>
      </c>
      <c r="I789">
        <v>15</v>
      </c>
      <c r="J789">
        <f t="shared" si="38"/>
        <v>2586.8475000000003</v>
      </c>
      <c r="K789" t="s">
        <v>2017</v>
      </c>
      <c r="L789" t="str">
        <f>_xlfn.XLOOKUP(Orders[[#This Row],[ProductID]],Products!A:A,Products!C:C)</f>
        <v>Beauty</v>
      </c>
    </row>
    <row r="790" spans="1:12" x14ac:dyDescent="0.3">
      <c r="A790">
        <v>789</v>
      </c>
      <c r="B790">
        <v>785</v>
      </c>
      <c r="C790">
        <v>26</v>
      </c>
      <c r="D790" t="s">
        <v>993</v>
      </c>
      <c r="E790">
        <f t="shared" si="36"/>
        <v>2023</v>
      </c>
      <c r="F790" t="str">
        <f t="shared" si="37"/>
        <v>Oct</v>
      </c>
      <c r="G790">
        <v>2</v>
      </c>
      <c r="H790">
        <f>_xlfn.XLOOKUP(C790,Products!A:A,Products!D:D)</f>
        <v>272.61</v>
      </c>
      <c r="I790">
        <v>10</v>
      </c>
      <c r="J790">
        <f t="shared" si="38"/>
        <v>490.69800000000004</v>
      </c>
      <c r="K790" t="s">
        <v>2019</v>
      </c>
      <c r="L790" t="str">
        <f>_xlfn.XLOOKUP(Orders[[#This Row],[ProductID]],Products!A:A,Products!C:C)</f>
        <v>Home</v>
      </c>
    </row>
    <row r="791" spans="1:12" x14ac:dyDescent="0.3">
      <c r="A791">
        <v>790</v>
      </c>
      <c r="B791">
        <v>785</v>
      </c>
      <c r="C791">
        <v>58</v>
      </c>
      <c r="D791" t="s">
        <v>2058</v>
      </c>
      <c r="E791">
        <f t="shared" si="36"/>
        <v>2023</v>
      </c>
      <c r="F791" t="str">
        <f t="shared" si="37"/>
        <v>Mar</v>
      </c>
      <c r="G791">
        <v>1</v>
      </c>
      <c r="H791">
        <f>_xlfn.XLOOKUP(C791,Products!A:A,Products!D:D)</f>
        <v>334.98</v>
      </c>
      <c r="I791">
        <v>20</v>
      </c>
      <c r="J791">
        <f t="shared" si="38"/>
        <v>267.98400000000004</v>
      </c>
      <c r="K791" t="s">
        <v>2024</v>
      </c>
      <c r="L791" t="str">
        <f>_xlfn.XLOOKUP(Orders[[#This Row],[ProductID]],Products!A:A,Products!C:C)</f>
        <v>Home</v>
      </c>
    </row>
    <row r="792" spans="1:12" x14ac:dyDescent="0.3">
      <c r="A792">
        <v>791</v>
      </c>
      <c r="B792">
        <v>786</v>
      </c>
      <c r="C792">
        <v>76</v>
      </c>
      <c r="D792" t="s">
        <v>2113</v>
      </c>
      <c r="E792">
        <f t="shared" si="36"/>
        <v>2023</v>
      </c>
      <c r="F792" t="str">
        <f t="shared" si="37"/>
        <v>Jul</v>
      </c>
      <c r="G792">
        <v>2</v>
      </c>
      <c r="H792">
        <f>_xlfn.XLOOKUP(C792,Products!A:A,Products!D:D)</f>
        <v>1043.26</v>
      </c>
      <c r="I792">
        <v>20</v>
      </c>
      <c r="J792">
        <f t="shared" si="38"/>
        <v>1669.2160000000001</v>
      </c>
      <c r="K792" t="s">
        <v>2015</v>
      </c>
      <c r="L792" t="str">
        <f>_xlfn.XLOOKUP(Orders[[#This Row],[ProductID]],Products!A:A,Products!C:C)</f>
        <v>Clothing</v>
      </c>
    </row>
    <row r="793" spans="1:12" x14ac:dyDescent="0.3">
      <c r="A793">
        <v>792</v>
      </c>
      <c r="B793">
        <v>786</v>
      </c>
      <c r="C793">
        <v>46</v>
      </c>
      <c r="D793" t="s">
        <v>2200</v>
      </c>
      <c r="E793">
        <f t="shared" si="36"/>
        <v>2023</v>
      </c>
      <c r="F793" t="str">
        <f t="shared" si="37"/>
        <v>Jul</v>
      </c>
      <c r="G793">
        <v>1</v>
      </c>
      <c r="H793">
        <f>_xlfn.XLOOKUP(C793,Products!A:A,Products!D:D)</f>
        <v>1155.3</v>
      </c>
      <c r="I793">
        <v>0</v>
      </c>
      <c r="J793">
        <f t="shared" si="38"/>
        <v>1155.3</v>
      </c>
      <c r="K793" t="s">
        <v>2021</v>
      </c>
      <c r="L793" t="str">
        <f>_xlfn.XLOOKUP(Orders[[#This Row],[ProductID]],Products!A:A,Products!C:C)</f>
        <v>Beauty</v>
      </c>
    </row>
    <row r="794" spans="1:12" x14ac:dyDescent="0.3">
      <c r="A794">
        <v>793</v>
      </c>
      <c r="B794">
        <v>787</v>
      </c>
      <c r="C794">
        <v>42</v>
      </c>
      <c r="D794" t="s">
        <v>110</v>
      </c>
      <c r="E794">
        <f t="shared" si="36"/>
        <v>2023</v>
      </c>
      <c r="F794" t="str">
        <f t="shared" si="37"/>
        <v>Aug</v>
      </c>
      <c r="G794">
        <v>1</v>
      </c>
      <c r="H794">
        <f>_xlfn.XLOOKUP(C794,Products!A:A,Products!D:D)</f>
        <v>233.11</v>
      </c>
      <c r="I794">
        <v>10</v>
      </c>
      <c r="J794">
        <f t="shared" si="38"/>
        <v>209.79900000000001</v>
      </c>
      <c r="K794" t="s">
        <v>2021</v>
      </c>
      <c r="L794" t="str">
        <f>_xlfn.XLOOKUP(Orders[[#This Row],[ProductID]],Products!A:A,Products!C:C)</f>
        <v>Home</v>
      </c>
    </row>
    <row r="795" spans="1:12" x14ac:dyDescent="0.3">
      <c r="A795">
        <v>794</v>
      </c>
      <c r="B795">
        <v>787</v>
      </c>
      <c r="C795">
        <v>10</v>
      </c>
      <c r="D795" t="s">
        <v>1223</v>
      </c>
      <c r="E795">
        <f t="shared" si="36"/>
        <v>2023</v>
      </c>
      <c r="F795" t="str">
        <f t="shared" si="37"/>
        <v>Apr</v>
      </c>
      <c r="G795">
        <v>3</v>
      </c>
      <c r="H795">
        <f>_xlfn.XLOOKUP(C795,Products!A:A,Products!D:D)</f>
        <v>64.11</v>
      </c>
      <c r="I795">
        <v>10</v>
      </c>
      <c r="J795">
        <f t="shared" si="38"/>
        <v>173.09699999999998</v>
      </c>
      <c r="K795" t="s">
        <v>2024</v>
      </c>
      <c r="L795" t="str">
        <f>_xlfn.XLOOKUP(Orders[[#This Row],[ProductID]],Products!A:A,Products!C:C)</f>
        <v>Clothing</v>
      </c>
    </row>
    <row r="796" spans="1:12" x14ac:dyDescent="0.3">
      <c r="A796">
        <v>795</v>
      </c>
      <c r="B796">
        <v>788</v>
      </c>
      <c r="C796">
        <v>19</v>
      </c>
      <c r="D796" t="s">
        <v>2180</v>
      </c>
      <c r="E796">
        <f t="shared" si="36"/>
        <v>2024</v>
      </c>
      <c r="F796" t="str">
        <f t="shared" si="37"/>
        <v>Feb</v>
      </c>
      <c r="G796">
        <v>2</v>
      </c>
      <c r="H796">
        <f>_xlfn.XLOOKUP(C796,Products!A:A,Products!D:D)</f>
        <v>262.97000000000003</v>
      </c>
      <c r="I796">
        <v>0</v>
      </c>
      <c r="J796">
        <f t="shared" si="38"/>
        <v>525.94000000000005</v>
      </c>
      <c r="K796" t="s">
        <v>2019</v>
      </c>
      <c r="L796" t="str">
        <f>_xlfn.XLOOKUP(Orders[[#This Row],[ProductID]],Products!A:A,Products!C:C)</f>
        <v>Beauty</v>
      </c>
    </row>
    <row r="797" spans="1:12" x14ac:dyDescent="0.3">
      <c r="A797">
        <v>796</v>
      </c>
      <c r="B797">
        <v>788</v>
      </c>
      <c r="C797">
        <v>41</v>
      </c>
      <c r="D797" t="s">
        <v>2165</v>
      </c>
      <c r="E797">
        <f t="shared" si="36"/>
        <v>2023</v>
      </c>
      <c r="F797" t="str">
        <f t="shared" si="37"/>
        <v>Dec</v>
      </c>
      <c r="G797">
        <v>1</v>
      </c>
      <c r="H797">
        <f>_xlfn.XLOOKUP(C797,Products!A:A,Products!D:D)</f>
        <v>554.80999999999995</v>
      </c>
      <c r="I797">
        <v>10</v>
      </c>
      <c r="J797">
        <f t="shared" si="38"/>
        <v>499.32899999999995</v>
      </c>
      <c r="K797" t="s">
        <v>2021</v>
      </c>
      <c r="L797" t="str">
        <f>_xlfn.XLOOKUP(Orders[[#This Row],[ProductID]],Products!A:A,Products!C:C)</f>
        <v>Home</v>
      </c>
    </row>
    <row r="798" spans="1:12" x14ac:dyDescent="0.3">
      <c r="A798">
        <v>797</v>
      </c>
      <c r="B798">
        <v>789</v>
      </c>
      <c r="C798">
        <v>60</v>
      </c>
      <c r="D798" t="s">
        <v>993</v>
      </c>
      <c r="E798">
        <f t="shared" si="36"/>
        <v>2023</v>
      </c>
      <c r="F798" t="str">
        <f t="shared" si="37"/>
        <v>Oct</v>
      </c>
      <c r="G798">
        <v>2</v>
      </c>
      <c r="H798">
        <f>_xlfn.XLOOKUP(C798,Products!A:A,Products!D:D)</f>
        <v>830.49</v>
      </c>
      <c r="I798">
        <v>5</v>
      </c>
      <c r="J798">
        <f t="shared" si="38"/>
        <v>1577.931</v>
      </c>
      <c r="K798" t="s">
        <v>2015</v>
      </c>
      <c r="L798" t="str">
        <f>_xlfn.XLOOKUP(Orders[[#This Row],[ProductID]],Products!A:A,Products!C:C)</f>
        <v>Clothing</v>
      </c>
    </row>
    <row r="799" spans="1:12" x14ac:dyDescent="0.3">
      <c r="A799">
        <v>798</v>
      </c>
      <c r="B799">
        <v>789</v>
      </c>
      <c r="C799">
        <v>9</v>
      </c>
      <c r="D799" t="s">
        <v>401</v>
      </c>
      <c r="E799">
        <f t="shared" si="36"/>
        <v>2023</v>
      </c>
      <c r="F799" t="str">
        <f t="shared" si="37"/>
        <v>Jul</v>
      </c>
      <c r="G799">
        <v>2</v>
      </c>
      <c r="H799">
        <f>_xlfn.XLOOKUP(C799,Products!A:A,Products!D:D)</f>
        <v>43.26</v>
      </c>
      <c r="I799">
        <v>20</v>
      </c>
      <c r="J799">
        <f t="shared" si="38"/>
        <v>69.215999999999994</v>
      </c>
      <c r="K799" t="s">
        <v>2021</v>
      </c>
      <c r="L799" t="str">
        <f>_xlfn.XLOOKUP(Orders[[#This Row],[ProductID]],Products!A:A,Products!C:C)</f>
        <v>Electronics</v>
      </c>
    </row>
    <row r="800" spans="1:12" x14ac:dyDescent="0.3">
      <c r="A800">
        <v>799</v>
      </c>
      <c r="B800">
        <v>790</v>
      </c>
      <c r="C800">
        <v>68</v>
      </c>
      <c r="D800" t="s">
        <v>1690</v>
      </c>
      <c r="E800">
        <f t="shared" si="36"/>
        <v>2023</v>
      </c>
      <c r="F800" t="str">
        <f t="shared" si="37"/>
        <v>Apr</v>
      </c>
      <c r="G800">
        <v>1</v>
      </c>
      <c r="H800">
        <f>_xlfn.XLOOKUP(C800,Products!A:A,Products!D:D)</f>
        <v>180.99</v>
      </c>
      <c r="I800">
        <v>20</v>
      </c>
      <c r="J800">
        <f t="shared" si="38"/>
        <v>144.792</v>
      </c>
      <c r="K800" t="s">
        <v>2024</v>
      </c>
      <c r="L800" t="str">
        <f>_xlfn.XLOOKUP(Orders[[#This Row],[ProductID]],Products!A:A,Products!C:C)</f>
        <v>Clothing</v>
      </c>
    </row>
    <row r="801" spans="1:12" x14ac:dyDescent="0.3">
      <c r="A801">
        <v>800</v>
      </c>
      <c r="B801">
        <v>790</v>
      </c>
      <c r="C801">
        <v>78</v>
      </c>
      <c r="D801" t="s">
        <v>2116</v>
      </c>
      <c r="E801">
        <f t="shared" si="36"/>
        <v>2024</v>
      </c>
      <c r="F801" t="str">
        <f t="shared" si="37"/>
        <v>Apr</v>
      </c>
      <c r="G801">
        <v>3</v>
      </c>
      <c r="H801">
        <f>_xlfn.XLOOKUP(C801,Products!A:A,Products!D:D)</f>
        <v>795.77</v>
      </c>
      <c r="I801">
        <v>0</v>
      </c>
      <c r="J801">
        <f t="shared" si="38"/>
        <v>2387.31</v>
      </c>
      <c r="K801" t="s">
        <v>2015</v>
      </c>
      <c r="L801" t="str">
        <f>_xlfn.XLOOKUP(Orders[[#This Row],[ProductID]],Products!A:A,Products!C:C)</f>
        <v>Beauty</v>
      </c>
    </row>
    <row r="802" spans="1:12" x14ac:dyDescent="0.3">
      <c r="A802">
        <v>801</v>
      </c>
      <c r="B802">
        <v>791</v>
      </c>
      <c r="C802">
        <v>54</v>
      </c>
      <c r="D802" t="s">
        <v>2188</v>
      </c>
      <c r="E802">
        <f t="shared" si="36"/>
        <v>2023</v>
      </c>
      <c r="F802" t="str">
        <f t="shared" si="37"/>
        <v>Dec</v>
      </c>
      <c r="G802">
        <v>2</v>
      </c>
      <c r="H802">
        <f>_xlfn.XLOOKUP(C802,Products!A:A,Products!D:D)</f>
        <v>900.79</v>
      </c>
      <c r="I802">
        <v>10</v>
      </c>
      <c r="J802">
        <f t="shared" si="38"/>
        <v>1621.422</v>
      </c>
      <c r="K802" t="s">
        <v>2024</v>
      </c>
      <c r="L802" t="str">
        <f>_xlfn.XLOOKUP(Orders[[#This Row],[ProductID]],Products!A:A,Products!C:C)</f>
        <v>Electronics</v>
      </c>
    </row>
    <row r="803" spans="1:12" x14ac:dyDescent="0.3">
      <c r="A803">
        <v>802</v>
      </c>
      <c r="B803">
        <v>791</v>
      </c>
      <c r="C803">
        <v>26</v>
      </c>
      <c r="D803" t="s">
        <v>502</v>
      </c>
      <c r="E803">
        <f t="shared" si="36"/>
        <v>2023</v>
      </c>
      <c r="F803" t="str">
        <f t="shared" si="37"/>
        <v>Apr</v>
      </c>
      <c r="G803">
        <v>1</v>
      </c>
      <c r="H803">
        <f>_xlfn.XLOOKUP(C803,Products!A:A,Products!D:D)</f>
        <v>272.61</v>
      </c>
      <c r="I803">
        <v>15</v>
      </c>
      <c r="J803">
        <f t="shared" si="38"/>
        <v>231.71850000000001</v>
      </c>
      <c r="K803" t="s">
        <v>2017</v>
      </c>
      <c r="L803" t="str">
        <f>_xlfn.XLOOKUP(Orders[[#This Row],[ProductID]],Products!A:A,Products!C:C)</f>
        <v>Home</v>
      </c>
    </row>
    <row r="804" spans="1:12" x14ac:dyDescent="0.3">
      <c r="A804">
        <v>803</v>
      </c>
      <c r="B804">
        <v>792</v>
      </c>
      <c r="C804">
        <v>6</v>
      </c>
      <c r="D804" t="s">
        <v>1100</v>
      </c>
      <c r="E804">
        <f t="shared" si="36"/>
        <v>2023</v>
      </c>
      <c r="F804" t="str">
        <f t="shared" si="37"/>
        <v>May</v>
      </c>
      <c r="G804">
        <v>2</v>
      </c>
      <c r="H804">
        <f>_xlfn.XLOOKUP(C804,Products!A:A,Products!D:D)</f>
        <v>719.19</v>
      </c>
      <c r="I804">
        <v>0</v>
      </c>
      <c r="J804">
        <f t="shared" si="38"/>
        <v>1438.38</v>
      </c>
      <c r="K804" t="s">
        <v>2019</v>
      </c>
      <c r="L804" t="str">
        <f>_xlfn.XLOOKUP(Orders[[#This Row],[ProductID]],Products!A:A,Products!C:C)</f>
        <v>Clothing</v>
      </c>
    </row>
    <row r="805" spans="1:12" x14ac:dyDescent="0.3">
      <c r="A805">
        <v>804</v>
      </c>
      <c r="B805">
        <v>792</v>
      </c>
      <c r="C805">
        <v>58</v>
      </c>
      <c r="D805" t="s">
        <v>2123</v>
      </c>
      <c r="E805">
        <f t="shared" si="36"/>
        <v>2023</v>
      </c>
      <c r="F805" t="str">
        <f t="shared" si="37"/>
        <v>Mar</v>
      </c>
      <c r="G805">
        <v>3</v>
      </c>
      <c r="H805">
        <f>_xlfn.XLOOKUP(C805,Products!A:A,Products!D:D)</f>
        <v>334.98</v>
      </c>
      <c r="I805">
        <v>10</v>
      </c>
      <c r="J805">
        <f t="shared" si="38"/>
        <v>904.44600000000003</v>
      </c>
      <c r="K805" t="s">
        <v>2015</v>
      </c>
      <c r="L805" t="str">
        <f>_xlfn.XLOOKUP(Orders[[#This Row],[ProductID]],Products!A:A,Products!C:C)</f>
        <v>Home</v>
      </c>
    </row>
    <row r="806" spans="1:12" x14ac:dyDescent="0.3">
      <c r="A806">
        <v>805</v>
      </c>
      <c r="B806">
        <v>793</v>
      </c>
      <c r="C806">
        <v>50</v>
      </c>
      <c r="D806" t="s">
        <v>234</v>
      </c>
      <c r="E806">
        <f t="shared" si="36"/>
        <v>2023</v>
      </c>
      <c r="F806" t="str">
        <f t="shared" si="37"/>
        <v>May</v>
      </c>
      <c r="G806">
        <v>3</v>
      </c>
      <c r="H806">
        <f>_xlfn.XLOOKUP(C806,Products!A:A,Products!D:D)</f>
        <v>1122.8699999999999</v>
      </c>
      <c r="I806">
        <v>0</v>
      </c>
      <c r="J806">
        <f t="shared" si="38"/>
        <v>3368.6099999999997</v>
      </c>
      <c r="K806" t="s">
        <v>2024</v>
      </c>
      <c r="L806" t="str">
        <f>_xlfn.XLOOKUP(Orders[[#This Row],[ProductID]],Products!A:A,Products!C:C)</f>
        <v>Home</v>
      </c>
    </row>
    <row r="807" spans="1:12" x14ac:dyDescent="0.3">
      <c r="A807">
        <v>806</v>
      </c>
      <c r="B807">
        <v>793</v>
      </c>
      <c r="C807">
        <v>3</v>
      </c>
      <c r="D807" t="s">
        <v>1303</v>
      </c>
      <c r="E807">
        <f t="shared" si="36"/>
        <v>2023</v>
      </c>
      <c r="F807" t="str">
        <f t="shared" si="37"/>
        <v>Nov</v>
      </c>
      <c r="G807">
        <v>3</v>
      </c>
      <c r="H807">
        <f>_xlfn.XLOOKUP(C807,Products!A:A,Products!D:D)</f>
        <v>506.08</v>
      </c>
      <c r="I807">
        <v>0</v>
      </c>
      <c r="J807">
        <f t="shared" si="38"/>
        <v>1518.24</v>
      </c>
      <c r="K807" t="s">
        <v>2017</v>
      </c>
      <c r="L807" t="str">
        <f>_xlfn.XLOOKUP(Orders[[#This Row],[ProductID]],Products!A:A,Products!C:C)</f>
        <v>Clothing</v>
      </c>
    </row>
    <row r="808" spans="1:12" x14ac:dyDescent="0.3">
      <c r="A808">
        <v>807</v>
      </c>
      <c r="B808">
        <v>794</v>
      </c>
      <c r="C808">
        <v>37</v>
      </c>
      <c r="D808" t="s">
        <v>13</v>
      </c>
      <c r="E808">
        <f t="shared" si="36"/>
        <v>2023</v>
      </c>
      <c r="F808" t="str">
        <f t="shared" si="37"/>
        <v>Mar</v>
      </c>
      <c r="G808">
        <v>2</v>
      </c>
      <c r="H808">
        <f>_xlfn.XLOOKUP(C808,Products!A:A,Products!D:D)</f>
        <v>968.87</v>
      </c>
      <c r="I808">
        <v>0</v>
      </c>
      <c r="J808">
        <f t="shared" si="38"/>
        <v>1937.74</v>
      </c>
      <c r="K808" t="s">
        <v>2015</v>
      </c>
      <c r="L808" t="str">
        <f>_xlfn.XLOOKUP(Orders[[#This Row],[ProductID]],Products!A:A,Products!C:C)</f>
        <v>Home</v>
      </c>
    </row>
    <row r="809" spans="1:12" x14ac:dyDescent="0.3">
      <c r="A809">
        <v>808</v>
      </c>
      <c r="B809">
        <v>794</v>
      </c>
      <c r="C809">
        <v>68</v>
      </c>
      <c r="D809" t="s">
        <v>2124</v>
      </c>
      <c r="E809">
        <f t="shared" si="36"/>
        <v>2023</v>
      </c>
      <c r="F809" t="str">
        <f t="shared" si="37"/>
        <v>Jan</v>
      </c>
      <c r="G809">
        <v>2</v>
      </c>
      <c r="H809">
        <f>_xlfn.XLOOKUP(C809,Products!A:A,Products!D:D)</f>
        <v>180.99</v>
      </c>
      <c r="I809">
        <v>0</v>
      </c>
      <c r="J809">
        <f t="shared" si="38"/>
        <v>361.98</v>
      </c>
      <c r="K809" t="s">
        <v>2019</v>
      </c>
      <c r="L809" t="str">
        <f>_xlfn.XLOOKUP(Orders[[#This Row],[ProductID]],Products!A:A,Products!C:C)</f>
        <v>Clothing</v>
      </c>
    </row>
    <row r="810" spans="1:12" x14ac:dyDescent="0.3">
      <c r="A810">
        <v>809</v>
      </c>
      <c r="B810">
        <v>795</v>
      </c>
      <c r="C810">
        <v>61</v>
      </c>
      <c r="D810" t="s">
        <v>1366</v>
      </c>
      <c r="E810">
        <f t="shared" si="36"/>
        <v>2023</v>
      </c>
      <c r="F810" t="str">
        <f t="shared" si="37"/>
        <v>Feb</v>
      </c>
      <c r="G810">
        <v>2</v>
      </c>
      <c r="H810">
        <f>_xlfn.XLOOKUP(C810,Products!A:A,Products!D:D)</f>
        <v>498.92</v>
      </c>
      <c r="I810">
        <v>10</v>
      </c>
      <c r="J810">
        <f t="shared" si="38"/>
        <v>898.05600000000004</v>
      </c>
      <c r="K810" t="s">
        <v>2024</v>
      </c>
      <c r="L810" t="str">
        <f>_xlfn.XLOOKUP(Orders[[#This Row],[ProductID]],Products!A:A,Products!C:C)</f>
        <v>Clothing</v>
      </c>
    </row>
    <row r="811" spans="1:12" x14ac:dyDescent="0.3">
      <c r="A811">
        <v>810</v>
      </c>
      <c r="B811">
        <v>795</v>
      </c>
      <c r="C811">
        <v>41</v>
      </c>
      <c r="D811" t="s">
        <v>2201</v>
      </c>
      <c r="E811">
        <f t="shared" si="36"/>
        <v>2024</v>
      </c>
      <c r="F811" t="str">
        <f t="shared" si="37"/>
        <v>Jan</v>
      </c>
      <c r="G811">
        <v>2</v>
      </c>
      <c r="H811">
        <f>_xlfn.XLOOKUP(C811,Products!A:A,Products!D:D)</f>
        <v>554.80999999999995</v>
      </c>
      <c r="I811">
        <v>15</v>
      </c>
      <c r="J811">
        <f t="shared" si="38"/>
        <v>943.17699999999991</v>
      </c>
      <c r="K811" t="s">
        <v>2019</v>
      </c>
      <c r="L811" t="str">
        <f>_xlfn.XLOOKUP(Orders[[#This Row],[ProductID]],Products!A:A,Products!C:C)</f>
        <v>Home</v>
      </c>
    </row>
    <row r="812" spans="1:12" x14ac:dyDescent="0.3">
      <c r="A812">
        <v>811</v>
      </c>
      <c r="B812">
        <v>796</v>
      </c>
      <c r="C812">
        <v>72</v>
      </c>
      <c r="D812" t="s">
        <v>2155</v>
      </c>
      <c r="E812">
        <f t="shared" si="36"/>
        <v>2024</v>
      </c>
      <c r="F812" t="str">
        <f t="shared" si="37"/>
        <v>Feb</v>
      </c>
      <c r="G812">
        <v>2</v>
      </c>
      <c r="H812">
        <f>_xlfn.XLOOKUP(C812,Products!A:A,Products!D:D)</f>
        <v>1157.27</v>
      </c>
      <c r="I812">
        <v>15</v>
      </c>
      <c r="J812">
        <f t="shared" si="38"/>
        <v>1967.3589999999999</v>
      </c>
      <c r="K812" t="s">
        <v>2015</v>
      </c>
      <c r="L812" t="str">
        <f>_xlfn.XLOOKUP(Orders[[#This Row],[ProductID]],Products!A:A,Products!C:C)</f>
        <v>Electronics</v>
      </c>
    </row>
    <row r="813" spans="1:12" x14ac:dyDescent="0.3">
      <c r="A813">
        <v>812</v>
      </c>
      <c r="B813">
        <v>796</v>
      </c>
      <c r="C813">
        <v>7</v>
      </c>
      <c r="D813" t="s">
        <v>2126</v>
      </c>
      <c r="E813">
        <f t="shared" si="36"/>
        <v>2023</v>
      </c>
      <c r="F813" t="str">
        <f t="shared" si="37"/>
        <v>Jul</v>
      </c>
      <c r="G813">
        <v>2</v>
      </c>
      <c r="H813">
        <f>_xlfn.XLOOKUP(C813,Products!A:A,Products!D:D)</f>
        <v>97.29</v>
      </c>
      <c r="I813">
        <v>15</v>
      </c>
      <c r="J813">
        <f t="shared" si="38"/>
        <v>165.393</v>
      </c>
      <c r="K813" t="s">
        <v>2017</v>
      </c>
      <c r="L813" t="str">
        <f>_xlfn.XLOOKUP(Orders[[#This Row],[ProductID]],Products!A:A,Products!C:C)</f>
        <v>Beauty</v>
      </c>
    </row>
    <row r="814" spans="1:12" x14ac:dyDescent="0.3">
      <c r="A814">
        <v>813</v>
      </c>
      <c r="B814">
        <v>797</v>
      </c>
      <c r="C814">
        <v>16</v>
      </c>
      <c r="D814" t="s">
        <v>2041</v>
      </c>
      <c r="E814">
        <f t="shared" si="36"/>
        <v>2024</v>
      </c>
      <c r="F814" t="str">
        <f t="shared" si="37"/>
        <v>Mar</v>
      </c>
      <c r="G814">
        <v>2</v>
      </c>
      <c r="H814">
        <f>_xlfn.XLOOKUP(C814,Products!A:A,Products!D:D)</f>
        <v>693.02</v>
      </c>
      <c r="I814">
        <v>20</v>
      </c>
      <c r="J814">
        <f t="shared" si="38"/>
        <v>1108.8320000000001</v>
      </c>
      <c r="K814" t="s">
        <v>2019</v>
      </c>
      <c r="L814" t="str">
        <f>_xlfn.XLOOKUP(Orders[[#This Row],[ProductID]],Products!A:A,Products!C:C)</f>
        <v>Home</v>
      </c>
    </row>
    <row r="815" spans="1:12" x14ac:dyDescent="0.3">
      <c r="A815">
        <v>814</v>
      </c>
      <c r="B815">
        <v>797</v>
      </c>
      <c r="C815">
        <v>4</v>
      </c>
      <c r="D815" t="s">
        <v>1726</v>
      </c>
      <c r="E815">
        <f t="shared" si="36"/>
        <v>2023</v>
      </c>
      <c r="F815" t="str">
        <f t="shared" si="37"/>
        <v>Apr</v>
      </c>
      <c r="G815">
        <v>1</v>
      </c>
      <c r="H815">
        <f>_xlfn.XLOOKUP(C815,Products!A:A,Products!D:D)</f>
        <v>800.26</v>
      </c>
      <c r="I815">
        <v>0</v>
      </c>
      <c r="J815">
        <f t="shared" si="38"/>
        <v>800.26</v>
      </c>
      <c r="K815" t="s">
        <v>2021</v>
      </c>
      <c r="L815" t="str">
        <f>_xlfn.XLOOKUP(Orders[[#This Row],[ProductID]],Products!A:A,Products!C:C)</f>
        <v>Electronics</v>
      </c>
    </row>
    <row r="816" spans="1:12" x14ac:dyDescent="0.3">
      <c r="A816">
        <v>815</v>
      </c>
      <c r="B816">
        <v>798</v>
      </c>
      <c r="C816">
        <v>14</v>
      </c>
      <c r="D816" t="s">
        <v>1061</v>
      </c>
      <c r="E816">
        <f t="shared" si="36"/>
        <v>2023</v>
      </c>
      <c r="F816" t="str">
        <f t="shared" si="37"/>
        <v>Jun</v>
      </c>
      <c r="G816">
        <v>3</v>
      </c>
      <c r="H816">
        <f>_xlfn.XLOOKUP(C816,Products!A:A,Products!D:D)</f>
        <v>574.25</v>
      </c>
      <c r="I816">
        <v>15</v>
      </c>
      <c r="J816">
        <f t="shared" si="38"/>
        <v>1464.3374999999999</v>
      </c>
      <c r="K816" t="s">
        <v>2021</v>
      </c>
      <c r="L816" t="str">
        <f>_xlfn.XLOOKUP(Orders[[#This Row],[ProductID]],Products!A:A,Products!C:C)</f>
        <v>Beauty</v>
      </c>
    </row>
    <row r="817" spans="1:12" x14ac:dyDescent="0.3">
      <c r="A817">
        <v>816</v>
      </c>
      <c r="B817">
        <v>798</v>
      </c>
      <c r="C817">
        <v>22</v>
      </c>
      <c r="D817" t="s">
        <v>1123</v>
      </c>
      <c r="E817">
        <f t="shared" si="36"/>
        <v>2023</v>
      </c>
      <c r="F817" t="str">
        <f t="shared" si="37"/>
        <v>Feb</v>
      </c>
      <c r="G817">
        <v>1</v>
      </c>
      <c r="H817">
        <f>_xlfn.XLOOKUP(C817,Products!A:A,Products!D:D)</f>
        <v>373.43</v>
      </c>
      <c r="I817">
        <v>10</v>
      </c>
      <c r="J817">
        <f t="shared" si="38"/>
        <v>336.08699999999999</v>
      </c>
      <c r="K817" t="s">
        <v>2015</v>
      </c>
      <c r="L817" t="str">
        <f>_xlfn.XLOOKUP(Orders[[#This Row],[ProductID]],Products!A:A,Products!C:C)</f>
        <v>Beauty</v>
      </c>
    </row>
    <row r="818" spans="1:12" x14ac:dyDescent="0.3">
      <c r="A818">
        <v>817</v>
      </c>
      <c r="B818">
        <v>799</v>
      </c>
      <c r="C818">
        <v>1</v>
      </c>
      <c r="D818" t="s">
        <v>2134</v>
      </c>
      <c r="E818">
        <f t="shared" si="36"/>
        <v>2024</v>
      </c>
      <c r="F818" t="str">
        <f t="shared" si="37"/>
        <v>Apr</v>
      </c>
      <c r="G818">
        <v>3</v>
      </c>
      <c r="H818">
        <f>_xlfn.XLOOKUP(C818,Products!A:A,Products!D:D)</f>
        <v>469.08</v>
      </c>
      <c r="I818">
        <v>0</v>
      </c>
      <c r="J818">
        <f t="shared" si="38"/>
        <v>1407.24</v>
      </c>
      <c r="K818" t="s">
        <v>2024</v>
      </c>
      <c r="L818" t="str">
        <f>_xlfn.XLOOKUP(Orders[[#This Row],[ProductID]],Products!A:A,Products!C:C)</f>
        <v>Clothing</v>
      </c>
    </row>
    <row r="819" spans="1:12" x14ac:dyDescent="0.3">
      <c r="A819">
        <v>818</v>
      </c>
      <c r="B819">
        <v>799</v>
      </c>
      <c r="C819">
        <v>6</v>
      </c>
      <c r="D819" t="s">
        <v>192</v>
      </c>
      <c r="E819">
        <f t="shared" si="36"/>
        <v>2023</v>
      </c>
      <c r="F819" t="str">
        <f t="shared" si="37"/>
        <v>Feb</v>
      </c>
      <c r="G819">
        <v>1</v>
      </c>
      <c r="H819">
        <f>_xlfn.XLOOKUP(C819,Products!A:A,Products!D:D)</f>
        <v>719.19</v>
      </c>
      <c r="I819">
        <v>10</v>
      </c>
      <c r="J819">
        <f t="shared" si="38"/>
        <v>647.27100000000007</v>
      </c>
      <c r="K819" t="s">
        <v>2019</v>
      </c>
      <c r="L819" t="str">
        <f>_xlfn.XLOOKUP(Orders[[#This Row],[ProductID]],Products!A:A,Products!C:C)</f>
        <v>Clothing</v>
      </c>
    </row>
    <row r="820" spans="1:12" x14ac:dyDescent="0.3">
      <c r="A820">
        <v>819</v>
      </c>
      <c r="B820">
        <v>800</v>
      </c>
      <c r="C820">
        <v>34</v>
      </c>
      <c r="D820" t="s">
        <v>1236</v>
      </c>
      <c r="E820">
        <f t="shared" si="36"/>
        <v>2023</v>
      </c>
      <c r="F820" t="str">
        <f t="shared" si="37"/>
        <v>Jun</v>
      </c>
      <c r="G820">
        <v>3</v>
      </c>
      <c r="H820">
        <f>_xlfn.XLOOKUP(C820,Products!A:A,Products!D:D)</f>
        <v>523.98</v>
      </c>
      <c r="I820">
        <v>20</v>
      </c>
      <c r="J820">
        <f t="shared" si="38"/>
        <v>1257.5520000000001</v>
      </c>
      <c r="K820" t="s">
        <v>2017</v>
      </c>
      <c r="L820" t="str">
        <f>_xlfn.XLOOKUP(Orders[[#This Row],[ProductID]],Products!A:A,Products!C:C)</f>
        <v>Home</v>
      </c>
    </row>
    <row r="821" spans="1:12" x14ac:dyDescent="0.3">
      <c r="A821">
        <v>820</v>
      </c>
      <c r="B821">
        <v>800</v>
      </c>
      <c r="C821">
        <v>35</v>
      </c>
      <c r="D821" t="s">
        <v>2065</v>
      </c>
      <c r="E821">
        <f t="shared" si="36"/>
        <v>2023</v>
      </c>
      <c r="F821" t="str">
        <f t="shared" si="37"/>
        <v>Dec</v>
      </c>
      <c r="G821">
        <v>1</v>
      </c>
      <c r="H821">
        <f>_xlfn.XLOOKUP(C821,Products!A:A,Products!D:D)</f>
        <v>958.87</v>
      </c>
      <c r="I821">
        <v>5</v>
      </c>
      <c r="J821">
        <f t="shared" si="38"/>
        <v>910.92649999999992</v>
      </c>
      <c r="K821" t="s">
        <v>2015</v>
      </c>
      <c r="L821" t="str">
        <f>_xlfn.XLOOKUP(Orders[[#This Row],[ProductID]],Products!A:A,Products!C:C)</f>
        <v>Clothing</v>
      </c>
    </row>
    <row r="822" spans="1:12" x14ac:dyDescent="0.3">
      <c r="A822">
        <v>821</v>
      </c>
      <c r="B822">
        <v>801</v>
      </c>
      <c r="C822">
        <v>59</v>
      </c>
      <c r="D822" t="s">
        <v>353</v>
      </c>
      <c r="E822">
        <f t="shared" si="36"/>
        <v>2023</v>
      </c>
      <c r="F822" t="str">
        <f t="shared" si="37"/>
        <v>Mar</v>
      </c>
      <c r="G822">
        <v>1</v>
      </c>
      <c r="H822">
        <f>_xlfn.XLOOKUP(C822,Products!A:A,Products!D:D)</f>
        <v>782.33</v>
      </c>
      <c r="I822">
        <v>10</v>
      </c>
      <c r="J822">
        <f t="shared" si="38"/>
        <v>704.09700000000009</v>
      </c>
      <c r="K822" t="s">
        <v>2021</v>
      </c>
      <c r="L822" t="str">
        <f>_xlfn.XLOOKUP(Orders[[#This Row],[ProductID]],Products!A:A,Products!C:C)</f>
        <v>Clothing</v>
      </c>
    </row>
    <row r="823" spans="1:12" x14ac:dyDescent="0.3">
      <c r="A823">
        <v>822</v>
      </c>
      <c r="B823">
        <v>801</v>
      </c>
      <c r="C823">
        <v>75</v>
      </c>
      <c r="D823" t="s">
        <v>2064</v>
      </c>
      <c r="E823">
        <f t="shared" si="36"/>
        <v>2024</v>
      </c>
      <c r="F823" t="str">
        <f t="shared" si="37"/>
        <v>Mar</v>
      </c>
      <c r="G823">
        <v>2</v>
      </c>
      <c r="H823">
        <f>_xlfn.XLOOKUP(C823,Products!A:A,Products!D:D)</f>
        <v>390.41</v>
      </c>
      <c r="I823">
        <v>15</v>
      </c>
      <c r="J823">
        <f t="shared" si="38"/>
        <v>663.697</v>
      </c>
      <c r="K823" t="s">
        <v>2019</v>
      </c>
      <c r="L823" t="str">
        <f>_xlfn.XLOOKUP(Orders[[#This Row],[ProductID]],Products!A:A,Products!C:C)</f>
        <v>Electronics</v>
      </c>
    </row>
    <row r="824" spans="1:12" x14ac:dyDescent="0.3">
      <c r="A824">
        <v>823</v>
      </c>
      <c r="B824">
        <v>802</v>
      </c>
      <c r="C824">
        <v>67</v>
      </c>
      <c r="D824" t="s">
        <v>2172</v>
      </c>
      <c r="E824">
        <f t="shared" si="36"/>
        <v>2023</v>
      </c>
      <c r="F824" t="str">
        <f t="shared" si="37"/>
        <v>Sep</v>
      </c>
      <c r="G824">
        <v>1</v>
      </c>
      <c r="H824">
        <f>_xlfn.XLOOKUP(C824,Products!A:A,Products!D:D)</f>
        <v>258.35000000000002</v>
      </c>
      <c r="I824">
        <v>20</v>
      </c>
      <c r="J824">
        <f t="shared" si="38"/>
        <v>206.68000000000004</v>
      </c>
      <c r="K824" t="s">
        <v>2017</v>
      </c>
      <c r="L824" t="str">
        <f>_xlfn.XLOOKUP(Orders[[#This Row],[ProductID]],Products!A:A,Products!C:C)</f>
        <v>Electronics</v>
      </c>
    </row>
    <row r="825" spans="1:12" x14ac:dyDescent="0.3">
      <c r="A825">
        <v>824</v>
      </c>
      <c r="B825">
        <v>802</v>
      </c>
      <c r="C825">
        <v>63</v>
      </c>
      <c r="D825" t="s">
        <v>2056</v>
      </c>
      <c r="E825">
        <f t="shared" si="36"/>
        <v>2024</v>
      </c>
      <c r="F825" t="str">
        <f t="shared" si="37"/>
        <v>May</v>
      </c>
      <c r="G825">
        <v>2</v>
      </c>
      <c r="H825">
        <f>_xlfn.XLOOKUP(C825,Products!A:A,Products!D:D)</f>
        <v>309.79000000000002</v>
      </c>
      <c r="I825">
        <v>10</v>
      </c>
      <c r="J825">
        <f t="shared" si="38"/>
        <v>557.62200000000007</v>
      </c>
      <c r="K825" t="s">
        <v>2017</v>
      </c>
      <c r="L825" t="str">
        <f>_xlfn.XLOOKUP(Orders[[#This Row],[ProductID]],Products!A:A,Products!C:C)</f>
        <v>Electronics</v>
      </c>
    </row>
    <row r="826" spans="1:12" x14ac:dyDescent="0.3">
      <c r="A826">
        <v>825</v>
      </c>
      <c r="B826">
        <v>803</v>
      </c>
      <c r="C826">
        <v>29</v>
      </c>
      <c r="D826" t="s">
        <v>1212</v>
      </c>
      <c r="E826">
        <f t="shared" si="36"/>
        <v>2023</v>
      </c>
      <c r="F826" t="str">
        <f t="shared" si="37"/>
        <v>Feb</v>
      </c>
      <c r="G826">
        <v>2</v>
      </c>
      <c r="H826">
        <f>_xlfn.XLOOKUP(C826,Products!A:A,Products!D:D)</f>
        <v>757</v>
      </c>
      <c r="I826">
        <v>10</v>
      </c>
      <c r="J826">
        <f t="shared" si="38"/>
        <v>1362.6000000000001</v>
      </c>
      <c r="K826" t="s">
        <v>2019</v>
      </c>
      <c r="L826" t="str">
        <f>_xlfn.XLOOKUP(Orders[[#This Row],[ProductID]],Products!A:A,Products!C:C)</f>
        <v>Clothing</v>
      </c>
    </row>
    <row r="827" spans="1:12" x14ac:dyDescent="0.3">
      <c r="A827">
        <v>826</v>
      </c>
      <c r="B827">
        <v>803</v>
      </c>
      <c r="C827">
        <v>46</v>
      </c>
      <c r="D827" t="s">
        <v>667</v>
      </c>
      <c r="E827">
        <f t="shared" si="36"/>
        <v>2023</v>
      </c>
      <c r="F827" t="str">
        <f t="shared" si="37"/>
        <v>Oct</v>
      </c>
      <c r="G827">
        <v>1</v>
      </c>
      <c r="H827">
        <f>_xlfn.XLOOKUP(C827,Products!A:A,Products!D:D)</f>
        <v>1155.3</v>
      </c>
      <c r="I827">
        <v>5</v>
      </c>
      <c r="J827">
        <f t="shared" si="38"/>
        <v>1097.5349999999999</v>
      </c>
      <c r="K827" t="s">
        <v>2019</v>
      </c>
      <c r="L827" t="str">
        <f>_xlfn.XLOOKUP(Orders[[#This Row],[ProductID]],Products!A:A,Products!C:C)</f>
        <v>Beauty</v>
      </c>
    </row>
    <row r="828" spans="1:12" x14ac:dyDescent="0.3">
      <c r="A828">
        <v>827</v>
      </c>
      <c r="B828">
        <v>804</v>
      </c>
      <c r="C828">
        <v>10</v>
      </c>
      <c r="D828" t="s">
        <v>2087</v>
      </c>
      <c r="E828">
        <f t="shared" si="36"/>
        <v>2024</v>
      </c>
      <c r="F828" t="str">
        <f t="shared" si="37"/>
        <v>May</v>
      </c>
      <c r="G828">
        <v>2</v>
      </c>
      <c r="H828">
        <f>_xlfn.XLOOKUP(C828,Products!A:A,Products!D:D)</f>
        <v>64.11</v>
      </c>
      <c r="I828">
        <v>0</v>
      </c>
      <c r="J828">
        <f t="shared" si="38"/>
        <v>128.22</v>
      </c>
      <c r="K828" t="s">
        <v>2021</v>
      </c>
      <c r="L828" t="str">
        <f>_xlfn.XLOOKUP(Orders[[#This Row],[ProductID]],Products!A:A,Products!C:C)</f>
        <v>Clothing</v>
      </c>
    </row>
    <row r="829" spans="1:12" x14ac:dyDescent="0.3">
      <c r="A829">
        <v>828</v>
      </c>
      <c r="B829">
        <v>804</v>
      </c>
      <c r="C829">
        <v>2</v>
      </c>
      <c r="D829" t="s">
        <v>2202</v>
      </c>
      <c r="E829">
        <f t="shared" si="36"/>
        <v>2023</v>
      </c>
      <c r="F829" t="str">
        <f t="shared" si="37"/>
        <v>Dec</v>
      </c>
      <c r="G829">
        <v>1</v>
      </c>
      <c r="H829">
        <f>_xlfn.XLOOKUP(C829,Products!A:A,Products!D:D)</f>
        <v>427.27</v>
      </c>
      <c r="I829">
        <v>15</v>
      </c>
      <c r="J829">
        <f t="shared" si="38"/>
        <v>363.17949999999996</v>
      </c>
      <c r="K829" t="s">
        <v>2017</v>
      </c>
      <c r="L829" t="str">
        <f>_xlfn.XLOOKUP(Orders[[#This Row],[ProductID]],Products!A:A,Products!C:C)</f>
        <v>Home</v>
      </c>
    </row>
    <row r="830" spans="1:12" x14ac:dyDescent="0.3">
      <c r="A830">
        <v>829</v>
      </c>
      <c r="B830">
        <v>805</v>
      </c>
      <c r="C830">
        <v>25</v>
      </c>
      <c r="D830" t="s">
        <v>1242</v>
      </c>
      <c r="E830">
        <f t="shared" si="36"/>
        <v>2023</v>
      </c>
      <c r="F830" t="str">
        <f t="shared" si="37"/>
        <v>Sep</v>
      </c>
      <c r="G830">
        <v>1</v>
      </c>
      <c r="H830">
        <f>_xlfn.XLOOKUP(C830,Products!A:A,Products!D:D)</f>
        <v>1011.65</v>
      </c>
      <c r="I830">
        <v>10</v>
      </c>
      <c r="J830">
        <f t="shared" si="38"/>
        <v>910.48500000000001</v>
      </c>
      <c r="K830" t="s">
        <v>2021</v>
      </c>
      <c r="L830" t="str">
        <f>_xlfn.XLOOKUP(Orders[[#This Row],[ProductID]],Products!A:A,Products!C:C)</f>
        <v>Electronics</v>
      </c>
    </row>
    <row r="831" spans="1:12" x14ac:dyDescent="0.3">
      <c r="A831">
        <v>830</v>
      </c>
      <c r="B831">
        <v>805</v>
      </c>
      <c r="C831">
        <v>76</v>
      </c>
      <c r="D831" t="s">
        <v>2203</v>
      </c>
      <c r="E831">
        <f t="shared" si="36"/>
        <v>2024</v>
      </c>
      <c r="F831" t="str">
        <f t="shared" si="37"/>
        <v>Jan</v>
      </c>
      <c r="G831">
        <v>3</v>
      </c>
      <c r="H831">
        <f>_xlfn.XLOOKUP(C831,Products!A:A,Products!D:D)</f>
        <v>1043.26</v>
      </c>
      <c r="I831">
        <v>20</v>
      </c>
      <c r="J831">
        <f t="shared" si="38"/>
        <v>2503.8240000000001</v>
      </c>
      <c r="K831" t="s">
        <v>2024</v>
      </c>
      <c r="L831" t="str">
        <f>_xlfn.XLOOKUP(Orders[[#This Row],[ProductID]],Products!A:A,Products!C:C)</f>
        <v>Clothing</v>
      </c>
    </row>
    <row r="832" spans="1:12" x14ac:dyDescent="0.3">
      <c r="A832">
        <v>831</v>
      </c>
      <c r="B832">
        <v>806</v>
      </c>
      <c r="C832">
        <v>40</v>
      </c>
      <c r="D832" t="s">
        <v>2204</v>
      </c>
      <c r="E832">
        <f t="shared" si="36"/>
        <v>2023</v>
      </c>
      <c r="F832" t="str">
        <f t="shared" si="37"/>
        <v>Dec</v>
      </c>
      <c r="G832">
        <v>2</v>
      </c>
      <c r="H832">
        <f>_xlfn.XLOOKUP(C832,Products!A:A,Products!D:D)</f>
        <v>316.49</v>
      </c>
      <c r="I832">
        <v>5</v>
      </c>
      <c r="J832">
        <f t="shared" si="38"/>
        <v>601.33100000000002</v>
      </c>
      <c r="K832" t="s">
        <v>2015</v>
      </c>
      <c r="L832" t="str">
        <f>_xlfn.XLOOKUP(Orders[[#This Row],[ProductID]],Products!A:A,Products!C:C)</f>
        <v>Home</v>
      </c>
    </row>
    <row r="833" spans="1:12" x14ac:dyDescent="0.3">
      <c r="A833">
        <v>832</v>
      </c>
      <c r="B833">
        <v>806</v>
      </c>
      <c r="C833">
        <v>14</v>
      </c>
      <c r="D833" t="s">
        <v>2205</v>
      </c>
      <c r="E833">
        <f t="shared" si="36"/>
        <v>2024</v>
      </c>
      <c r="F833" t="str">
        <f t="shared" si="37"/>
        <v>Apr</v>
      </c>
      <c r="G833">
        <v>1</v>
      </c>
      <c r="H833">
        <f>_xlfn.XLOOKUP(C833,Products!A:A,Products!D:D)</f>
        <v>574.25</v>
      </c>
      <c r="I833">
        <v>5</v>
      </c>
      <c r="J833">
        <f t="shared" si="38"/>
        <v>545.53750000000002</v>
      </c>
      <c r="K833" t="s">
        <v>2024</v>
      </c>
      <c r="L833" t="str">
        <f>_xlfn.XLOOKUP(Orders[[#This Row],[ProductID]],Products!A:A,Products!C:C)</f>
        <v>Beauty</v>
      </c>
    </row>
    <row r="834" spans="1:12" x14ac:dyDescent="0.3">
      <c r="A834">
        <v>833</v>
      </c>
      <c r="B834">
        <v>807</v>
      </c>
      <c r="C834">
        <v>50</v>
      </c>
      <c r="D834" t="s">
        <v>2056</v>
      </c>
      <c r="E834">
        <f t="shared" si="36"/>
        <v>2024</v>
      </c>
      <c r="F834" t="str">
        <f t="shared" si="37"/>
        <v>May</v>
      </c>
      <c r="G834">
        <v>2</v>
      </c>
      <c r="H834">
        <f>_xlfn.XLOOKUP(C834,Products!A:A,Products!D:D)</f>
        <v>1122.8699999999999</v>
      </c>
      <c r="I834">
        <v>20</v>
      </c>
      <c r="J834">
        <f t="shared" si="38"/>
        <v>1796.5919999999999</v>
      </c>
      <c r="K834" t="s">
        <v>2015</v>
      </c>
      <c r="L834" t="str">
        <f>_xlfn.XLOOKUP(Orders[[#This Row],[ProductID]],Products!A:A,Products!C:C)</f>
        <v>Home</v>
      </c>
    </row>
    <row r="835" spans="1:12" x14ac:dyDescent="0.3">
      <c r="A835">
        <v>834</v>
      </c>
      <c r="B835">
        <v>807</v>
      </c>
      <c r="C835">
        <v>26</v>
      </c>
      <c r="D835" t="s">
        <v>2180</v>
      </c>
      <c r="E835">
        <f t="shared" ref="E835:E898" si="39">YEAR(D835)</f>
        <v>2024</v>
      </c>
      <c r="F835" t="str">
        <f t="shared" ref="F835:F898" si="40">TEXT(D835,"mmm")</f>
        <v>Feb</v>
      </c>
      <c r="G835">
        <v>2</v>
      </c>
      <c r="H835">
        <f>_xlfn.XLOOKUP(C835,Products!A:A,Products!D:D)</f>
        <v>272.61</v>
      </c>
      <c r="I835">
        <v>5</v>
      </c>
      <c r="J835">
        <f t="shared" ref="J835:J898" si="41">G835*H835*(1-I835/100)</f>
        <v>517.95899999999995</v>
      </c>
      <c r="K835" t="s">
        <v>2019</v>
      </c>
      <c r="L835" t="str">
        <f>_xlfn.XLOOKUP(Orders[[#This Row],[ProductID]],Products!A:A,Products!C:C)</f>
        <v>Home</v>
      </c>
    </row>
    <row r="836" spans="1:12" x14ac:dyDescent="0.3">
      <c r="A836">
        <v>835</v>
      </c>
      <c r="B836">
        <v>808</v>
      </c>
      <c r="C836">
        <v>36</v>
      </c>
      <c r="D836" t="s">
        <v>1110</v>
      </c>
      <c r="E836">
        <f t="shared" si="39"/>
        <v>2023</v>
      </c>
      <c r="F836" t="str">
        <f t="shared" si="40"/>
        <v>Aug</v>
      </c>
      <c r="G836">
        <v>1</v>
      </c>
      <c r="H836">
        <f>_xlfn.XLOOKUP(C836,Products!A:A,Products!D:D)</f>
        <v>992.01</v>
      </c>
      <c r="I836">
        <v>10</v>
      </c>
      <c r="J836">
        <f t="shared" si="41"/>
        <v>892.80899999999997</v>
      </c>
      <c r="K836" t="s">
        <v>2015</v>
      </c>
      <c r="L836" t="str">
        <f>_xlfn.XLOOKUP(Orders[[#This Row],[ProductID]],Products!A:A,Products!C:C)</f>
        <v>Beauty</v>
      </c>
    </row>
    <row r="837" spans="1:12" x14ac:dyDescent="0.3">
      <c r="A837">
        <v>836</v>
      </c>
      <c r="B837">
        <v>808</v>
      </c>
      <c r="C837">
        <v>14</v>
      </c>
      <c r="D837" t="s">
        <v>224</v>
      </c>
      <c r="E837">
        <f t="shared" si="39"/>
        <v>2023</v>
      </c>
      <c r="F837" t="str">
        <f t="shared" si="40"/>
        <v>Mar</v>
      </c>
      <c r="G837">
        <v>2</v>
      </c>
      <c r="H837">
        <f>_xlfn.XLOOKUP(C837,Products!A:A,Products!D:D)</f>
        <v>574.25</v>
      </c>
      <c r="I837">
        <v>0</v>
      </c>
      <c r="J837">
        <f t="shared" si="41"/>
        <v>1148.5</v>
      </c>
      <c r="K837" t="s">
        <v>2019</v>
      </c>
      <c r="L837" t="str">
        <f>_xlfn.XLOOKUP(Orders[[#This Row],[ProductID]],Products!A:A,Products!C:C)</f>
        <v>Beauty</v>
      </c>
    </row>
    <row r="838" spans="1:12" x14ac:dyDescent="0.3">
      <c r="A838">
        <v>837</v>
      </c>
      <c r="B838">
        <v>809</v>
      </c>
      <c r="C838">
        <v>31</v>
      </c>
      <c r="D838" t="s">
        <v>2157</v>
      </c>
      <c r="E838">
        <f t="shared" si="39"/>
        <v>2023</v>
      </c>
      <c r="F838" t="str">
        <f t="shared" si="40"/>
        <v>Jan</v>
      </c>
      <c r="G838">
        <v>2</v>
      </c>
      <c r="H838">
        <f>_xlfn.XLOOKUP(C838,Products!A:A,Products!D:D)</f>
        <v>131.79</v>
      </c>
      <c r="I838">
        <v>5</v>
      </c>
      <c r="J838">
        <f t="shared" si="41"/>
        <v>250.40099999999998</v>
      </c>
      <c r="K838" t="s">
        <v>2024</v>
      </c>
      <c r="L838" t="str">
        <f>_xlfn.XLOOKUP(Orders[[#This Row],[ProductID]],Products!A:A,Products!C:C)</f>
        <v>Beauty</v>
      </c>
    </row>
    <row r="839" spans="1:12" x14ac:dyDescent="0.3">
      <c r="A839">
        <v>838</v>
      </c>
      <c r="B839">
        <v>809</v>
      </c>
      <c r="C839">
        <v>4</v>
      </c>
      <c r="D839" t="s">
        <v>148</v>
      </c>
      <c r="E839">
        <f t="shared" si="39"/>
        <v>2023</v>
      </c>
      <c r="F839" t="str">
        <f t="shared" si="40"/>
        <v>Sep</v>
      </c>
      <c r="G839">
        <v>3</v>
      </c>
      <c r="H839">
        <f>_xlfn.XLOOKUP(C839,Products!A:A,Products!D:D)</f>
        <v>800.26</v>
      </c>
      <c r="I839">
        <v>20</v>
      </c>
      <c r="J839">
        <f t="shared" si="41"/>
        <v>1920.6239999999998</v>
      </c>
      <c r="K839" t="s">
        <v>2017</v>
      </c>
      <c r="L839" t="str">
        <f>_xlfn.XLOOKUP(Orders[[#This Row],[ProductID]],Products!A:A,Products!C:C)</f>
        <v>Electronics</v>
      </c>
    </row>
    <row r="840" spans="1:12" x14ac:dyDescent="0.3">
      <c r="A840">
        <v>839</v>
      </c>
      <c r="B840">
        <v>810</v>
      </c>
      <c r="C840">
        <v>46</v>
      </c>
      <c r="D840" t="s">
        <v>1225</v>
      </c>
      <c r="E840">
        <f t="shared" si="39"/>
        <v>2023</v>
      </c>
      <c r="F840" t="str">
        <f t="shared" si="40"/>
        <v>May</v>
      </c>
      <c r="G840">
        <v>1</v>
      </c>
      <c r="H840">
        <f>_xlfn.XLOOKUP(C840,Products!A:A,Products!D:D)</f>
        <v>1155.3</v>
      </c>
      <c r="I840">
        <v>20</v>
      </c>
      <c r="J840">
        <f t="shared" si="41"/>
        <v>924.24</v>
      </c>
      <c r="K840" t="s">
        <v>2019</v>
      </c>
      <c r="L840" t="str">
        <f>_xlfn.XLOOKUP(Orders[[#This Row],[ProductID]],Products!A:A,Products!C:C)</f>
        <v>Beauty</v>
      </c>
    </row>
    <row r="841" spans="1:12" x14ac:dyDescent="0.3">
      <c r="A841">
        <v>840</v>
      </c>
      <c r="B841">
        <v>810</v>
      </c>
      <c r="C841">
        <v>46</v>
      </c>
      <c r="D841" t="s">
        <v>458</v>
      </c>
      <c r="E841">
        <f t="shared" si="39"/>
        <v>2023</v>
      </c>
      <c r="F841" t="str">
        <f t="shared" si="40"/>
        <v>Aug</v>
      </c>
      <c r="G841">
        <v>1</v>
      </c>
      <c r="H841">
        <f>_xlfn.XLOOKUP(C841,Products!A:A,Products!D:D)</f>
        <v>1155.3</v>
      </c>
      <c r="I841">
        <v>5</v>
      </c>
      <c r="J841">
        <f t="shared" si="41"/>
        <v>1097.5349999999999</v>
      </c>
      <c r="K841" t="s">
        <v>2017</v>
      </c>
      <c r="L841" t="str">
        <f>_xlfn.XLOOKUP(Orders[[#This Row],[ProductID]],Products!A:A,Products!C:C)</f>
        <v>Beauty</v>
      </c>
    </row>
    <row r="842" spans="1:12" x14ac:dyDescent="0.3">
      <c r="A842">
        <v>841</v>
      </c>
      <c r="B842">
        <v>811</v>
      </c>
      <c r="C842">
        <v>65</v>
      </c>
      <c r="D842" t="s">
        <v>458</v>
      </c>
      <c r="E842">
        <f t="shared" si="39"/>
        <v>2023</v>
      </c>
      <c r="F842" t="str">
        <f t="shared" si="40"/>
        <v>Aug</v>
      </c>
      <c r="G842">
        <v>3</v>
      </c>
      <c r="H842">
        <f>_xlfn.XLOOKUP(C842,Products!A:A,Products!D:D)</f>
        <v>1189.73</v>
      </c>
      <c r="I842">
        <v>10</v>
      </c>
      <c r="J842">
        <f t="shared" si="41"/>
        <v>3212.2710000000002</v>
      </c>
      <c r="K842" t="s">
        <v>2019</v>
      </c>
      <c r="L842" t="str">
        <f>_xlfn.XLOOKUP(Orders[[#This Row],[ProductID]],Products!A:A,Products!C:C)</f>
        <v>Home</v>
      </c>
    </row>
    <row r="843" spans="1:12" x14ac:dyDescent="0.3">
      <c r="A843">
        <v>842</v>
      </c>
      <c r="B843">
        <v>811</v>
      </c>
      <c r="C843">
        <v>57</v>
      </c>
      <c r="D843" t="s">
        <v>1148</v>
      </c>
      <c r="E843">
        <f t="shared" si="39"/>
        <v>2023</v>
      </c>
      <c r="F843" t="str">
        <f t="shared" si="40"/>
        <v>May</v>
      </c>
      <c r="G843">
        <v>2</v>
      </c>
      <c r="H843">
        <f>_xlfn.XLOOKUP(C843,Products!A:A,Products!D:D)</f>
        <v>768.03</v>
      </c>
      <c r="I843">
        <v>0</v>
      </c>
      <c r="J843">
        <f t="shared" si="41"/>
        <v>1536.06</v>
      </c>
      <c r="K843" t="s">
        <v>2019</v>
      </c>
      <c r="L843" t="str">
        <f>_xlfn.XLOOKUP(Orders[[#This Row],[ProductID]],Products!A:A,Products!C:C)</f>
        <v>Electronics</v>
      </c>
    </row>
    <row r="844" spans="1:12" x14ac:dyDescent="0.3">
      <c r="A844">
        <v>843</v>
      </c>
      <c r="B844">
        <v>812</v>
      </c>
      <c r="C844">
        <v>49</v>
      </c>
      <c r="D844" t="s">
        <v>2069</v>
      </c>
      <c r="E844">
        <f t="shared" si="39"/>
        <v>2024</v>
      </c>
      <c r="F844" t="str">
        <f t="shared" si="40"/>
        <v>Jan</v>
      </c>
      <c r="G844">
        <v>2</v>
      </c>
      <c r="H844">
        <f>_xlfn.XLOOKUP(C844,Products!A:A,Products!D:D)</f>
        <v>974.54</v>
      </c>
      <c r="I844">
        <v>5</v>
      </c>
      <c r="J844">
        <f t="shared" si="41"/>
        <v>1851.6259999999997</v>
      </c>
      <c r="K844" t="s">
        <v>2024</v>
      </c>
      <c r="L844" t="str">
        <f>_xlfn.XLOOKUP(Orders[[#This Row],[ProductID]],Products!A:A,Products!C:C)</f>
        <v>Home</v>
      </c>
    </row>
    <row r="845" spans="1:12" x14ac:dyDescent="0.3">
      <c r="A845">
        <v>844</v>
      </c>
      <c r="B845">
        <v>812</v>
      </c>
      <c r="C845">
        <v>25</v>
      </c>
      <c r="D845" t="s">
        <v>1586</v>
      </c>
      <c r="E845">
        <f t="shared" si="39"/>
        <v>2023</v>
      </c>
      <c r="F845" t="str">
        <f t="shared" si="40"/>
        <v>Jul</v>
      </c>
      <c r="G845">
        <v>1</v>
      </c>
      <c r="H845">
        <f>_xlfn.XLOOKUP(C845,Products!A:A,Products!D:D)</f>
        <v>1011.65</v>
      </c>
      <c r="I845">
        <v>20</v>
      </c>
      <c r="J845">
        <f t="shared" si="41"/>
        <v>809.32</v>
      </c>
      <c r="K845" t="s">
        <v>2024</v>
      </c>
      <c r="L845" t="str">
        <f>_xlfn.XLOOKUP(Orders[[#This Row],[ProductID]],Products!A:A,Products!C:C)</f>
        <v>Electronics</v>
      </c>
    </row>
    <row r="846" spans="1:12" x14ac:dyDescent="0.3">
      <c r="A846">
        <v>845</v>
      </c>
      <c r="B846">
        <v>813</v>
      </c>
      <c r="C846">
        <v>68</v>
      </c>
      <c r="D846" t="s">
        <v>360</v>
      </c>
      <c r="E846">
        <f t="shared" si="39"/>
        <v>2023</v>
      </c>
      <c r="F846" t="str">
        <f t="shared" si="40"/>
        <v>Nov</v>
      </c>
      <c r="G846">
        <v>2</v>
      </c>
      <c r="H846">
        <f>_xlfn.XLOOKUP(C846,Products!A:A,Products!D:D)</f>
        <v>180.99</v>
      </c>
      <c r="I846">
        <v>20</v>
      </c>
      <c r="J846">
        <f t="shared" si="41"/>
        <v>289.584</v>
      </c>
      <c r="K846" t="s">
        <v>2017</v>
      </c>
      <c r="L846" t="str">
        <f>_xlfn.XLOOKUP(Orders[[#This Row],[ProductID]],Products!A:A,Products!C:C)</f>
        <v>Clothing</v>
      </c>
    </row>
    <row r="847" spans="1:12" x14ac:dyDescent="0.3">
      <c r="A847">
        <v>846</v>
      </c>
      <c r="B847">
        <v>813</v>
      </c>
      <c r="C847">
        <v>14</v>
      </c>
      <c r="D847" t="s">
        <v>2030</v>
      </c>
      <c r="E847">
        <f t="shared" si="39"/>
        <v>2023</v>
      </c>
      <c r="F847" t="str">
        <f t="shared" si="40"/>
        <v>Dec</v>
      </c>
      <c r="G847">
        <v>1</v>
      </c>
      <c r="H847">
        <f>_xlfn.XLOOKUP(C847,Products!A:A,Products!D:D)</f>
        <v>574.25</v>
      </c>
      <c r="I847">
        <v>5</v>
      </c>
      <c r="J847">
        <f t="shared" si="41"/>
        <v>545.53750000000002</v>
      </c>
      <c r="K847" t="s">
        <v>2019</v>
      </c>
      <c r="L847" t="str">
        <f>_xlfn.XLOOKUP(Orders[[#This Row],[ProductID]],Products!A:A,Products!C:C)</f>
        <v>Beauty</v>
      </c>
    </row>
    <row r="848" spans="1:12" x14ac:dyDescent="0.3">
      <c r="A848">
        <v>847</v>
      </c>
      <c r="B848">
        <v>814</v>
      </c>
      <c r="C848">
        <v>29</v>
      </c>
      <c r="D848" t="s">
        <v>530</v>
      </c>
      <c r="E848">
        <f t="shared" si="39"/>
        <v>2023</v>
      </c>
      <c r="F848" t="str">
        <f t="shared" si="40"/>
        <v>Feb</v>
      </c>
      <c r="G848">
        <v>1</v>
      </c>
      <c r="H848">
        <f>_xlfn.XLOOKUP(C848,Products!A:A,Products!D:D)</f>
        <v>757</v>
      </c>
      <c r="I848">
        <v>0</v>
      </c>
      <c r="J848">
        <f t="shared" si="41"/>
        <v>757</v>
      </c>
      <c r="K848" t="s">
        <v>2015</v>
      </c>
      <c r="L848" t="str">
        <f>_xlfn.XLOOKUP(Orders[[#This Row],[ProductID]],Products!A:A,Products!C:C)</f>
        <v>Clothing</v>
      </c>
    </row>
    <row r="849" spans="1:12" x14ac:dyDescent="0.3">
      <c r="A849">
        <v>848</v>
      </c>
      <c r="B849">
        <v>814</v>
      </c>
      <c r="C849">
        <v>35</v>
      </c>
      <c r="D849" t="s">
        <v>987</v>
      </c>
      <c r="E849">
        <f t="shared" si="39"/>
        <v>2023</v>
      </c>
      <c r="F849" t="str">
        <f t="shared" si="40"/>
        <v>May</v>
      </c>
      <c r="G849">
        <v>1</v>
      </c>
      <c r="H849">
        <f>_xlfn.XLOOKUP(C849,Products!A:A,Products!D:D)</f>
        <v>958.87</v>
      </c>
      <c r="I849">
        <v>20</v>
      </c>
      <c r="J849">
        <f t="shared" si="41"/>
        <v>767.096</v>
      </c>
      <c r="K849" t="s">
        <v>2019</v>
      </c>
      <c r="L849" t="str">
        <f>_xlfn.XLOOKUP(Orders[[#This Row],[ProductID]],Products!A:A,Products!C:C)</f>
        <v>Clothing</v>
      </c>
    </row>
    <row r="850" spans="1:12" x14ac:dyDescent="0.3">
      <c r="A850">
        <v>849</v>
      </c>
      <c r="B850">
        <v>815</v>
      </c>
      <c r="C850">
        <v>36</v>
      </c>
      <c r="D850" t="s">
        <v>429</v>
      </c>
      <c r="E850">
        <f t="shared" si="39"/>
        <v>2023</v>
      </c>
      <c r="F850" t="str">
        <f t="shared" si="40"/>
        <v>Apr</v>
      </c>
      <c r="G850">
        <v>3</v>
      </c>
      <c r="H850">
        <f>_xlfn.XLOOKUP(C850,Products!A:A,Products!D:D)</f>
        <v>992.01</v>
      </c>
      <c r="I850">
        <v>15</v>
      </c>
      <c r="J850">
        <f t="shared" si="41"/>
        <v>2529.6254999999996</v>
      </c>
      <c r="K850" t="s">
        <v>2017</v>
      </c>
      <c r="L850" t="str">
        <f>_xlfn.XLOOKUP(Orders[[#This Row],[ProductID]],Products!A:A,Products!C:C)</f>
        <v>Beauty</v>
      </c>
    </row>
    <row r="851" spans="1:12" x14ac:dyDescent="0.3">
      <c r="A851">
        <v>850</v>
      </c>
      <c r="B851">
        <v>815</v>
      </c>
      <c r="C851">
        <v>51</v>
      </c>
      <c r="D851" t="s">
        <v>323</v>
      </c>
      <c r="E851">
        <f t="shared" si="39"/>
        <v>2023</v>
      </c>
      <c r="F851" t="str">
        <f t="shared" si="40"/>
        <v>Feb</v>
      </c>
      <c r="G851">
        <v>1</v>
      </c>
      <c r="H851">
        <f>_xlfn.XLOOKUP(C851,Products!A:A,Products!D:D)</f>
        <v>759.57</v>
      </c>
      <c r="I851">
        <v>10</v>
      </c>
      <c r="J851">
        <f t="shared" si="41"/>
        <v>683.61300000000006</v>
      </c>
      <c r="K851" t="s">
        <v>2017</v>
      </c>
      <c r="L851" t="str">
        <f>_xlfn.XLOOKUP(Orders[[#This Row],[ProductID]],Products!A:A,Products!C:C)</f>
        <v>Beauty</v>
      </c>
    </row>
    <row r="852" spans="1:12" x14ac:dyDescent="0.3">
      <c r="A852">
        <v>851</v>
      </c>
      <c r="B852">
        <v>816</v>
      </c>
      <c r="C852">
        <v>27</v>
      </c>
      <c r="D852" t="s">
        <v>2123</v>
      </c>
      <c r="E852">
        <f t="shared" si="39"/>
        <v>2023</v>
      </c>
      <c r="F852" t="str">
        <f t="shared" si="40"/>
        <v>Mar</v>
      </c>
      <c r="G852">
        <v>1</v>
      </c>
      <c r="H852">
        <f>_xlfn.XLOOKUP(C852,Products!A:A,Products!D:D)</f>
        <v>76.09</v>
      </c>
      <c r="I852">
        <v>10</v>
      </c>
      <c r="J852">
        <f t="shared" si="41"/>
        <v>68.481000000000009</v>
      </c>
      <c r="K852" t="s">
        <v>2024</v>
      </c>
      <c r="L852" t="str">
        <f>_xlfn.XLOOKUP(Orders[[#This Row],[ProductID]],Products!A:A,Products!C:C)</f>
        <v>Clothing</v>
      </c>
    </row>
    <row r="853" spans="1:12" x14ac:dyDescent="0.3">
      <c r="A853">
        <v>852</v>
      </c>
      <c r="B853">
        <v>816</v>
      </c>
      <c r="C853">
        <v>77</v>
      </c>
      <c r="D853" t="s">
        <v>1662</v>
      </c>
      <c r="E853">
        <f t="shared" si="39"/>
        <v>2023</v>
      </c>
      <c r="F853" t="str">
        <f t="shared" si="40"/>
        <v>May</v>
      </c>
      <c r="G853">
        <v>3</v>
      </c>
      <c r="H853">
        <f>_xlfn.XLOOKUP(C853,Products!A:A,Products!D:D)</f>
        <v>1078.19</v>
      </c>
      <c r="I853">
        <v>0</v>
      </c>
      <c r="J853">
        <f t="shared" si="41"/>
        <v>3234.57</v>
      </c>
      <c r="K853" t="s">
        <v>2019</v>
      </c>
      <c r="L853" t="str">
        <f>_xlfn.XLOOKUP(Orders[[#This Row],[ProductID]],Products!A:A,Products!C:C)</f>
        <v>Home</v>
      </c>
    </row>
    <row r="854" spans="1:12" x14ac:dyDescent="0.3">
      <c r="A854">
        <v>853</v>
      </c>
      <c r="B854">
        <v>817</v>
      </c>
      <c r="C854">
        <v>24</v>
      </c>
      <c r="D854" t="s">
        <v>1900</v>
      </c>
      <c r="E854">
        <f t="shared" si="39"/>
        <v>2023</v>
      </c>
      <c r="F854" t="str">
        <f t="shared" si="40"/>
        <v>Sep</v>
      </c>
      <c r="G854">
        <v>3</v>
      </c>
      <c r="H854">
        <f>_xlfn.XLOOKUP(C854,Products!A:A,Products!D:D)</f>
        <v>1019.85</v>
      </c>
      <c r="I854">
        <v>20</v>
      </c>
      <c r="J854">
        <f t="shared" si="41"/>
        <v>2447.6400000000003</v>
      </c>
      <c r="K854" t="s">
        <v>2017</v>
      </c>
      <c r="L854" t="str">
        <f>_xlfn.XLOOKUP(Orders[[#This Row],[ProductID]],Products!A:A,Products!C:C)</f>
        <v>Beauty</v>
      </c>
    </row>
    <row r="855" spans="1:12" x14ac:dyDescent="0.3">
      <c r="A855">
        <v>854</v>
      </c>
      <c r="B855">
        <v>817</v>
      </c>
      <c r="C855">
        <v>40</v>
      </c>
      <c r="D855" t="s">
        <v>2106</v>
      </c>
      <c r="E855">
        <f t="shared" si="39"/>
        <v>2024</v>
      </c>
      <c r="F855" t="str">
        <f t="shared" si="40"/>
        <v>Mar</v>
      </c>
      <c r="G855">
        <v>3</v>
      </c>
      <c r="H855">
        <f>_xlfn.XLOOKUP(C855,Products!A:A,Products!D:D)</f>
        <v>316.49</v>
      </c>
      <c r="I855">
        <v>5</v>
      </c>
      <c r="J855">
        <f t="shared" si="41"/>
        <v>901.99649999999997</v>
      </c>
      <c r="K855" t="s">
        <v>2021</v>
      </c>
      <c r="L855" t="str">
        <f>_xlfn.XLOOKUP(Orders[[#This Row],[ProductID]],Products!A:A,Products!C:C)</f>
        <v>Home</v>
      </c>
    </row>
    <row r="856" spans="1:12" x14ac:dyDescent="0.3">
      <c r="A856">
        <v>855</v>
      </c>
      <c r="B856">
        <v>818</v>
      </c>
      <c r="C856">
        <v>41</v>
      </c>
      <c r="D856" t="s">
        <v>2030</v>
      </c>
      <c r="E856">
        <f t="shared" si="39"/>
        <v>2023</v>
      </c>
      <c r="F856" t="str">
        <f t="shared" si="40"/>
        <v>Dec</v>
      </c>
      <c r="G856">
        <v>1</v>
      </c>
      <c r="H856">
        <f>_xlfn.XLOOKUP(C856,Products!A:A,Products!D:D)</f>
        <v>554.80999999999995</v>
      </c>
      <c r="I856">
        <v>5</v>
      </c>
      <c r="J856">
        <f t="shared" si="41"/>
        <v>527.06949999999995</v>
      </c>
      <c r="K856" t="s">
        <v>2021</v>
      </c>
      <c r="L856" t="str">
        <f>_xlfn.XLOOKUP(Orders[[#This Row],[ProductID]],Products!A:A,Products!C:C)</f>
        <v>Home</v>
      </c>
    </row>
    <row r="857" spans="1:12" x14ac:dyDescent="0.3">
      <c r="A857">
        <v>856</v>
      </c>
      <c r="B857">
        <v>818</v>
      </c>
      <c r="C857">
        <v>43</v>
      </c>
      <c r="D857" t="s">
        <v>2074</v>
      </c>
      <c r="E857">
        <f t="shared" si="39"/>
        <v>2024</v>
      </c>
      <c r="F857" t="str">
        <f t="shared" si="40"/>
        <v>Apr</v>
      </c>
      <c r="G857">
        <v>2</v>
      </c>
      <c r="H857">
        <f>_xlfn.XLOOKUP(C857,Products!A:A,Products!D:D)</f>
        <v>760.86</v>
      </c>
      <c r="I857">
        <v>5</v>
      </c>
      <c r="J857">
        <f t="shared" si="41"/>
        <v>1445.634</v>
      </c>
      <c r="K857" t="s">
        <v>2019</v>
      </c>
      <c r="L857" t="str">
        <f>_xlfn.XLOOKUP(Orders[[#This Row],[ProductID]],Products!A:A,Products!C:C)</f>
        <v>Electronics</v>
      </c>
    </row>
    <row r="858" spans="1:12" x14ac:dyDescent="0.3">
      <c r="A858">
        <v>857</v>
      </c>
      <c r="B858">
        <v>819</v>
      </c>
      <c r="C858">
        <v>61</v>
      </c>
      <c r="D858" t="s">
        <v>110</v>
      </c>
      <c r="E858">
        <f t="shared" si="39"/>
        <v>2023</v>
      </c>
      <c r="F858" t="str">
        <f t="shared" si="40"/>
        <v>Aug</v>
      </c>
      <c r="G858">
        <v>2</v>
      </c>
      <c r="H858">
        <f>_xlfn.XLOOKUP(C858,Products!A:A,Products!D:D)</f>
        <v>498.92</v>
      </c>
      <c r="I858">
        <v>0</v>
      </c>
      <c r="J858">
        <f t="shared" si="41"/>
        <v>997.84</v>
      </c>
      <c r="K858" t="s">
        <v>2021</v>
      </c>
      <c r="L858" t="str">
        <f>_xlfn.XLOOKUP(Orders[[#This Row],[ProductID]],Products!A:A,Products!C:C)</f>
        <v>Clothing</v>
      </c>
    </row>
    <row r="859" spans="1:12" x14ac:dyDescent="0.3">
      <c r="A859">
        <v>858</v>
      </c>
      <c r="B859">
        <v>819</v>
      </c>
      <c r="C859">
        <v>34</v>
      </c>
      <c r="D859" t="s">
        <v>2051</v>
      </c>
      <c r="E859">
        <f t="shared" si="39"/>
        <v>2024</v>
      </c>
      <c r="F859" t="str">
        <f t="shared" si="40"/>
        <v>Mar</v>
      </c>
      <c r="G859">
        <v>1</v>
      </c>
      <c r="H859">
        <f>_xlfn.XLOOKUP(C859,Products!A:A,Products!D:D)</f>
        <v>523.98</v>
      </c>
      <c r="I859">
        <v>5</v>
      </c>
      <c r="J859">
        <f t="shared" si="41"/>
        <v>497.78100000000001</v>
      </c>
      <c r="K859" t="s">
        <v>2019</v>
      </c>
      <c r="L859" t="str">
        <f>_xlfn.XLOOKUP(Orders[[#This Row],[ProductID]],Products!A:A,Products!C:C)</f>
        <v>Home</v>
      </c>
    </row>
    <row r="860" spans="1:12" x14ac:dyDescent="0.3">
      <c r="A860">
        <v>859</v>
      </c>
      <c r="B860">
        <v>820</v>
      </c>
      <c r="C860">
        <v>77</v>
      </c>
      <c r="D860" t="s">
        <v>575</v>
      </c>
      <c r="E860">
        <f t="shared" si="39"/>
        <v>2023</v>
      </c>
      <c r="F860" t="str">
        <f t="shared" si="40"/>
        <v>Jun</v>
      </c>
      <c r="G860">
        <v>2</v>
      </c>
      <c r="H860">
        <f>_xlfn.XLOOKUP(C860,Products!A:A,Products!D:D)</f>
        <v>1078.19</v>
      </c>
      <c r="I860">
        <v>20</v>
      </c>
      <c r="J860">
        <f t="shared" si="41"/>
        <v>1725.1040000000003</v>
      </c>
      <c r="K860" t="s">
        <v>2019</v>
      </c>
      <c r="L860" t="str">
        <f>_xlfn.XLOOKUP(Orders[[#This Row],[ProductID]],Products!A:A,Products!C:C)</f>
        <v>Home</v>
      </c>
    </row>
    <row r="861" spans="1:12" x14ac:dyDescent="0.3">
      <c r="A861">
        <v>860</v>
      </c>
      <c r="B861">
        <v>820</v>
      </c>
      <c r="C861">
        <v>63</v>
      </c>
      <c r="D861" t="s">
        <v>2190</v>
      </c>
      <c r="E861">
        <f t="shared" si="39"/>
        <v>2024</v>
      </c>
      <c r="F861" t="str">
        <f t="shared" si="40"/>
        <v>Mar</v>
      </c>
      <c r="G861">
        <v>1</v>
      </c>
      <c r="H861">
        <f>_xlfn.XLOOKUP(C861,Products!A:A,Products!D:D)</f>
        <v>309.79000000000002</v>
      </c>
      <c r="I861">
        <v>15</v>
      </c>
      <c r="J861">
        <f t="shared" si="41"/>
        <v>263.32150000000001</v>
      </c>
      <c r="K861" t="s">
        <v>2019</v>
      </c>
      <c r="L861" t="str">
        <f>_xlfn.XLOOKUP(Orders[[#This Row],[ProductID]],Products!A:A,Products!C:C)</f>
        <v>Electronics</v>
      </c>
    </row>
    <row r="862" spans="1:12" x14ac:dyDescent="0.3">
      <c r="A862">
        <v>861</v>
      </c>
      <c r="B862">
        <v>821</v>
      </c>
      <c r="C862">
        <v>6</v>
      </c>
      <c r="D862" t="s">
        <v>2196</v>
      </c>
      <c r="E862">
        <f t="shared" si="39"/>
        <v>2024</v>
      </c>
      <c r="F862" t="str">
        <f t="shared" si="40"/>
        <v>Feb</v>
      </c>
      <c r="G862">
        <v>1</v>
      </c>
      <c r="H862">
        <f>_xlfn.XLOOKUP(C862,Products!A:A,Products!D:D)</f>
        <v>719.19</v>
      </c>
      <c r="I862">
        <v>20</v>
      </c>
      <c r="J862">
        <f t="shared" si="41"/>
        <v>575.35200000000009</v>
      </c>
      <c r="K862" t="s">
        <v>2024</v>
      </c>
      <c r="L862" t="str">
        <f>_xlfn.XLOOKUP(Orders[[#This Row],[ProductID]],Products!A:A,Products!C:C)</f>
        <v>Clothing</v>
      </c>
    </row>
    <row r="863" spans="1:12" x14ac:dyDescent="0.3">
      <c r="A863">
        <v>862</v>
      </c>
      <c r="B863">
        <v>821</v>
      </c>
      <c r="C863">
        <v>30</v>
      </c>
      <c r="D863" t="s">
        <v>1305</v>
      </c>
      <c r="E863">
        <f t="shared" si="39"/>
        <v>2023</v>
      </c>
      <c r="F863" t="str">
        <f t="shared" si="40"/>
        <v>Sep</v>
      </c>
      <c r="G863">
        <v>3</v>
      </c>
      <c r="H863">
        <f>_xlfn.XLOOKUP(C863,Products!A:A,Products!D:D)</f>
        <v>866.89</v>
      </c>
      <c r="I863">
        <v>5</v>
      </c>
      <c r="J863">
        <f t="shared" si="41"/>
        <v>2470.6365000000001</v>
      </c>
      <c r="K863" t="s">
        <v>2021</v>
      </c>
      <c r="L863" t="str">
        <f>_xlfn.XLOOKUP(Orders[[#This Row],[ProductID]],Products!A:A,Products!C:C)</f>
        <v>Electronics</v>
      </c>
    </row>
    <row r="864" spans="1:12" x14ac:dyDescent="0.3">
      <c r="A864">
        <v>863</v>
      </c>
      <c r="B864">
        <v>822</v>
      </c>
      <c r="C864">
        <v>13</v>
      </c>
      <c r="D864" t="s">
        <v>323</v>
      </c>
      <c r="E864">
        <f t="shared" si="39"/>
        <v>2023</v>
      </c>
      <c r="F864" t="str">
        <f t="shared" si="40"/>
        <v>Feb</v>
      </c>
      <c r="G864">
        <v>2</v>
      </c>
      <c r="H864">
        <f>_xlfn.XLOOKUP(C864,Products!A:A,Products!D:D)</f>
        <v>334.61</v>
      </c>
      <c r="I864">
        <v>10</v>
      </c>
      <c r="J864">
        <f t="shared" si="41"/>
        <v>602.298</v>
      </c>
      <c r="K864" t="s">
        <v>2017</v>
      </c>
      <c r="L864" t="str">
        <f>_xlfn.XLOOKUP(Orders[[#This Row],[ProductID]],Products!A:A,Products!C:C)</f>
        <v>Home</v>
      </c>
    </row>
    <row r="865" spans="1:12" x14ac:dyDescent="0.3">
      <c r="A865">
        <v>864</v>
      </c>
      <c r="B865">
        <v>822</v>
      </c>
      <c r="C865">
        <v>63</v>
      </c>
      <c r="D865" t="s">
        <v>2147</v>
      </c>
      <c r="E865">
        <f t="shared" si="39"/>
        <v>2024</v>
      </c>
      <c r="F865" t="str">
        <f t="shared" si="40"/>
        <v>Jan</v>
      </c>
      <c r="G865">
        <v>2</v>
      </c>
      <c r="H865">
        <f>_xlfn.XLOOKUP(C865,Products!A:A,Products!D:D)</f>
        <v>309.79000000000002</v>
      </c>
      <c r="I865">
        <v>20</v>
      </c>
      <c r="J865">
        <f t="shared" si="41"/>
        <v>495.66400000000004</v>
      </c>
      <c r="K865" t="s">
        <v>2024</v>
      </c>
      <c r="L865" t="str">
        <f>_xlfn.XLOOKUP(Orders[[#This Row],[ProductID]],Products!A:A,Products!C:C)</f>
        <v>Electronics</v>
      </c>
    </row>
    <row r="866" spans="1:12" x14ac:dyDescent="0.3">
      <c r="A866">
        <v>865</v>
      </c>
      <c r="B866">
        <v>823</v>
      </c>
      <c r="C866">
        <v>63</v>
      </c>
      <c r="D866" t="s">
        <v>410</v>
      </c>
      <c r="E866">
        <f t="shared" si="39"/>
        <v>2023</v>
      </c>
      <c r="F866" t="str">
        <f t="shared" si="40"/>
        <v>May</v>
      </c>
      <c r="G866">
        <v>2</v>
      </c>
      <c r="H866">
        <f>_xlfn.XLOOKUP(C866,Products!A:A,Products!D:D)</f>
        <v>309.79000000000002</v>
      </c>
      <c r="I866">
        <v>15</v>
      </c>
      <c r="J866">
        <f t="shared" si="41"/>
        <v>526.64300000000003</v>
      </c>
      <c r="K866" t="s">
        <v>2019</v>
      </c>
      <c r="L866" t="str">
        <f>_xlfn.XLOOKUP(Orders[[#This Row],[ProductID]],Products!A:A,Products!C:C)</f>
        <v>Electronics</v>
      </c>
    </row>
    <row r="867" spans="1:12" x14ac:dyDescent="0.3">
      <c r="A867">
        <v>866</v>
      </c>
      <c r="B867">
        <v>823</v>
      </c>
      <c r="C867">
        <v>46</v>
      </c>
      <c r="D867" t="s">
        <v>542</v>
      </c>
      <c r="E867">
        <f t="shared" si="39"/>
        <v>2023</v>
      </c>
      <c r="F867" t="str">
        <f t="shared" si="40"/>
        <v>Jun</v>
      </c>
      <c r="G867">
        <v>3</v>
      </c>
      <c r="H867">
        <f>_xlfn.XLOOKUP(C867,Products!A:A,Products!D:D)</f>
        <v>1155.3</v>
      </c>
      <c r="I867">
        <v>10</v>
      </c>
      <c r="J867">
        <f t="shared" si="41"/>
        <v>3119.31</v>
      </c>
      <c r="K867" t="s">
        <v>2015</v>
      </c>
      <c r="L867" t="str">
        <f>_xlfn.XLOOKUP(Orders[[#This Row],[ProductID]],Products!A:A,Products!C:C)</f>
        <v>Beauty</v>
      </c>
    </row>
    <row r="868" spans="1:12" x14ac:dyDescent="0.3">
      <c r="A868">
        <v>867</v>
      </c>
      <c r="B868">
        <v>824</v>
      </c>
      <c r="C868">
        <v>77</v>
      </c>
      <c r="D868" t="s">
        <v>2174</v>
      </c>
      <c r="E868">
        <f t="shared" si="39"/>
        <v>2023</v>
      </c>
      <c r="F868" t="str">
        <f t="shared" si="40"/>
        <v>Sep</v>
      </c>
      <c r="G868">
        <v>1</v>
      </c>
      <c r="H868">
        <f>_xlfn.XLOOKUP(C868,Products!A:A,Products!D:D)</f>
        <v>1078.19</v>
      </c>
      <c r="I868">
        <v>10</v>
      </c>
      <c r="J868">
        <f t="shared" si="41"/>
        <v>970.37100000000009</v>
      </c>
      <c r="K868" t="s">
        <v>2015</v>
      </c>
      <c r="L868" t="str">
        <f>_xlfn.XLOOKUP(Orders[[#This Row],[ProductID]],Products!A:A,Products!C:C)</f>
        <v>Home</v>
      </c>
    </row>
    <row r="869" spans="1:12" x14ac:dyDescent="0.3">
      <c r="A869">
        <v>868</v>
      </c>
      <c r="B869">
        <v>824</v>
      </c>
      <c r="C869">
        <v>3</v>
      </c>
      <c r="D869" t="s">
        <v>224</v>
      </c>
      <c r="E869">
        <f t="shared" si="39"/>
        <v>2023</v>
      </c>
      <c r="F869" t="str">
        <f t="shared" si="40"/>
        <v>Mar</v>
      </c>
      <c r="G869">
        <v>2</v>
      </c>
      <c r="H869">
        <f>_xlfn.XLOOKUP(C869,Products!A:A,Products!D:D)</f>
        <v>506.08</v>
      </c>
      <c r="I869">
        <v>5</v>
      </c>
      <c r="J869">
        <f t="shared" si="41"/>
        <v>961.55199999999991</v>
      </c>
      <c r="K869" t="s">
        <v>2021</v>
      </c>
      <c r="L869" t="str">
        <f>_xlfn.XLOOKUP(Orders[[#This Row],[ProductID]],Products!A:A,Products!C:C)</f>
        <v>Clothing</v>
      </c>
    </row>
    <row r="870" spans="1:12" x14ac:dyDescent="0.3">
      <c r="A870">
        <v>869</v>
      </c>
      <c r="B870">
        <v>825</v>
      </c>
      <c r="C870">
        <v>46</v>
      </c>
      <c r="D870" t="s">
        <v>1761</v>
      </c>
      <c r="E870">
        <f t="shared" si="39"/>
        <v>2023</v>
      </c>
      <c r="F870" t="str">
        <f t="shared" si="40"/>
        <v>Sep</v>
      </c>
      <c r="G870">
        <v>1</v>
      </c>
      <c r="H870">
        <f>_xlfn.XLOOKUP(C870,Products!A:A,Products!D:D)</f>
        <v>1155.3</v>
      </c>
      <c r="I870">
        <v>5</v>
      </c>
      <c r="J870">
        <f t="shared" si="41"/>
        <v>1097.5349999999999</v>
      </c>
      <c r="K870" t="s">
        <v>2015</v>
      </c>
      <c r="L870" t="str">
        <f>_xlfn.XLOOKUP(Orders[[#This Row],[ProductID]],Products!A:A,Products!C:C)</f>
        <v>Beauty</v>
      </c>
    </row>
    <row r="871" spans="1:12" x14ac:dyDescent="0.3">
      <c r="A871">
        <v>870</v>
      </c>
      <c r="B871">
        <v>825</v>
      </c>
      <c r="C871">
        <v>56</v>
      </c>
      <c r="D871" t="s">
        <v>757</v>
      </c>
      <c r="E871">
        <f t="shared" si="39"/>
        <v>2023</v>
      </c>
      <c r="F871" t="str">
        <f t="shared" si="40"/>
        <v>Jul</v>
      </c>
      <c r="G871">
        <v>1</v>
      </c>
      <c r="H871">
        <f>_xlfn.XLOOKUP(C871,Products!A:A,Products!D:D)</f>
        <v>396.01</v>
      </c>
      <c r="I871">
        <v>0</v>
      </c>
      <c r="J871">
        <f t="shared" si="41"/>
        <v>396.01</v>
      </c>
      <c r="K871" t="s">
        <v>2021</v>
      </c>
      <c r="L871" t="str">
        <f>_xlfn.XLOOKUP(Orders[[#This Row],[ProductID]],Products!A:A,Products!C:C)</f>
        <v>Home</v>
      </c>
    </row>
    <row r="872" spans="1:12" x14ac:dyDescent="0.3">
      <c r="A872">
        <v>871</v>
      </c>
      <c r="B872">
        <v>826</v>
      </c>
      <c r="C872">
        <v>49</v>
      </c>
      <c r="D872" t="s">
        <v>1307</v>
      </c>
      <c r="E872">
        <f t="shared" si="39"/>
        <v>2023</v>
      </c>
      <c r="F872" t="str">
        <f t="shared" si="40"/>
        <v>Nov</v>
      </c>
      <c r="G872">
        <v>1</v>
      </c>
      <c r="H872">
        <f>_xlfn.XLOOKUP(C872,Products!A:A,Products!D:D)</f>
        <v>974.54</v>
      </c>
      <c r="I872">
        <v>10</v>
      </c>
      <c r="J872">
        <f t="shared" si="41"/>
        <v>877.08600000000001</v>
      </c>
      <c r="K872" t="s">
        <v>2015</v>
      </c>
      <c r="L872" t="str">
        <f>_xlfn.XLOOKUP(Orders[[#This Row],[ProductID]],Products!A:A,Products!C:C)</f>
        <v>Home</v>
      </c>
    </row>
    <row r="873" spans="1:12" x14ac:dyDescent="0.3">
      <c r="A873">
        <v>872</v>
      </c>
      <c r="B873">
        <v>826</v>
      </c>
      <c r="C873">
        <v>58</v>
      </c>
      <c r="D873" t="s">
        <v>2075</v>
      </c>
      <c r="E873">
        <f t="shared" si="39"/>
        <v>2024</v>
      </c>
      <c r="F873" t="str">
        <f t="shared" si="40"/>
        <v>May</v>
      </c>
      <c r="G873">
        <v>3</v>
      </c>
      <c r="H873">
        <f>_xlfn.XLOOKUP(C873,Products!A:A,Products!D:D)</f>
        <v>334.98</v>
      </c>
      <c r="I873">
        <v>5</v>
      </c>
      <c r="J873">
        <f t="shared" si="41"/>
        <v>954.69299999999998</v>
      </c>
      <c r="K873" t="s">
        <v>2024</v>
      </c>
      <c r="L873" t="str">
        <f>_xlfn.XLOOKUP(Orders[[#This Row],[ProductID]],Products!A:A,Products!C:C)</f>
        <v>Home</v>
      </c>
    </row>
    <row r="874" spans="1:12" x14ac:dyDescent="0.3">
      <c r="A874">
        <v>873</v>
      </c>
      <c r="B874">
        <v>827</v>
      </c>
      <c r="C874">
        <v>45</v>
      </c>
      <c r="D874" t="s">
        <v>2064</v>
      </c>
      <c r="E874">
        <f t="shared" si="39"/>
        <v>2024</v>
      </c>
      <c r="F874" t="str">
        <f t="shared" si="40"/>
        <v>Mar</v>
      </c>
      <c r="G874">
        <v>2</v>
      </c>
      <c r="H874">
        <f>_xlfn.XLOOKUP(C874,Products!A:A,Products!D:D)</f>
        <v>609.05999999999995</v>
      </c>
      <c r="I874">
        <v>15</v>
      </c>
      <c r="J874">
        <f t="shared" si="41"/>
        <v>1035.4019999999998</v>
      </c>
      <c r="K874" t="s">
        <v>2015</v>
      </c>
      <c r="L874" t="str">
        <f>_xlfn.XLOOKUP(Orders[[#This Row],[ProductID]],Products!A:A,Products!C:C)</f>
        <v>Beauty</v>
      </c>
    </row>
    <row r="875" spans="1:12" x14ac:dyDescent="0.3">
      <c r="A875">
        <v>874</v>
      </c>
      <c r="B875">
        <v>827</v>
      </c>
      <c r="C875">
        <v>54</v>
      </c>
      <c r="D875" t="s">
        <v>2173</v>
      </c>
      <c r="E875">
        <f t="shared" si="39"/>
        <v>2024</v>
      </c>
      <c r="F875" t="str">
        <f t="shared" si="40"/>
        <v>Apr</v>
      </c>
      <c r="G875">
        <v>2</v>
      </c>
      <c r="H875">
        <f>_xlfn.XLOOKUP(C875,Products!A:A,Products!D:D)</f>
        <v>900.79</v>
      </c>
      <c r="I875">
        <v>10</v>
      </c>
      <c r="J875">
        <f t="shared" si="41"/>
        <v>1621.422</v>
      </c>
      <c r="K875" t="s">
        <v>2021</v>
      </c>
      <c r="L875" t="str">
        <f>_xlfn.XLOOKUP(Orders[[#This Row],[ProductID]],Products!A:A,Products!C:C)</f>
        <v>Electronics</v>
      </c>
    </row>
    <row r="876" spans="1:12" x14ac:dyDescent="0.3">
      <c r="A876">
        <v>875</v>
      </c>
      <c r="B876">
        <v>828</v>
      </c>
      <c r="C876">
        <v>6</v>
      </c>
      <c r="D876" t="s">
        <v>1537</v>
      </c>
      <c r="E876">
        <f t="shared" si="39"/>
        <v>2023</v>
      </c>
      <c r="F876" t="str">
        <f t="shared" si="40"/>
        <v>Oct</v>
      </c>
      <c r="G876">
        <v>3</v>
      </c>
      <c r="H876">
        <f>_xlfn.XLOOKUP(C876,Products!A:A,Products!D:D)</f>
        <v>719.19</v>
      </c>
      <c r="I876">
        <v>10</v>
      </c>
      <c r="J876">
        <f t="shared" si="41"/>
        <v>1941.8130000000001</v>
      </c>
      <c r="K876" t="s">
        <v>2015</v>
      </c>
      <c r="L876" t="str">
        <f>_xlfn.XLOOKUP(Orders[[#This Row],[ProductID]],Products!A:A,Products!C:C)</f>
        <v>Clothing</v>
      </c>
    </row>
    <row r="877" spans="1:12" x14ac:dyDescent="0.3">
      <c r="A877">
        <v>876</v>
      </c>
      <c r="B877">
        <v>828</v>
      </c>
      <c r="C877">
        <v>16</v>
      </c>
      <c r="D877" t="s">
        <v>829</v>
      </c>
      <c r="E877">
        <f t="shared" si="39"/>
        <v>2023</v>
      </c>
      <c r="F877" t="str">
        <f t="shared" si="40"/>
        <v>Aug</v>
      </c>
      <c r="G877">
        <v>2</v>
      </c>
      <c r="H877">
        <f>_xlfn.XLOOKUP(C877,Products!A:A,Products!D:D)</f>
        <v>693.02</v>
      </c>
      <c r="I877">
        <v>20</v>
      </c>
      <c r="J877">
        <f t="shared" si="41"/>
        <v>1108.8320000000001</v>
      </c>
      <c r="K877" t="s">
        <v>2024</v>
      </c>
      <c r="L877" t="str">
        <f>_xlfn.XLOOKUP(Orders[[#This Row],[ProductID]],Products!A:A,Products!C:C)</f>
        <v>Home</v>
      </c>
    </row>
    <row r="878" spans="1:12" x14ac:dyDescent="0.3">
      <c r="A878">
        <v>877</v>
      </c>
      <c r="B878">
        <v>829</v>
      </c>
      <c r="C878">
        <v>37</v>
      </c>
      <c r="D878" t="s">
        <v>192</v>
      </c>
      <c r="E878">
        <f t="shared" si="39"/>
        <v>2023</v>
      </c>
      <c r="F878" t="str">
        <f t="shared" si="40"/>
        <v>Feb</v>
      </c>
      <c r="G878">
        <v>1</v>
      </c>
      <c r="H878">
        <f>_xlfn.XLOOKUP(C878,Products!A:A,Products!D:D)</f>
        <v>968.87</v>
      </c>
      <c r="I878">
        <v>15</v>
      </c>
      <c r="J878">
        <f t="shared" si="41"/>
        <v>823.53949999999998</v>
      </c>
      <c r="K878" t="s">
        <v>2021</v>
      </c>
      <c r="L878" t="str">
        <f>_xlfn.XLOOKUP(Orders[[#This Row],[ProductID]],Products!A:A,Products!C:C)</f>
        <v>Home</v>
      </c>
    </row>
    <row r="879" spans="1:12" x14ac:dyDescent="0.3">
      <c r="A879">
        <v>878</v>
      </c>
      <c r="B879">
        <v>829</v>
      </c>
      <c r="C879">
        <v>60</v>
      </c>
      <c r="D879" t="s">
        <v>2030</v>
      </c>
      <c r="E879">
        <f t="shared" si="39"/>
        <v>2023</v>
      </c>
      <c r="F879" t="str">
        <f t="shared" si="40"/>
        <v>Dec</v>
      </c>
      <c r="G879">
        <v>1</v>
      </c>
      <c r="H879">
        <f>_xlfn.XLOOKUP(C879,Products!A:A,Products!D:D)</f>
        <v>830.49</v>
      </c>
      <c r="I879">
        <v>20</v>
      </c>
      <c r="J879">
        <f t="shared" si="41"/>
        <v>664.39200000000005</v>
      </c>
      <c r="K879" t="s">
        <v>2024</v>
      </c>
      <c r="L879" t="str">
        <f>_xlfn.XLOOKUP(Orders[[#This Row],[ProductID]],Products!A:A,Products!C:C)</f>
        <v>Clothing</v>
      </c>
    </row>
    <row r="880" spans="1:12" x14ac:dyDescent="0.3">
      <c r="A880">
        <v>879</v>
      </c>
      <c r="B880">
        <v>830</v>
      </c>
      <c r="C880">
        <v>80</v>
      </c>
      <c r="D880" t="s">
        <v>667</v>
      </c>
      <c r="E880">
        <f t="shared" si="39"/>
        <v>2023</v>
      </c>
      <c r="F880" t="str">
        <f t="shared" si="40"/>
        <v>Oct</v>
      </c>
      <c r="G880">
        <v>3</v>
      </c>
      <c r="H880">
        <f>_xlfn.XLOOKUP(C880,Products!A:A,Products!D:D)</f>
        <v>1014.45</v>
      </c>
      <c r="I880">
        <v>5</v>
      </c>
      <c r="J880">
        <f t="shared" si="41"/>
        <v>2891.1825000000003</v>
      </c>
      <c r="K880" t="s">
        <v>2024</v>
      </c>
      <c r="L880" t="str">
        <f>_xlfn.XLOOKUP(Orders[[#This Row],[ProductID]],Products!A:A,Products!C:C)</f>
        <v>Beauty</v>
      </c>
    </row>
    <row r="881" spans="1:12" x14ac:dyDescent="0.3">
      <c r="A881">
        <v>880</v>
      </c>
      <c r="B881">
        <v>830</v>
      </c>
      <c r="C881">
        <v>63</v>
      </c>
      <c r="D881" t="s">
        <v>1662</v>
      </c>
      <c r="E881">
        <f t="shared" si="39"/>
        <v>2023</v>
      </c>
      <c r="F881" t="str">
        <f t="shared" si="40"/>
        <v>May</v>
      </c>
      <c r="G881">
        <v>1</v>
      </c>
      <c r="H881">
        <f>_xlfn.XLOOKUP(C881,Products!A:A,Products!D:D)</f>
        <v>309.79000000000002</v>
      </c>
      <c r="I881">
        <v>10</v>
      </c>
      <c r="J881">
        <f t="shared" si="41"/>
        <v>278.81100000000004</v>
      </c>
      <c r="K881" t="s">
        <v>2019</v>
      </c>
      <c r="L881" t="str">
        <f>_xlfn.XLOOKUP(Orders[[#This Row],[ProductID]],Products!A:A,Products!C:C)</f>
        <v>Electronics</v>
      </c>
    </row>
    <row r="882" spans="1:12" x14ac:dyDescent="0.3">
      <c r="A882">
        <v>881</v>
      </c>
      <c r="B882">
        <v>831</v>
      </c>
      <c r="C882">
        <v>59</v>
      </c>
      <c r="D882" t="s">
        <v>2124</v>
      </c>
      <c r="E882">
        <f t="shared" si="39"/>
        <v>2023</v>
      </c>
      <c r="F882" t="str">
        <f t="shared" si="40"/>
        <v>Jan</v>
      </c>
      <c r="G882">
        <v>1</v>
      </c>
      <c r="H882">
        <f>_xlfn.XLOOKUP(C882,Products!A:A,Products!D:D)</f>
        <v>782.33</v>
      </c>
      <c r="I882">
        <v>10</v>
      </c>
      <c r="J882">
        <f t="shared" si="41"/>
        <v>704.09700000000009</v>
      </c>
      <c r="K882" t="s">
        <v>2015</v>
      </c>
      <c r="L882" t="str">
        <f>_xlfn.XLOOKUP(Orders[[#This Row],[ProductID]],Products!A:A,Products!C:C)</f>
        <v>Clothing</v>
      </c>
    </row>
    <row r="883" spans="1:12" x14ac:dyDescent="0.3">
      <c r="A883">
        <v>882</v>
      </c>
      <c r="B883">
        <v>831</v>
      </c>
      <c r="C883">
        <v>16</v>
      </c>
      <c r="D883" t="s">
        <v>256</v>
      </c>
      <c r="E883">
        <f t="shared" si="39"/>
        <v>2023</v>
      </c>
      <c r="F883" t="str">
        <f t="shared" si="40"/>
        <v>Jan</v>
      </c>
      <c r="G883">
        <v>2</v>
      </c>
      <c r="H883">
        <f>_xlfn.XLOOKUP(C883,Products!A:A,Products!D:D)</f>
        <v>693.02</v>
      </c>
      <c r="I883">
        <v>10</v>
      </c>
      <c r="J883">
        <f t="shared" si="41"/>
        <v>1247.4359999999999</v>
      </c>
      <c r="K883" t="s">
        <v>2019</v>
      </c>
      <c r="L883" t="str">
        <f>_xlfn.XLOOKUP(Orders[[#This Row],[ProductID]],Products!A:A,Products!C:C)</f>
        <v>Home</v>
      </c>
    </row>
    <row r="884" spans="1:12" x14ac:dyDescent="0.3">
      <c r="A884">
        <v>883</v>
      </c>
      <c r="B884">
        <v>832</v>
      </c>
      <c r="C884">
        <v>56</v>
      </c>
      <c r="D884" t="s">
        <v>575</v>
      </c>
      <c r="E884">
        <f t="shared" si="39"/>
        <v>2023</v>
      </c>
      <c r="F884" t="str">
        <f t="shared" si="40"/>
        <v>Jun</v>
      </c>
      <c r="G884">
        <v>3</v>
      </c>
      <c r="H884">
        <f>_xlfn.XLOOKUP(C884,Products!A:A,Products!D:D)</f>
        <v>396.01</v>
      </c>
      <c r="I884">
        <v>0</v>
      </c>
      <c r="J884">
        <f t="shared" si="41"/>
        <v>1188.03</v>
      </c>
      <c r="K884" t="s">
        <v>2019</v>
      </c>
      <c r="L884" t="str">
        <f>_xlfn.XLOOKUP(Orders[[#This Row],[ProductID]],Products!A:A,Products!C:C)</f>
        <v>Home</v>
      </c>
    </row>
    <row r="885" spans="1:12" x14ac:dyDescent="0.3">
      <c r="A885">
        <v>884</v>
      </c>
      <c r="B885">
        <v>832</v>
      </c>
      <c r="C885">
        <v>33</v>
      </c>
      <c r="D885" t="s">
        <v>331</v>
      </c>
      <c r="E885">
        <f t="shared" si="39"/>
        <v>2023</v>
      </c>
      <c r="F885" t="str">
        <f t="shared" si="40"/>
        <v>Mar</v>
      </c>
      <c r="G885">
        <v>2</v>
      </c>
      <c r="H885">
        <f>_xlfn.XLOOKUP(C885,Products!A:A,Products!D:D)</f>
        <v>965.4</v>
      </c>
      <c r="I885">
        <v>10</v>
      </c>
      <c r="J885">
        <f t="shared" si="41"/>
        <v>1737.72</v>
      </c>
      <c r="K885" t="s">
        <v>2015</v>
      </c>
      <c r="L885" t="str">
        <f>_xlfn.XLOOKUP(Orders[[#This Row],[ProductID]],Products!A:A,Products!C:C)</f>
        <v>Beauty</v>
      </c>
    </row>
    <row r="886" spans="1:12" x14ac:dyDescent="0.3">
      <c r="A886">
        <v>885</v>
      </c>
      <c r="B886">
        <v>833</v>
      </c>
      <c r="C886">
        <v>72</v>
      </c>
      <c r="D886" t="s">
        <v>927</v>
      </c>
      <c r="E886">
        <f t="shared" si="39"/>
        <v>2023</v>
      </c>
      <c r="F886" t="str">
        <f t="shared" si="40"/>
        <v>Mar</v>
      </c>
      <c r="G886">
        <v>1</v>
      </c>
      <c r="H886">
        <f>_xlfn.XLOOKUP(C886,Products!A:A,Products!D:D)</f>
        <v>1157.27</v>
      </c>
      <c r="I886">
        <v>10</v>
      </c>
      <c r="J886">
        <f t="shared" si="41"/>
        <v>1041.5430000000001</v>
      </c>
      <c r="K886" t="s">
        <v>2021</v>
      </c>
      <c r="L886" t="str">
        <f>_xlfn.XLOOKUP(Orders[[#This Row],[ProductID]],Products!A:A,Products!C:C)</f>
        <v>Electronics</v>
      </c>
    </row>
    <row r="887" spans="1:12" x14ac:dyDescent="0.3">
      <c r="A887">
        <v>886</v>
      </c>
      <c r="B887">
        <v>833</v>
      </c>
      <c r="C887">
        <v>26</v>
      </c>
      <c r="D887" t="s">
        <v>829</v>
      </c>
      <c r="E887">
        <f t="shared" si="39"/>
        <v>2023</v>
      </c>
      <c r="F887" t="str">
        <f t="shared" si="40"/>
        <v>Aug</v>
      </c>
      <c r="G887">
        <v>3</v>
      </c>
      <c r="H887">
        <f>_xlfn.XLOOKUP(C887,Products!A:A,Products!D:D)</f>
        <v>272.61</v>
      </c>
      <c r="I887">
        <v>0</v>
      </c>
      <c r="J887">
        <f t="shared" si="41"/>
        <v>817.83</v>
      </c>
      <c r="K887" t="s">
        <v>2024</v>
      </c>
      <c r="L887" t="str">
        <f>_xlfn.XLOOKUP(Orders[[#This Row],[ProductID]],Products!A:A,Products!C:C)</f>
        <v>Home</v>
      </c>
    </row>
    <row r="888" spans="1:12" x14ac:dyDescent="0.3">
      <c r="A888">
        <v>887</v>
      </c>
      <c r="B888">
        <v>834</v>
      </c>
      <c r="C888">
        <v>29</v>
      </c>
      <c r="D888" t="s">
        <v>536</v>
      </c>
      <c r="E888">
        <f t="shared" si="39"/>
        <v>2023</v>
      </c>
      <c r="F888" t="str">
        <f t="shared" si="40"/>
        <v>Jan</v>
      </c>
      <c r="G888">
        <v>2</v>
      </c>
      <c r="H888">
        <f>_xlfn.XLOOKUP(C888,Products!A:A,Products!D:D)</f>
        <v>757</v>
      </c>
      <c r="I888">
        <v>10</v>
      </c>
      <c r="J888">
        <f t="shared" si="41"/>
        <v>1362.6000000000001</v>
      </c>
      <c r="K888" t="s">
        <v>2021</v>
      </c>
      <c r="L888" t="str">
        <f>_xlfn.XLOOKUP(Orders[[#This Row],[ProductID]],Products!A:A,Products!C:C)</f>
        <v>Clothing</v>
      </c>
    </row>
    <row r="889" spans="1:12" x14ac:dyDescent="0.3">
      <c r="A889">
        <v>888</v>
      </c>
      <c r="B889">
        <v>834</v>
      </c>
      <c r="C889">
        <v>50</v>
      </c>
      <c r="D889" t="s">
        <v>1110</v>
      </c>
      <c r="E889">
        <f t="shared" si="39"/>
        <v>2023</v>
      </c>
      <c r="F889" t="str">
        <f t="shared" si="40"/>
        <v>Aug</v>
      </c>
      <c r="G889">
        <v>2</v>
      </c>
      <c r="H889">
        <f>_xlfn.XLOOKUP(C889,Products!A:A,Products!D:D)</f>
        <v>1122.8699999999999</v>
      </c>
      <c r="I889">
        <v>0</v>
      </c>
      <c r="J889">
        <f t="shared" si="41"/>
        <v>2245.7399999999998</v>
      </c>
      <c r="K889" t="s">
        <v>2024</v>
      </c>
      <c r="L889" t="str">
        <f>_xlfn.XLOOKUP(Orders[[#This Row],[ProductID]],Products!A:A,Products!C:C)</f>
        <v>Home</v>
      </c>
    </row>
    <row r="890" spans="1:12" x14ac:dyDescent="0.3">
      <c r="A890">
        <v>889</v>
      </c>
      <c r="B890">
        <v>835</v>
      </c>
      <c r="C890">
        <v>39</v>
      </c>
      <c r="D890" t="s">
        <v>528</v>
      </c>
      <c r="E890">
        <f t="shared" si="39"/>
        <v>2023</v>
      </c>
      <c r="F890" t="str">
        <f t="shared" si="40"/>
        <v>Nov</v>
      </c>
      <c r="G890">
        <v>2</v>
      </c>
      <c r="H890">
        <f>_xlfn.XLOOKUP(C890,Products!A:A,Products!D:D)</f>
        <v>256.08999999999997</v>
      </c>
      <c r="I890">
        <v>5</v>
      </c>
      <c r="J890">
        <f t="shared" si="41"/>
        <v>486.57099999999991</v>
      </c>
      <c r="K890" t="s">
        <v>2015</v>
      </c>
      <c r="L890" t="str">
        <f>_xlfn.XLOOKUP(Orders[[#This Row],[ProductID]],Products!A:A,Products!C:C)</f>
        <v>Clothing</v>
      </c>
    </row>
    <row r="891" spans="1:12" x14ac:dyDescent="0.3">
      <c r="A891">
        <v>890</v>
      </c>
      <c r="B891">
        <v>835</v>
      </c>
      <c r="C891">
        <v>56</v>
      </c>
      <c r="D891" t="s">
        <v>2137</v>
      </c>
      <c r="E891">
        <f t="shared" si="39"/>
        <v>2023</v>
      </c>
      <c r="F891" t="str">
        <f t="shared" si="40"/>
        <v>Dec</v>
      </c>
      <c r="G891">
        <v>2</v>
      </c>
      <c r="H891">
        <f>_xlfn.XLOOKUP(C891,Products!A:A,Products!D:D)</f>
        <v>396.01</v>
      </c>
      <c r="I891">
        <v>20</v>
      </c>
      <c r="J891">
        <f t="shared" si="41"/>
        <v>633.61599999999999</v>
      </c>
      <c r="K891" t="s">
        <v>2021</v>
      </c>
      <c r="L891" t="str">
        <f>_xlfn.XLOOKUP(Orders[[#This Row],[ProductID]],Products!A:A,Products!C:C)</f>
        <v>Home</v>
      </c>
    </row>
    <row r="892" spans="1:12" x14ac:dyDescent="0.3">
      <c r="A892">
        <v>891</v>
      </c>
      <c r="B892">
        <v>836</v>
      </c>
      <c r="C892">
        <v>26</v>
      </c>
      <c r="D892" t="s">
        <v>475</v>
      </c>
      <c r="E892">
        <f t="shared" si="39"/>
        <v>2023</v>
      </c>
      <c r="F892" t="str">
        <f t="shared" si="40"/>
        <v>May</v>
      </c>
      <c r="G892">
        <v>1</v>
      </c>
      <c r="H892">
        <f>_xlfn.XLOOKUP(C892,Products!A:A,Products!D:D)</f>
        <v>272.61</v>
      </c>
      <c r="I892">
        <v>15</v>
      </c>
      <c r="J892">
        <f t="shared" si="41"/>
        <v>231.71850000000001</v>
      </c>
      <c r="K892" t="s">
        <v>2015</v>
      </c>
      <c r="L892" t="str">
        <f>_xlfn.XLOOKUP(Orders[[#This Row],[ProductID]],Products!A:A,Products!C:C)</f>
        <v>Home</v>
      </c>
    </row>
    <row r="893" spans="1:12" x14ac:dyDescent="0.3">
      <c r="A893">
        <v>892</v>
      </c>
      <c r="B893">
        <v>836</v>
      </c>
      <c r="C893">
        <v>26</v>
      </c>
      <c r="D893" t="s">
        <v>542</v>
      </c>
      <c r="E893">
        <f t="shared" si="39"/>
        <v>2023</v>
      </c>
      <c r="F893" t="str">
        <f t="shared" si="40"/>
        <v>Jun</v>
      </c>
      <c r="G893">
        <v>2</v>
      </c>
      <c r="H893">
        <f>_xlfn.XLOOKUP(C893,Products!A:A,Products!D:D)</f>
        <v>272.61</v>
      </c>
      <c r="I893">
        <v>0</v>
      </c>
      <c r="J893">
        <f t="shared" si="41"/>
        <v>545.22</v>
      </c>
      <c r="K893" t="s">
        <v>2024</v>
      </c>
      <c r="L893" t="str">
        <f>_xlfn.XLOOKUP(Orders[[#This Row],[ProductID]],Products!A:A,Products!C:C)</f>
        <v>Home</v>
      </c>
    </row>
    <row r="894" spans="1:12" x14ac:dyDescent="0.3">
      <c r="A894">
        <v>893</v>
      </c>
      <c r="B894">
        <v>837</v>
      </c>
      <c r="C894">
        <v>73</v>
      </c>
      <c r="D894" t="s">
        <v>2181</v>
      </c>
      <c r="E894">
        <f t="shared" si="39"/>
        <v>2024</v>
      </c>
      <c r="F894" t="str">
        <f t="shared" si="40"/>
        <v>Apr</v>
      </c>
      <c r="G894">
        <v>3</v>
      </c>
      <c r="H894">
        <f>_xlfn.XLOOKUP(C894,Products!A:A,Products!D:D)</f>
        <v>943.04</v>
      </c>
      <c r="I894">
        <v>15</v>
      </c>
      <c r="J894">
        <f t="shared" si="41"/>
        <v>2404.752</v>
      </c>
      <c r="K894" t="s">
        <v>2015</v>
      </c>
      <c r="L894" t="str">
        <f>_xlfn.XLOOKUP(Orders[[#This Row],[ProductID]],Products!A:A,Products!C:C)</f>
        <v>Home</v>
      </c>
    </row>
    <row r="895" spans="1:12" x14ac:dyDescent="0.3">
      <c r="A895">
        <v>894</v>
      </c>
      <c r="B895">
        <v>837</v>
      </c>
      <c r="C895">
        <v>24</v>
      </c>
      <c r="D895" t="s">
        <v>2197</v>
      </c>
      <c r="E895">
        <f t="shared" si="39"/>
        <v>2023</v>
      </c>
      <c r="F895" t="str">
        <f t="shared" si="40"/>
        <v>Jul</v>
      </c>
      <c r="G895">
        <v>2</v>
      </c>
      <c r="H895">
        <f>_xlfn.XLOOKUP(C895,Products!A:A,Products!D:D)</f>
        <v>1019.85</v>
      </c>
      <c r="I895">
        <v>0</v>
      </c>
      <c r="J895">
        <f t="shared" si="41"/>
        <v>2039.7</v>
      </c>
      <c r="K895" t="s">
        <v>2021</v>
      </c>
      <c r="L895" t="str">
        <f>_xlfn.XLOOKUP(Orders[[#This Row],[ProductID]],Products!A:A,Products!C:C)</f>
        <v>Beauty</v>
      </c>
    </row>
    <row r="896" spans="1:12" x14ac:dyDescent="0.3">
      <c r="A896">
        <v>895</v>
      </c>
      <c r="B896">
        <v>838</v>
      </c>
      <c r="C896">
        <v>68</v>
      </c>
      <c r="D896" t="s">
        <v>2143</v>
      </c>
      <c r="E896">
        <f t="shared" si="39"/>
        <v>2023</v>
      </c>
      <c r="F896" t="str">
        <f t="shared" si="40"/>
        <v>Aug</v>
      </c>
      <c r="G896">
        <v>3</v>
      </c>
      <c r="H896">
        <f>_xlfn.XLOOKUP(C896,Products!A:A,Products!D:D)</f>
        <v>180.99</v>
      </c>
      <c r="I896">
        <v>10</v>
      </c>
      <c r="J896">
        <f t="shared" si="41"/>
        <v>488.67300000000006</v>
      </c>
      <c r="K896" t="s">
        <v>2015</v>
      </c>
      <c r="L896" t="str">
        <f>_xlfn.XLOOKUP(Orders[[#This Row],[ProductID]],Products!A:A,Products!C:C)</f>
        <v>Clothing</v>
      </c>
    </row>
    <row r="897" spans="1:12" x14ac:dyDescent="0.3">
      <c r="A897">
        <v>896</v>
      </c>
      <c r="B897">
        <v>838</v>
      </c>
      <c r="C897">
        <v>46</v>
      </c>
      <c r="D897" t="s">
        <v>1411</v>
      </c>
      <c r="E897">
        <f t="shared" si="39"/>
        <v>2023</v>
      </c>
      <c r="F897" t="str">
        <f t="shared" si="40"/>
        <v>Aug</v>
      </c>
      <c r="G897">
        <v>2</v>
      </c>
      <c r="H897">
        <f>_xlfn.XLOOKUP(C897,Products!A:A,Products!D:D)</f>
        <v>1155.3</v>
      </c>
      <c r="I897">
        <v>15</v>
      </c>
      <c r="J897">
        <f t="shared" si="41"/>
        <v>1964.0099999999998</v>
      </c>
      <c r="K897" t="s">
        <v>2017</v>
      </c>
      <c r="L897" t="str">
        <f>_xlfn.XLOOKUP(Orders[[#This Row],[ProductID]],Products!A:A,Products!C:C)</f>
        <v>Beauty</v>
      </c>
    </row>
    <row r="898" spans="1:12" x14ac:dyDescent="0.3">
      <c r="A898">
        <v>897</v>
      </c>
      <c r="B898">
        <v>839</v>
      </c>
      <c r="C898">
        <v>54</v>
      </c>
      <c r="D898" t="s">
        <v>2077</v>
      </c>
      <c r="E898">
        <f t="shared" si="39"/>
        <v>2024</v>
      </c>
      <c r="F898" t="str">
        <f t="shared" si="40"/>
        <v>May</v>
      </c>
      <c r="G898">
        <v>2</v>
      </c>
      <c r="H898">
        <f>_xlfn.XLOOKUP(C898,Products!A:A,Products!D:D)</f>
        <v>900.79</v>
      </c>
      <c r="I898">
        <v>15</v>
      </c>
      <c r="J898">
        <f t="shared" si="41"/>
        <v>1531.3429999999998</v>
      </c>
      <c r="K898" t="s">
        <v>2019</v>
      </c>
      <c r="L898" t="str">
        <f>_xlfn.XLOOKUP(Orders[[#This Row],[ProductID]],Products!A:A,Products!C:C)</f>
        <v>Electronics</v>
      </c>
    </row>
    <row r="899" spans="1:12" x14ac:dyDescent="0.3">
      <c r="A899">
        <v>898</v>
      </c>
      <c r="B899">
        <v>839</v>
      </c>
      <c r="C899">
        <v>72</v>
      </c>
      <c r="D899" t="s">
        <v>1750</v>
      </c>
      <c r="E899">
        <f t="shared" ref="E899:E962" si="42">YEAR(D899)</f>
        <v>2023</v>
      </c>
      <c r="F899" t="str">
        <f t="shared" ref="F899:F962" si="43">TEXT(D899,"mmm")</f>
        <v>Jan</v>
      </c>
      <c r="G899">
        <v>2</v>
      </c>
      <c r="H899">
        <f>_xlfn.XLOOKUP(C899,Products!A:A,Products!D:D)</f>
        <v>1157.27</v>
      </c>
      <c r="I899">
        <v>0</v>
      </c>
      <c r="J899">
        <f t="shared" ref="J899:J962" si="44">G899*H899*(1-I899/100)</f>
        <v>2314.54</v>
      </c>
      <c r="K899" t="s">
        <v>2021</v>
      </c>
      <c r="L899" t="str">
        <f>_xlfn.XLOOKUP(Orders[[#This Row],[ProductID]],Products!A:A,Products!C:C)</f>
        <v>Electronics</v>
      </c>
    </row>
    <row r="900" spans="1:12" x14ac:dyDescent="0.3">
      <c r="A900">
        <v>899</v>
      </c>
      <c r="B900">
        <v>840</v>
      </c>
      <c r="C900">
        <v>79</v>
      </c>
      <c r="D900" t="s">
        <v>2206</v>
      </c>
      <c r="E900">
        <f t="shared" si="42"/>
        <v>2024</v>
      </c>
      <c r="F900" t="str">
        <f t="shared" si="43"/>
        <v>Apr</v>
      </c>
      <c r="G900">
        <v>2</v>
      </c>
      <c r="H900">
        <f>_xlfn.XLOOKUP(C900,Products!A:A,Products!D:D)</f>
        <v>488.34</v>
      </c>
      <c r="I900">
        <v>5</v>
      </c>
      <c r="J900">
        <f t="shared" si="44"/>
        <v>927.84599999999989</v>
      </c>
      <c r="K900" t="s">
        <v>2015</v>
      </c>
      <c r="L900" t="str">
        <f>_xlfn.XLOOKUP(Orders[[#This Row],[ProductID]],Products!A:A,Products!C:C)</f>
        <v>Electronics</v>
      </c>
    </row>
    <row r="901" spans="1:12" x14ac:dyDescent="0.3">
      <c r="A901">
        <v>900</v>
      </c>
      <c r="B901">
        <v>840</v>
      </c>
      <c r="C901">
        <v>66</v>
      </c>
      <c r="D901" t="s">
        <v>802</v>
      </c>
      <c r="E901">
        <f t="shared" si="42"/>
        <v>2023</v>
      </c>
      <c r="F901" t="str">
        <f t="shared" si="43"/>
        <v>Jul</v>
      </c>
      <c r="G901">
        <v>1</v>
      </c>
      <c r="H901">
        <f>_xlfn.XLOOKUP(C901,Products!A:A,Products!D:D)</f>
        <v>783.37</v>
      </c>
      <c r="I901">
        <v>20</v>
      </c>
      <c r="J901">
        <f t="shared" si="44"/>
        <v>626.69600000000003</v>
      </c>
      <c r="K901" t="s">
        <v>2015</v>
      </c>
      <c r="L901" t="str">
        <f>_xlfn.XLOOKUP(Orders[[#This Row],[ProductID]],Products!A:A,Products!C:C)</f>
        <v>Home</v>
      </c>
    </row>
    <row r="902" spans="1:12" x14ac:dyDescent="0.3">
      <c r="A902">
        <v>901</v>
      </c>
      <c r="B902">
        <v>841</v>
      </c>
      <c r="C902">
        <v>73</v>
      </c>
      <c r="D902" t="s">
        <v>2018</v>
      </c>
      <c r="E902">
        <f t="shared" si="42"/>
        <v>2024</v>
      </c>
      <c r="F902" t="str">
        <f t="shared" si="43"/>
        <v>Mar</v>
      </c>
      <c r="G902">
        <v>2</v>
      </c>
      <c r="H902">
        <f>_xlfn.XLOOKUP(C902,Products!A:A,Products!D:D)</f>
        <v>943.04</v>
      </c>
      <c r="I902">
        <v>0</v>
      </c>
      <c r="J902">
        <f t="shared" si="44"/>
        <v>1886.08</v>
      </c>
      <c r="K902" t="s">
        <v>2017</v>
      </c>
      <c r="L902" t="str">
        <f>_xlfn.XLOOKUP(Orders[[#This Row],[ProductID]],Products!A:A,Products!C:C)</f>
        <v>Home</v>
      </c>
    </row>
    <row r="903" spans="1:12" x14ac:dyDescent="0.3">
      <c r="A903">
        <v>902</v>
      </c>
      <c r="B903">
        <v>841</v>
      </c>
      <c r="C903">
        <v>17</v>
      </c>
      <c r="D903" t="s">
        <v>1586</v>
      </c>
      <c r="E903">
        <f t="shared" si="42"/>
        <v>2023</v>
      </c>
      <c r="F903" t="str">
        <f t="shared" si="43"/>
        <v>Jul</v>
      </c>
      <c r="G903">
        <v>3</v>
      </c>
      <c r="H903">
        <f>_xlfn.XLOOKUP(C903,Products!A:A,Products!D:D)</f>
        <v>695.6</v>
      </c>
      <c r="I903">
        <v>0</v>
      </c>
      <c r="J903">
        <f t="shared" si="44"/>
        <v>2086.8000000000002</v>
      </c>
      <c r="K903" t="s">
        <v>2017</v>
      </c>
      <c r="L903" t="str">
        <f>_xlfn.XLOOKUP(Orders[[#This Row],[ProductID]],Products!A:A,Products!C:C)</f>
        <v>Clothing</v>
      </c>
    </row>
    <row r="904" spans="1:12" x14ac:dyDescent="0.3">
      <c r="A904">
        <v>903</v>
      </c>
      <c r="B904">
        <v>842</v>
      </c>
      <c r="C904">
        <v>67</v>
      </c>
      <c r="D904" t="s">
        <v>505</v>
      </c>
      <c r="E904">
        <f t="shared" si="42"/>
        <v>2023</v>
      </c>
      <c r="F904" t="str">
        <f t="shared" si="43"/>
        <v>Aug</v>
      </c>
      <c r="G904">
        <v>1</v>
      </c>
      <c r="H904">
        <f>_xlfn.XLOOKUP(C904,Products!A:A,Products!D:D)</f>
        <v>258.35000000000002</v>
      </c>
      <c r="I904">
        <v>0</v>
      </c>
      <c r="J904">
        <f t="shared" si="44"/>
        <v>258.35000000000002</v>
      </c>
      <c r="K904" t="s">
        <v>2019</v>
      </c>
      <c r="L904" t="str">
        <f>_xlfn.XLOOKUP(Orders[[#This Row],[ProductID]],Products!A:A,Products!C:C)</f>
        <v>Electronics</v>
      </c>
    </row>
    <row r="905" spans="1:12" x14ac:dyDescent="0.3">
      <c r="A905">
        <v>904</v>
      </c>
      <c r="B905">
        <v>842</v>
      </c>
      <c r="C905">
        <v>35</v>
      </c>
      <c r="D905" t="s">
        <v>2044</v>
      </c>
      <c r="E905">
        <f t="shared" si="42"/>
        <v>2024</v>
      </c>
      <c r="F905" t="str">
        <f t="shared" si="43"/>
        <v>Feb</v>
      </c>
      <c r="G905">
        <v>3</v>
      </c>
      <c r="H905">
        <f>_xlfn.XLOOKUP(C905,Products!A:A,Products!D:D)</f>
        <v>958.87</v>
      </c>
      <c r="I905">
        <v>0</v>
      </c>
      <c r="J905">
        <f t="shared" si="44"/>
        <v>2876.61</v>
      </c>
      <c r="K905" t="s">
        <v>2024</v>
      </c>
      <c r="L905" t="str">
        <f>_xlfn.XLOOKUP(Orders[[#This Row],[ProductID]],Products!A:A,Products!C:C)</f>
        <v>Clothing</v>
      </c>
    </row>
    <row r="906" spans="1:12" x14ac:dyDescent="0.3">
      <c r="A906">
        <v>905</v>
      </c>
      <c r="B906">
        <v>843</v>
      </c>
      <c r="C906">
        <v>77</v>
      </c>
      <c r="D906" t="s">
        <v>1653</v>
      </c>
      <c r="E906">
        <f t="shared" si="42"/>
        <v>2023</v>
      </c>
      <c r="F906" t="str">
        <f t="shared" si="43"/>
        <v>Feb</v>
      </c>
      <c r="G906">
        <v>2</v>
      </c>
      <c r="H906">
        <f>_xlfn.XLOOKUP(C906,Products!A:A,Products!D:D)</f>
        <v>1078.19</v>
      </c>
      <c r="I906">
        <v>20</v>
      </c>
      <c r="J906">
        <f t="shared" si="44"/>
        <v>1725.1040000000003</v>
      </c>
      <c r="K906" t="s">
        <v>2017</v>
      </c>
      <c r="L906" t="str">
        <f>_xlfn.XLOOKUP(Orders[[#This Row],[ProductID]],Products!A:A,Products!C:C)</f>
        <v>Home</v>
      </c>
    </row>
    <row r="907" spans="1:12" x14ac:dyDescent="0.3">
      <c r="A907">
        <v>906</v>
      </c>
      <c r="B907">
        <v>843</v>
      </c>
      <c r="C907">
        <v>43</v>
      </c>
      <c r="D907" t="s">
        <v>2207</v>
      </c>
      <c r="E907">
        <f t="shared" si="42"/>
        <v>2024</v>
      </c>
      <c r="F907" t="str">
        <f t="shared" si="43"/>
        <v>Mar</v>
      </c>
      <c r="G907">
        <v>1</v>
      </c>
      <c r="H907">
        <f>_xlfn.XLOOKUP(C907,Products!A:A,Products!D:D)</f>
        <v>760.86</v>
      </c>
      <c r="I907">
        <v>0</v>
      </c>
      <c r="J907">
        <f t="shared" si="44"/>
        <v>760.86</v>
      </c>
      <c r="K907" t="s">
        <v>2015</v>
      </c>
      <c r="L907" t="str">
        <f>_xlfn.XLOOKUP(Orders[[#This Row],[ProductID]],Products!A:A,Products!C:C)</f>
        <v>Electronics</v>
      </c>
    </row>
    <row r="908" spans="1:12" x14ac:dyDescent="0.3">
      <c r="A908">
        <v>907</v>
      </c>
      <c r="B908">
        <v>844</v>
      </c>
      <c r="C908">
        <v>66</v>
      </c>
      <c r="D908" t="s">
        <v>2084</v>
      </c>
      <c r="E908">
        <f t="shared" si="42"/>
        <v>2024</v>
      </c>
      <c r="F908" t="str">
        <f t="shared" si="43"/>
        <v>Jan</v>
      </c>
      <c r="G908">
        <v>3</v>
      </c>
      <c r="H908">
        <f>_xlfn.XLOOKUP(C908,Products!A:A,Products!D:D)</f>
        <v>783.37</v>
      </c>
      <c r="I908">
        <v>0</v>
      </c>
      <c r="J908">
        <f t="shared" si="44"/>
        <v>2350.11</v>
      </c>
      <c r="K908" t="s">
        <v>2021</v>
      </c>
      <c r="L908" t="str">
        <f>_xlfn.XLOOKUP(Orders[[#This Row],[ProductID]],Products!A:A,Products!C:C)</f>
        <v>Home</v>
      </c>
    </row>
    <row r="909" spans="1:12" x14ac:dyDescent="0.3">
      <c r="A909">
        <v>908</v>
      </c>
      <c r="B909">
        <v>844</v>
      </c>
      <c r="C909">
        <v>67</v>
      </c>
      <c r="D909" t="s">
        <v>1952</v>
      </c>
      <c r="E909">
        <f t="shared" si="42"/>
        <v>2023</v>
      </c>
      <c r="F909" t="str">
        <f t="shared" si="43"/>
        <v>Mar</v>
      </c>
      <c r="G909">
        <v>3</v>
      </c>
      <c r="H909">
        <f>_xlfn.XLOOKUP(C909,Products!A:A,Products!D:D)</f>
        <v>258.35000000000002</v>
      </c>
      <c r="I909">
        <v>15</v>
      </c>
      <c r="J909">
        <f t="shared" si="44"/>
        <v>658.79250000000002</v>
      </c>
      <c r="K909" t="s">
        <v>2021</v>
      </c>
      <c r="L909" t="str">
        <f>_xlfn.XLOOKUP(Orders[[#This Row],[ProductID]],Products!A:A,Products!C:C)</f>
        <v>Electronics</v>
      </c>
    </row>
    <row r="910" spans="1:12" x14ac:dyDescent="0.3">
      <c r="A910">
        <v>909</v>
      </c>
      <c r="B910">
        <v>845</v>
      </c>
      <c r="C910">
        <v>29</v>
      </c>
      <c r="D910" t="s">
        <v>2054</v>
      </c>
      <c r="E910">
        <f t="shared" si="42"/>
        <v>2024</v>
      </c>
      <c r="F910" t="str">
        <f t="shared" si="43"/>
        <v>Apr</v>
      </c>
      <c r="G910">
        <v>3</v>
      </c>
      <c r="H910">
        <f>_xlfn.XLOOKUP(C910,Products!A:A,Products!D:D)</f>
        <v>757</v>
      </c>
      <c r="I910">
        <v>5</v>
      </c>
      <c r="J910">
        <f t="shared" si="44"/>
        <v>2157.4499999999998</v>
      </c>
      <c r="K910" t="s">
        <v>2024</v>
      </c>
      <c r="L910" t="str">
        <f>_xlfn.XLOOKUP(Orders[[#This Row],[ProductID]],Products!A:A,Products!C:C)</f>
        <v>Clothing</v>
      </c>
    </row>
    <row r="911" spans="1:12" x14ac:dyDescent="0.3">
      <c r="A911">
        <v>910</v>
      </c>
      <c r="B911">
        <v>845</v>
      </c>
      <c r="C911">
        <v>40</v>
      </c>
      <c r="D911" t="s">
        <v>2208</v>
      </c>
      <c r="E911">
        <f t="shared" si="42"/>
        <v>2024</v>
      </c>
      <c r="F911" t="str">
        <f t="shared" si="43"/>
        <v>Jan</v>
      </c>
      <c r="G911">
        <v>1</v>
      </c>
      <c r="H911">
        <f>_xlfn.XLOOKUP(C911,Products!A:A,Products!D:D)</f>
        <v>316.49</v>
      </c>
      <c r="I911">
        <v>15</v>
      </c>
      <c r="J911">
        <f t="shared" si="44"/>
        <v>269.01650000000001</v>
      </c>
      <c r="K911" t="s">
        <v>2015</v>
      </c>
      <c r="L911" t="str">
        <f>_xlfn.XLOOKUP(Orders[[#This Row],[ProductID]],Products!A:A,Products!C:C)</f>
        <v>Home</v>
      </c>
    </row>
    <row r="912" spans="1:12" x14ac:dyDescent="0.3">
      <c r="A912">
        <v>911</v>
      </c>
      <c r="B912">
        <v>846</v>
      </c>
      <c r="C912">
        <v>26</v>
      </c>
      <c r="D912" t="s">
        <v>530</v>
      </c>
      <c r="E912">
        <f t="shared" si="42"/>
        <v>2023</v>
      </c>
      <c r="F912" t="str">
        <f t="shared" si="43"/>
        <v>Feb</v>
      </c>
      <c r="G912">
        <v>1</v>
      </c>
      <c r="H912">
        <f>_xlfn.XLOOKUP(C912,Products!A:A,Products!D:D)</f>
        <v>272.61</v>
      </c>
      <c r="I912">
        <v>0</v>
      </c>
      <c r="J912">
        <f t="shared" si="44"/>
        <v>272.61</v>
      </c>
      <c r="K912" t="s">
        <v>2021</v>
      </c>
      <c r="L912" t="str">
        <f>_xlfn.XLOOKUP(Orders[[#This Row],[ProductID]],Products!A:A,Products!C:C)</f>
        <v>Home</v>
      </c>
    </row>
    <row r="913" spans="1:12" x14ac:dyDescent="0.3">
      <c r="A913">
        <v>912</v>
      </c>
      <c r="B913">
        <v>846</v>
      </c>
      <c r="C913">
        <v>78</v>
      </c>
      <c r="D913" t="s">
        <v>2097</v>
      </c>
      <c r="E913">
        <f t="shared" si="42"/>
        <v>2024</v>
      </c>
      <c r="F913" t="str">
        <f t="shared" si="43"/>
        <v>Mar</v>
      </c>
      <c r="G913">
        <v>1</v>
      </c>
      <c r="H913">
        <f>_xlfn.XLOOKUP(C913,Products!A:A,Products!D:D)</f>
        <v>795.77</v>
      </c>
      <c r="I913">
        <v>20</v>
      </c>
      <c r="J913">
        <f t="shared" si="44"/>
        <v>636.61599999999999</v>
      </c>
      <c r="K913" t="s">
        <v>2019</v>
      </c>
      <c r="L913" t="str">
        <f>_xlfn.XLOOKUP(Orders[[#This Row],[ProductID]],Products!A:A,Products!C:C)</f>
        <v>Beauty</v>
      </c>
    </row>
    <row r="914" spans="1:12" x14ac:dyDescent="0.3">
      <c r="A914">
        <v>913</v>
      </c>
      <c r="B914">
        <v>847</v>
      </c>
      <c r="C914">
        <v>32</v>
      </c>
      <c r="D914" t="s">
        <v>1588</v>
      </c>
      <c r="E914">
        <f t="shared" si="42"/>
        <v>2023</v>
      </c>
      <c r="F914" t="str">
        <f t="shared" si="43"/>
        <v>Apr</v>
      </c>
      <c r="G914">
        <v>1</v>
      </c>
      <c r="H914">
        <f>_xlfn.XLOOKUP(C914,Products!A:A,Products!D:D)</f>
        <v>342.57</v>
      </c>
      <c r="I914">
        <v>15</v>
      </c>
      <c r="J914">
        <f t="shared" si="44"/>
        <v>291.18450000000001</v>
      </c>
      <c r="K914" t="s">
        <v>2019</v>
      </c>
      <c r="L914" t="str">
        <f>_xlfn.XLOOKUP(Orders[[#This Row],[ProductID]],Products!A:A,Products!C:C)</f>
        <v>Clothing</v>
      </c>
    </row>
    <row r="915" spans="1:12" x14ac:dyDescent="0.3">
      <c r="A915">
        <v>914</v>
      </c>
      <c r="B915">
        <v>847</v>
      </c>
      <c r="C915">
        <v>65</v>
      </c>
      <c r="D915" t="s">
        <v>292</v>
      </c>
      <c r="E915">
        <f t="shared" si="42"/>
        <v>2023</v>
      </c>
      <c r="F915" t="str">
        <f t="shared" si="43"/>
        <v>Aug</v>
      </c>
      <c r="G915">
        <v>2</v>
      </c>
      <c r="H915">
        <f>_xlfn.XLOOKUP(C915,Products!A:A,Products!D:D)</f>
        <v>1189.73</v>
      </c>
      <c r="I915">
        <v>0</v>
      </c>
      <c r="J915">
        <f t="shared" si="44"/>
        <v>2379.46</v>
      </c>
      <c r="K915" t="s">
        <v>2019</v>
      </c>
      <c r="L915" t="str">
        <f>_xlfn.XLOOKUP(Orders[[#This Row],[ProductID]],Products!A:A,Products!C:C)</f>
        <v>Home</v>
      </c>
    </row>
    <row r="916" spans="1:12" x14ac:dyDescent="0.3">
      <c r="A916">
        <v>915</v>
      </c>
      <c r="B916">
        <v>848</v>
      </c>
      <c r="C916">
        <v>39</v>
      </c>
      <c r="D916" t="s">
        <v>1476</v>
      </c>
      <c r="E916">
        <f t="shared" si="42"/>
        <v>2023</v>
      </c>
      <c r="F916" t="str">
        <f t="shared" si="43"/>
        <v>Jul</v>
      </c>
      <c r="G916">
        <v>2</v>
      </c>
      <c r="H916">
        <f>_xlfn.XLOOKUP(C916,Products!A:A,Products!D:D)</f>
        <v>256.08999999999997</v>
      </c>
      <c r="I916">
        <v>5</v>
      </c>
      <c r="J916">
        <f t="shared" si="44"/>
        <v>486.57099999999991</v>
      </c>
      <c r="K916" t="s">
        <v>2021</v>
      </c>
      <c r="L916" t="str">
        <f>_xlfn.XLOOKUP(Orders[[#This Row],[ProductID]],Products!A:A,Products!C:C)</f>
        <v>Clothing</v>
      </c>
    </row>
    <row r="917" spans="1:12" x14ac:dyDescent="0.3">
      <c r="A917">
        <v>916</v>
      </c>
      <c r="B917">
        <v>848</v>
      </c>
      <c r="C917">
        <v>70</v>
      </c>
      <c r="D917" t="s">
        <v>2016</v>
      </c>
      <c r="E917">
        <f t="shared" si="42"/>
        <v>2023</v>
      </c>
      <c r="F917" t="str">
        <f t="shared" si="43"/>
        <v>May</v>
      </c>
      <c r="G917">
        <v>3</v>
      </c>
      <c r="H917">
        <f>_xlfn.XLOOKUP(C917,Products!A:A,Products!D:D)</f>
        <v>797.23</v>
      </c>
      <c r="I917">
        <v>15</v>
      </c>
      <c r="J917">
        <f t="shared" si="44"/>
        <v>2032.9365</v>
      </c>
      <c r="K917" t="s">
        <v>2015</v>
      </c>
      <c r="L917" t="str">
        <f>_xlfn.XLOOKUP(Orders[[#This Row],[ProductID]],Products!A:A,Products!C:C)</f>
        <v>Clothing</v>
      </c>
    </row>
    <row r="918" spans="1:12" x14ac:dyDescent="0.3">
      <c r="A918">
        <v>917</v>
      </c>
      <c r="B918">
        <v>849</v>
      </c>
      <c r="C918">
        <v>16</v>
      </c>
      <c r="D918" t="s">
        <v>829</v>
      </c>
      <c r="E918">
        <f t="shared" si="42"/>
        <v>2023</v>
      </c>
      <c r="F918" t="str">
        <f t="shared" si="43"/>
        <v>Aug</v>
      </c>
      <c r="G918">
        <v>1</v>
      </c>
      <c r="H918">
        <f>_xlfn.XLOOKUP(C918,Products!A:A,Products!D:D)</f>
        <v>693.02</v>
      </c>
      <c r="I918">
        <v>0</v>
      </c>
      <c r="J918">
        <f t="shared" si="44"/>
        <v>693.02</v>
      </c>
      <c r="K918" t="s">
        <v>2021</v>
      </c>
      <c r="L918" t="str">
        <f>_xlfn.XLOOKUP(Orders[[#This Row],[ProductID]],Products!A:A,Products!C:C)</f>
        <v>Home</v>
      </c>
    </row>
    <row r="919" spans="1:12" x14ac:dyDescent="0.3">
      <c r="A919">
        <v>918</v>
      </c>
      <c r="B919">
        <v>849</v>
      </c>
      <c r="C919">
        <v>19</v>
      </c>
      <c r="D919" t="s">
        <v>2196</v>
      </c>
      <c r="E919">
        <f t="shared" si="42"/>
        <v>2024</v>
      </c>
      <c r="F919" t="str">
        <f t="shared" si="43"/>
        <v>Feb</v>
      </c>
      <c r="G919">
        <v>3</v>
      </c>
      <c r="H919">
        <f>_xlfn.XLOOKUP(C919,Products!A:A,Products!D:D)</f>
        <v>262.97000000000003</v>
      </c>
      <c r="I919">
        <v>5</v>
      </c>
      <c r="J919">
        <f t="shared" si="44"/>
        <v>749.46450000000004</v>
      </c>
      <c r="K919" t="s">
        <v>2021</v>
      </c>
      <c r="L919" t="str">
        <f>_xlfn.XLOOKUP(Orders[[#This Row],[ProductID]],Products!A:A,Products!C:C)</f>
        <v>Beauty</v>
      </c>
    </row>
    <row r="920" spans="1:12" x14ac:dyDescent="0.3">
      <c r="A920">
        <v>919</v>
      </c>
      <c r="B920">
        <v>850</v>
      </c>
      <c r="C920">
        <v>66</v>
      </c>
      <c r="D920" t="s">
        <v>2189</v>
      </c>
      <c r="E920">
        <f t="shared" si="42"/>
        <v>2024</v>
      </c>
      <c r="F920" t="str">
        <f t="shared" si="43"/>
        <v>Jan</v>
      </c>
      <c r="G920">
        <v>3</v>
      </c>
      <c r="H920">
        <f>_xlfn.XLOOKUP(C920,Products!A:A,Products!D:D)</f>
        <v>783.37</v>
      </c>
      <c r="I920">
        <v>20</v>
      </c>
      <c r="J920">
        <f t="shared" si="44"/>
        <v>1880.0880000000002</v>
      </c>
      <c r="K920" t="s">
        <v>2021</v>
      </c>
      <c r="L920" t="str">
        <f>_xlfn.XLOOKUP(Orders[[#This Row],[ProductID]],Products!A:A,Products!C:C)</f>
        <v>Home</v>
      </c>
    </row>
    <row r="921" spans="1:12" x14ac:dyDescent="0.3">
      <c r="A921">
        <v>920</v>
      </c>
      <c r="B921">
        <v>850</v>
      </c>
      <c r="C921">
        <v>61</v>
      </c>
      <c r="D921" t="s">
        <v>1009</v>
      </c>
      <c r="E921">
        <f t="shared" si="42"/>
        <v>2023</v>
      </c>
      <c r="F921" t="str">
        <f t="shared" si="43"/>
        <v>Sep</v>
      </c>
      <c r="G921">
        <v>2</v>
      </c>
      <c r="H921">
        <f>_xlfn.XLOOKUP(C921,Products!A:A,Products!D:D)</f>
        <v>498.92</v>
      </c>
      <c r="I921">
        <v>10</v>
      </c>
      <c r="J921">
        <f t="shared" si="44"/>
        <v>898.05600000000004</v>
      </c>
      <c r="K921" t="s">
        <v>2019</v>
      </c>
      <c r="L921" t="str">
        <f>_xlfn.XLOOKUP(Orders[[#This Row],[ProductID]],Products!A:A,Products!C:C)</f>
        <v>Clothing</v>
      </c>
    </row>
    <row r="922" spans="1:12" x14ac:dyDescent="0.3">
      <c r="A922">
        <v>921</v>
      </c>
      <c r="B922">
        <v>851</v>
      </c>
      <c r="C922">
        <v>76</v>
      </c>
      <c r="D922" t="s">
        <v>1355</v>
      </c>
      <c r="E922">
        <f t="shared" si="42"/>
        <v>2023</v>
      </c>
      <c r="F922" t="str">
        <f t="shared" si="43"/>
        <v>Sep</v>
      </c>
      <c r="G922">
        <v>2</v>
      </c>
      <c r="H922">
        <f>_xlfn.XLOOKUP(C922,Products!A:A,Products!D:D)</f>
        <v>1043.26</v>
      </c>
      <c r="I922">
        <v>10</v>
      </c>
      <c r="J922">
        <f t="shared" si="44"/>
        <v>1877.8679999999999</v>
      </c>
      <c r="K922" t="s">
        <v>2017</v>
      </c>
      <c r="L922" t="str">
        <f>_xlfn.XLOOKUP(Orders[[#This Row],[ProductID]],Products!A:A,Products!C:C)</f>
        <v>Clothing</v>
      </c>
    </row>
    <row r="923" spans="1:12" x14ac:dyDescent="0.3">
      <c r="A923">
        <v>922</v>
      </c>
      <c r="B923">
        <v>851</v>
      </c>
      <c r="C923">
        <v>50</v>
      </c>
      <c r="D923" t="s">
        <v>2065</v>
      </c>
      <c r="E923">
        <f t="shared" si="42"/>
        <v>2023</v>
      </c>
      <c r="F923" t="str">
        <f t="shared" si="43"/>
        <v>Dec</v>
      </c>
      <c r="G923">
        <v>1</v>
      </c>
      <c r="H923">
        <f>_xlfn.XLOOKUP(C923,Products!A:A,Products!D:D)</f>
        <v>1122.8699999999999</v>
      </c>
      <c r="I923">
        <v>15</v>
      </c>
      <c r="J923">
        <f t="shared" si="44"/>
        <v>954.43949999999984</v>
      </c>
      <c r="K923" t="s">
        <v>2017</v>
      </c>
      <c r="L923" t="str">
        <f>_xlfn.XLOOKUP(Orders[[#This Row],[ProductID]],Products!A:A,Products!C:C)</f>
        <v>Home</v>
      </c>
    </row>
    <row r="924" spans="1:12" x14ac:dyDescent="0.3">
      <c r="A924">
        <v>923</v>
      </c>
      <c r="B924">
        <v>852</v>
      </c>
      <c r="C924">
        <v>55</v>
      </c>
      <c r="D924" t="s">
        <v>224</v>
      </c>
      <c r="E924">
        <f t="shared" si="42"/>
        <v>2023</v>
      </c>
      <c r="F924" t="str">
        <f t="shared" si="43"/>
        <v>Mar</v>
      </c>
      <c r="G924">
        <v>1</v>
      </c>
      <c r="H924">
        <f>_xlfn.XLOOKUP(C924,Products!A:A,Products!D:D)</f>
        <v>1016.06</v>
      </c>
      <c r="I924">
        <v>10</v>
      </c>
      <c r="J924">
        <f t="shared" si="44"/>
        <v>914.45399999999995</v>
      </c>
      <c r="K924" t="s">
        <v>2017</v>
      </c>
      <c r="L924" t="str">
        <f>_xlfn.XLOOKUP(Orders[[#This Row],[ProductID]],Products!A:A,Products!C:C)</f>
        <v>Clothing</v>
      </c>
    </row>
    <row r="925" spans="1:12" x14ac:dyDescent="0.3">
      <c r="A925">
        <v>924</v>
      </c>
      <c r="B925">
        <v>852</v>
      </c>
      <c r="C925">
        <v>16</v>
      </c>
      <c r="D925" t="s">
        <v>710</v>
      </c>
      <c r="E925">
        <f t="shared" si="42"/>
        <v>2023</v>
      </c>
      <c r="F925" t="str">
        <f t="shared" si="43"/>
        <v>Oct</v>
      </c>
      <c r="G925">
        <v>2</v>
      </c>
      <c r="H925">
        <f>_xlfn.XLOOKUP(C925,Products!A:A,Products!D:D)</f>
        <v>693.02</v>
      </c>
      <c r="I925">
        <v>0</v>
      </c>
      <c r="J925">
        <f t="shared" si="44"/>
        <v>1386.04</v>
      </c>
      <c r="K925" t="s">
        <v>2015</v>
      </c>
      <c r="L925" t="str">
        <f>_xlfn.XLOOKUP(Orders[[#This Row],[ProductID]],Products!A:A,Products!C:C)</f>
        <v>Home</v>
      </c>
    </row>
    <row r="926" spans="1:12" x14ac:dyDescent="0.3">
      <c r="A926">
        <v>925</v>
      </c>
      <c r="B926">
        <v>853</v>
      </c>
      <c r="C926">
        <v>39</v>
      </c>
      <c r="D926" t="s">
        <v>2209</v>
      </c>
      <c r="E926">
        <f t="shared" si="42"/>
        <v>2023</v>
      </c>
      <c r="F926" t="str">
        <f t="shared" si="43"/>
        <v>Jan</v>
      </c>
      <c r="G926">
        <v>3</v>
      </c>
      <c r="H926">
        <f>_xlfn.XLOOKUP(C926,Products!A:A,Products!D:D)</f>
        <v>256.08999999999997</v>
      </c>
      <c r="I926">
        <v>20</v>
      </c>
      <c r="J926">
        <f t="shared" si="44"/>
        <v>614.61599999999999</v>
      </c>
      <c r="K926" t="s">
        <v>2017</v>
      </c>
      <c r="L926" t="str">
        <f>_xlfn.XLOOKUP(Orders[[#This Row],[ProductID]],Products!A:A,Products!C:C)</f>
        <v>Clothing</v>
      </c>
    </row>
    <row r="927" spans="1:12" x14ac:dyDescent="0.3">
      <c r="A927">
        <v>926</v>
      </c>
      <c r="B927">
        <v>853</v>
      </c>
      <c r="C927">
        <v>6</v>
      </c>
      <c r="D927" t="s">
        <v>2206</v>
      </c>
      <c r="E927">
        <f t="shared" si="42"/>
        <v>2024</v>
      </c>
      <c r="F927" t="str">
        <f t="shared" si="43"/>
        <v>Apr</v>
      </c>
      <c r="G927">
        <v>2</v>
      </c>
      <c r="H927">
        <f>_xlfn.XLOOKUP(C927,Products!A:A,Products!D:D)</f>
        <v>719.19</v>
      </c>
      <c r="I927">
        <v>5</v>
      </c>
      <c r="J927">
        <f t="shared" si="44"/>
        <v>1366.461</v>
      </c>
      <c r="K927" t="s">
        <v>2017</v>
      </c>
      <c r="L927" t="str">
        <f>_xlfn.XLOOKUP(Orders[[#This Row],[ProductID]],Products!A:A,Products!C:C)</f>
        <v>Clothing</v>
      </c>
    </row>
    <row r="928" spans="1:12" x14ac:dyDescent="0.3">
      <c r="A928">
        <v>927</v>
      </c>
      <c r="B928">
        <v>854</v>
      </c>
      <c r="C928">
        <v>59</v>
      </c>
      <c r="D928" t="s">
        <v>1742</v>
      </c>
      <c r="E928">
        <f t="shared" si="42"/>
        <v>2023</v>
      </c>
      <c r="F928" t="str">
        <f t="shared" si="43"/>
        <v>May</v>
      </c>
      <c r="G928">
        <v>1</v>
      </c>
      <c r="H928">
        <f>_xlfn.XLOOKUP(C928,Products!A:A,Products!D:D)</f>
        <v>782.33</v>
      </c>
      <c r="I928">
        <v>5</v>
      </c>
      <c r="J928">
        <f t="shared" si="44"/>
        <v>743.21349999999995</v>
      </c>
      <c r="K928" t="s">
        <v>2024</v>
      </c>
      <c r="L928" t="str">
        <f>_xlfn.XLOOKUP(Orders[[#This Row],[ProductID]],Products!A:A,Products!C:C)</f>
        <v>Clothing</v>
      </c>
    </row>
    <row r="929" spans="1:12" x14ac:dyDescent="0.3">
      <c r="A929">
        <v>928</v>
      </c>
      <c r="B929">
        <v>854</v>
      </c>
      <c r="C929">
        <v>65</v>
      </c>
      <c r="D929" t="s">
        <v>2210</v>
      </c>
      <c r="E929">
        <f t="shared" si="42"/>
        <v>2024</v>
      </c>
      <c r="F929" t="str">
        <f t="shared" si="43"/>
        <v>Mar</v>
      </c>
      <c r="G929">
        <v>3</v>
      </c>
      <c r="H929">
        <f>_xlfn.XLOOKUP(C929,Products!A:A,Products!D:D)</f>
        <v>1189.73</v>
      </c>
      <c r="I929">
        <v>5</v>
      </c>
      <c r="J929">
        <f t="shared" si="44"/>
        <v>3390.7305000000001</v>
      </c>
      <c r="K929" t="s">
        <v>2024</v>
      </c>
      <c r="L929" t="str">
        <f>_xlfn.XLOOKUP(Orders[[#This Row],[ProductID]],Products!A:A,Products!C:C)</f>
        <v>Home</v>
      </c>
    </row>
    <row r="930" spans="1:12" x14ac:dyDescent="0.3">
      <c r="A930">
        <v>929</v>
      </c>
      <c r="B930">
        <v>855</v>
      </c>
      <c r="C930">
        <v>68</v>
      </c>
      <c r="D930" t="s">
        <v>2135</v>
      </c>
      <c r="E930">
        <f t="shared" si="42"/>
        <v>2023</v>
      </c>
      <c r="F930" t="str">
        <f t="shared" si="43"/>
        <v>Jul</v>
      </c>
      <c r="G930">
        <v>3</v>
      </c>
      <c r="H930">
        <f>_xlfn.XLOOKUP(C930,Products!A:A,Products!D:D)</f>
        <v>180.99</v>
      </c>
      <c r="I930">
        <v>0</v>
      </c>
      <c r="J930">
        <f t="shared" si="44"/>
        <v>542.97</v>
      </c>
      <c r="K930" t="s">
        <v>2021</v>
      </c>
      <c r="L930" t="str">
        <f>_xlfn.XLOOKUP(Orders[[#This Row],[ProductID]],Products!A:A,Products!C:C)</f>
        <v>Clothing</v>
      </c>
    </row>
    <row r="931" spans="1:12" x14ac:dyDescent="0.3">
      <c r="A931">
        <v>930</v>
      </c>
      <c r="B931">
        <v>855</v>
      </c>
      <c r="C931">
        <v>20</v>
      </c>
      <c r="D931" t="s">
        <v>575</v>
      </c>
      <c r="E931">
        <f t="shared" si="42"/>
        <v>2023</v>
      </c>
      <c r="F931" t="str">
        <f t="shared" si="43"/>
        <v>Jun</v>
      </c>
      <c r="G931">
        <v>3</v>
      </c>
      <c r="H931">
        <f>_xlfn.XLOOKUP(C931,Products!A:A,Products!D:D)</f>
        <v>613.27</v>
      </c>
      <c r="I931">
        <v>20</v>
      </c>
      <c r="J931">
        <f t="shared" si="44"/>
        <v>1471.848</v>
      </c>
      <c r="K931" t="s">
        <v>2024</v>
      </c>
      <c r="L931" t="str">
        <f>_xlfn.XLOOKUP(Orders[[#This Row],[ProductID]],Products!A:A,Products!C:C)</f>
        <v>Home</v>
      </c>
    </row>
    <row r="932" spans="1:12" x14ac:dyDescent="0.3">
      <c r="A932">
        <v>931</v>
      </c>
      <c r="B932">
        <v>856</v>
      </c>
      <c r="C932">
        <v>59</v>
      </c>
      <c r="D932" t="s">
        <v>2211</v>
      </c>
      <c r="E932">
        <f t="shared" si="42"/>
        <v>2024</v>
      </c>
      <c r="F932" t="str">
        <f t="shared" si="43"/>
        <v>Jan</v>
      </c>
      <c r="G932">
        <v>1</v>
      </c>
      <c r="H932">
        <f>_xlfn.XLOOKUP(C932,Products!A:A,Products!D:D)</f>
        <v>782.33</v>
      </c>
      <c r="I932">
        <v>10</v>
      </c>
      <c r="J932">
        <f t="shared" si="44"/>
        <v>704.09700000000009</v>
      </c>
      <c r="K932" t="s">
        <v>2024</v>
      </c>
      <c r="L932" t="str">
        <f>_xlfn.XLOOKUP(Orders[[#This Row],[ProductID]],Products!A:A,Products!C:C)</f>
        <v>Clothing</v>
      </c>
    </row>
    <row r="933" spans="1:12" x14ac:dyDescent="0.3">
      <c r="A933">
        <v>932</v>
      </c>
      <c r="B933">
        <v>856</v>
      </c>
      <c r="C933">
        <v>51</v>
      </c>
      <c r="D933" t="s">
        <v>2130</v>
      </c>
      <c r="E933">
        <f t="shared" si="42"/>
        <v>2023</v>
      </c>
      <c r="F933" t="str">
        <f t="shared" si="43"/>
        <v>Feb</v>
      </c>
      <c r="G933">
        <v>3</v>
      </c>
      <c r="H933">
        <f>_xlfn.XLOOKUP(C933,Products!A:A,Products!D:D)</f>
        <v>759.57</v>
      </c>
      <c r="I933">
        <v>15</v>
      </c>
      <c r="J933">
        <f t="shared" si="44"/>
        <v>1936.9034999999999</v>
      </c>
      <c r="K933" t="s">
        <v>2017</v>
      </c>
      <c r="L933" t="str">
        <f>_xlfn.XLOOKUP(Orders[[#This Row],[ProductID]],Products!A:A,Products!C:C)</f>
        <v>Beauty</v>
      </c>
    </row>
    <row r="934" spans="1:12" x14ac:dyDescent="0.3">
      <c r="A934">
        <v>933</v>
      </c>
      <c r="B934">
        <v>857</v>
      </c>
      <c r="C934">
        <v>61</v>
      </c>
      <c r="D934" t="s">
        <v>912</v>
      </c>
      <c r="E934">
        <f t="shared" si="42"/>
        <v>2023</v>
      </c>
      <c r="F934" t="str">
        <f t="shared" si="43"/>
        <v>Nov</v>
      </c>
      <c r="G934">
        <v>3</v>
      </c>
      <c r="H934">
        <f>_xlfn.XLOOKUP(C934,Products!A:A,Products!D:D)</f>
        <v>498.92</v>
      </c>
      <c r="I934">
        <v>5</v>
      </c>
      <c r="J934">
        <f t="shared" si="44"/>
        <v>1421.922</v>
      </c>
      <c r="K934" t="s">
        <v>2015</v>
      </c>
      <c r="L934" t="str">
        <f>_xlfn.XLOOKUP(Orders[[#This Row],[ProductID]],Products!A:A,Products!C:C)</f>
        <v>Clothing</v>
      </c>
    </row>
    <row r="935" spans="1:12" x14ac:dyDescent="0.3">
      <c r="A935">
        <v>934</v>
      </c>
      <c r="B935">
        <v>857</v>
      </c>
      <c r="C935">
        <v>65</v>
      </c>
      <c r="D935" t="s">
        <v>2153</v>
      </c>
      <c r="E935">
        <f t="shared" si="42"/>
        <v>2024</v>
      </c>
      <c r="F935" t="str">
        <f t="shared" si="43"/>
        <v>Feb</v>
      </c>
      <c r="G935">
        <v>3</v>
      </c>
      <c r="H935">
        <f>_xlfn.XLOOKUP(C935,Products!A:A,Products!D:D)</f>
        <v>1189.73</v>
      </c>
      <c r="I935">
        <v>20</v>
      </c>
      <c r="J935">
        <f t="shared" si="44"/>
        <v>2855.3520000000003</v>
      </c>
      <c r="K935" t="s">
        <v>2024</v>
      </c>
      <c r="L935" t="str">
        <f>_xlfn.XLOOKUP(Orders[[#This Row],[ProductID]],Products!A:A,Products!C:C)</f>
        <v>Home</v>
      </c>
    </row>
    <row r="936" spans="1:12" x14ac:dyDescent="0.3">
      <c r="A936">
        <v>935</v>
      </c>
      <c r="B936">
        <v>858</v>
      </c>
      <c r="C936">
        <v>17</v>
      </c>
      <c r="D936" t="s">
        <v>2065</v>
      </c>
      <c r="E936">
        <f t="shared" si="42"/>
        <v>2023</v>
      </c>
      <c r="F936" t="str">
        <f t="shared" si="43"/>
        <v>Dec</v>
      </c>
      <c r="G936">
        <v>2</v>
      </c>
      <c r="H936">
        <f>_xlfn.XLOOKUP(C936,Products!A:A,Products!D:D)</f>
        <v>695.6</v>
      </c>
      <c r="I936">
        <v>20</v>
      </c>
      <c r="J936">
        <f t="shared" si="44"/>
        <v>1112.96</v>
      </c>
      <c r="K936" t="s">
        <v>2015</v>
      </c>
      <c r="L936" t="str">
        <f>_xlfn.XLOOKUP(Orders[[#This Row],[ProductID]],Products!A:A,Products!C:C)</f>
        <v>Clothing</v>
      </c>
    </row>
    <row r="937" spans="1:12" x14ac:dyDescent="0.3">
      <c r="A937">
        <v>936</v>
      </c>
      <c r="B937">
        <v>858</v>
      </c>
      <c r="C937">
        <v>45</v>
      </c>
      <c r="D937" t="s">
        <v>1513</v>
      </c>
      <c r="E937">
        <f t="shared" si="42"/>
        <v>2023</v>
      </c>
      <c r="F937" t="str">
        <f t="shared" si="43"/>
        <v>Oct</v>
      </c>
      <c r="G937">
        <v>3</v>
      </c>
      <c r="H937">
        <f>_xlfn.XLOOKUP(C937,Products!A:A,Products!D:D)</f>
        <v>609.05999999999995</v>
      </c>
      <c r="I937">
        <v>15</v>
      </c>
      <c r="J937">
        <f t="shared" si="44"/>
        <v>1553.1029999999998</v>
      </c>
      <c r="K937" t="s">
        <v>2019</v>
      </c>
      <c r="L937" t="str">
        <f>_xlfn.XLOOKUP(Orders[[#This Row],[ProductID]],Products!A:A,Products!C:C)</f>
        <v>Beauty</v>
      </c>
    </row>
    <row r="938" spans="1:12" x14ac:dyDescent="0.3">
      <c r="A938">
        <v>937</v>
      </c>
      <c r="B938">
        <v>859</v>
      </c>
      <c r="C938">
        <v>6</v>
      </c>
      <c r="D938" t="s">
        <v>2212</v>
      </c>
      <c r="E938">
        <f t="shared" si="42"/>
        <v>2023</v>
      </c>
      <c r="F938" t="str">
        <f t="shared" si="43"/>
        <v>Jan</v>
      </c>
      <c r="G938">
        <v>3</v>
      </c>
      <c r="H938">
        <f>_xlfn.XLOOKUP(C938,Products!A:A,Products!D:D)</f>
        <v>719.19</v>
      </c>
      <c r="I938">
        <v>5</v>
      </c>
      <c r="J938">
        <f t="shared" si="44"/>
        <v>2049.6914999999999</v>
      </c>
      <c r="K938" t="s">
        <v>2021</v>
      </c>
      <c r="L938" t="str">
        <f>_xlfn.XLOOKUP(Orders[[#This Row],[ProductID]],Products!A:A,Products!C:C)</f>
        <v>Clothing</v>
      </c>
    </row>
    <row r="939" spans="1:12" x14ac:dyDescent="0.3">
      <c r="A939">
        <v>938</v>
      </c>
      <c r="B939">
        <v>859</v>
      </c>
      <c r="C939">
        <v>13</v>
      </c>
      <c r="D939" t="s">
        <v>2033</v>
      </c>
      <c r="E939">
        <f t="shared" si="42"/>
        <v>2023</v>
      </c>
      <c r="F939" t="str">
        <f t="shared" si="43"/>
        <v>Dec</v>
      </c>
      <c r="G939">
        <v>1</v>
      </c>
      <c r="H939">
        <f>_xlfn.XLOOKUP(C939,Products!A:A,Products!D:D)</f>
        <v>334.61</v>
      </c>
      <c r="I939">
        <v>15</v>
      </c>
      <c r="J939">
        <f t="shared" si="44"/>
        <v>284.41849999999999</v>
      </c>
      <c r="K939" t="s">
        <v>2017</v>
      </c>
      <c r="L939" t="str">
        <f>_xlfn.XLOOKUP(Orders[[#This Row],[ProductID]],Products!A:A,Products!C:C)</f>
        <v>Home</v>
      </c>
    </row>
    <row r="940" spans="1:12" x14ac:dyDescent="0.3">
      <c r="A940">
        <v>939</v>
      </c>
      <c r="B940">
        <v>860</v>
      </c>
      <c r="C940">
        <v>42</v>
      </c>
      <c r="D940" t="s">
        <v>2203</v>
      </c>
      <c r="E940">
        <f t="shared" si="42"/>
        <v>2024</v>
      </c>
      <c r="F940" t="str">
        <f t="shared" si="43"/>
        <v>Jan</v>
      </c>
      <c r="G940">
        <v>1</v>
      </c>
      <c r="H940">
        <f>_xlfn.XLOOKUP(C940,Products!A:A,Products!D:D)</f>
        <v>233.11</v>
      </c>
      <c r="I940">
        <v>5</v>
      </c>
      <c r="J940">
        <f t="shared" si="44"/>
        <v>221.4545</v>
      </c>
      <c r="K940" t="s">
        <v>2019</v>
      </c>
      <c r="L940" t="str">
        <f>_xlfn.XLOOKUP(Orders[[#This Row],[ProductID]],Products!A:A,Products!C:C)</f>
        <v>Home</v>
      </c>
    </row>
    <row r="941" spans="1:12" x14ac:dyDescent="0.3">
      <c r="A941">
        <v>940</v>
      </c>
      <c r="B941">
        <v>860</v>
      </c>
      <c r="C941">
        <v>23</v>
      </c>
      <c r="D941" t="s">
        <v>2110</v>
      </c>
      <c r="E941">
        <f t="shared" si="42"/>
        <v>2024</v>
      </c>
      <c r="F941" t="str">
        <f t="shared" si="43"/>
        <v>Jan</v>
      </c>
      <c r="G941">
        <v>2</v>
      </c>
      <c r="H941">
        <f>_xlfn.XLOOKUP(C941,Products!A:A,Products!D:D)</f>
        <v>258.08</v>
      </c>
      <c r="I941">
        <v>15</v>
      </c>
      <c r="J941">
        <f t="shared" si="44"/>
        <v>438.73599999999993</v>
      </c>
      <c r="K941" t="s">
        <v>2019</v>
      </c>
      <c r="L941" t="str">
        <f>_xlfn.XLOOKUP(Orders[[#This Row],[ProductID]],Products!A:A,Products!C:C)</f>
        <v>Home</v>
      </c>
    </row>
    <row r="942" spans="1:12" x14ac:dyDescent="0.3">
      <c r="A942">
        <v>941</v>
      </c>
      <c r="B942">
        <v>861</v>
      </c>
      <c r="C942">
        <v>8</v>
      </c>
      <c r="D942" t="s">
        <v>274</v>
      </c>
      <c r="E942">
        <f t="shared" si="42"/>
        <v>2023</v>
      </c>
      <c r="F942" t="str">
        <f t="shared" si="43"/>
        <v>Nov</v>
      </c>
      <c r="G942">
        <v>2</v>
      </c>
      <c r="H942">
        <f>_xlfn.XLOOKUP(C942,Products!A:A,Products!D:D)</f>
        <v>155.08000000000001</v>
      </c>
      <c r="I942">
        <v>0</v>
      </c>
      <c r="J942">
        <f t="shared" si="44"/>
        <v>310.16000000000003</v>
      </c>
      <c r="K942" t="s">
        <v>2019</v>
      </c>
      <c r="L942" t="str">
        <f>_xlfn.XLOOKUP(Orders[[#This Row],[ProductID]],Products!A:A,Products!C:C)</f>
        <v>Clothing</v>
      </c>
    </row>
    <row r="943" spans="1:12" x14ac:dyDescent="0.3">
      <c r="A943">
        <v>942</v>
      </c>
      <c r="B943">
        <v>861</v>
      </c>
      <c r="C943">
        <v>10</v>
      </c>
      <c r="D943" t="s">
        <v>2143</v>
      </c>
      <c r="E943">
        <f t="shared" si="42"/>
        <v>2023</v>
      </c>
      <c r="F943" t="str">
        <f t="shared" si="43"/>
        <v>Aug</v>
      </c>
      <c r="G943">
        <v>2</v>
      </c>
      <c r="H943">
        <f>_xlfn.XLOOKUP(C943,Products!A:A,Products!D:D)</f>
        <v>64.11</v>
      </c>
      <c r="I943">
        <v>20</v>
      </c>
      <c r="J943">
        <f t="shared" si="44"/>
        <v>102.57600000000001</v>
      </c>
      <c r="K943" t="s">
        <v>2019</v>
      </c>
      <c r="L943" t="str">
        <f>_xlfn.XLOOKUP(Orders[[#This Row],[ProductID]],Products!A:A,Products!C:C)</f>
        <v>Clothing</v>
      </c>
    </row>
    <row r="944" spans="1:12" x14ac:dyDescent="0.3">
      <c r="A944">
        <v>943</v>
      </c>
      <c r="B944">
        <v>862</v>
      </c>
      <c r="C944">
        <v>23</v>
      </c>
      <c r="D944" t="s">
        <v>1080</v>
      </c>
      <c r="E944">
        <f t="shared" si="42"/>
        <v>2023</v>
      </c>
      <c r="F944" t="str">
        <f t="shared" si="43"/>
        <v>Jun</v>
      </c>
      <c r="G944">
        <v>1</v>
      </c>
      <c r="H944">
        <f>_xlfn.XLOOKUP(C944,Products!A:A,Products!D:D)</f>
        <v>258.08</v>
      </c>
      <c r="I944">
        <v>15</v>
      </c>
      <c r="J944">
        <f t="shared" si="44"/>
        <v>219.36799999999997</v>
      </c>
      <c r="K944" t="s">
        <v>2017</v>
      </c>
      <c r="L944" t="str">
        <f>_xlfn.XLOOKUP(Orders[[#This Row],[ProductID]],Products!A:A,Products!C:C)</f>
        <v>Home</v>
      </c>
    </row>
    <row r="945" spans="1:12" x14ac:dyDescent="0.3">
      <c r="A945">
        <v>944</v>
      </c>
      <c r="B945">
        <v>862</v>
      </c>
      <c r="C945">
        <v>18</v>
      </c>
      <c r="D945" t="s">
        <v>145</v>
      </c>
      <c r="E945">
        <f t="shared" si="42"/>
        <v>2023</v>
      </c>
      <c r="F945" t="str">
        <f t="shared" si="43"/>
        <v>Nov</v>
      </c>
      <c r="G945">
        <v>3</v>
      </c>
      <c r="H945">
        <f>_xlfn.XLOOKUP(C945,Products!A:A,Products!D:D)</f>
        <v>138.07</v>
      </c>
      <c r="I945">
        <v>20</v>
      </c>
      <c r="J945">
        <f t="shared" si="44"/>
        <v>331.36799999999999</v>
      </c>
      <c r="K945" t="s">
        <v>2021</v>
      </c>
      <c r="L945" t="str">
        <f>_xlfn.XLOOKUP(Orders[[#This Row],[ProductID]],Products!A:A,Products!C:C)</f>
        <v>Home</v>
      </c>
    </row>
    <row r="946" spans="1:12" x14ac:dyDescent="0.3">
      <c r="A946">
        <v>945</v>
      </c>
      <c r="B946">
        <v>863</v>
      </c>
      <c r="C946">
        <v>26</v>
      </c>
      <c r="D946" t="s">
        <v>410</v>
      </c>
      <c r="E946">
        <f t="shared" si="42"/>
        <v>2023</v>
      </c>
      <c r="F946" t="str">
        <f t="shared" si="43"/>
        <v>May</v>
      </c>
      <c r="G946">
        <v>2</v>
      </c>
      <c r="H946">
        <f>_xlfn.XLOOKUP(C946,Products!A:A,Products!D:D)</f>
        <v>272.61</v>
      </c>
      <c r="I946">
        <v>15</v>
      </c>
      <c r="J946">
        <f t="shared" si="44"/>
        <v>463.43700000000001</v>
      </c>
      <c r="K946" t="s">
        <v>2024</v>
      </c>
      <c r="L946" t="str">
        <f>_xlfn.XLOOKUP(Orders[[#This Row],[ProductID]],Products!A:A,Products!C:C)</f>
        <v>Home</v>
      </c>
    </row>
    <row r="947" spans="1:12" x14ac:dyDescent="0.3">
      <c r="A947">
        <v>946</v>
      </c>
      <c r="B947">
        <v>863</v>
      </c>
      <c r="C947">
        <v>29</v>
      </c>
      <c r="D947" t="s">
        <v>1630</v>
      </c>
      <c r="E947">
        <f t="shared" si="42"/>
        <v>2023</v>
      </c>
      <c r="F947" t="str">
        <f t="shared" si="43"/>
        <v>Apr</v>
      </c>
      <c r="G947">
        <v>3</v>
      </c>
      <c r="H947">
        <f>_xlfn.XLOOKUP(C947,Products!A:A,Products!D:D)</f>
        <v>757</v>
      </c>
      <c r="I947">
        <v>5</v>
      </c>
      <c r="J947">
        <f t="shared" si="44"/>
        <v>2157.4499999999998</v>
      </c>
      <c r="K947" t="s">
        <v>2017</v>
      </c>
      <c r="L947" t="str">
        <f>_xlfn.XLOOKUP(Orders[[#This Row],[ProductID]],Products!A:A,Products!C:C)</f>
        <v>Clothing</v>
      </c>
    </row>
    <row r="948" spans="1:12" x14ac:dyDescent="0.3">
      <c r="A948">
        <v>947</v>
      </c>
      <c r="B948">
        <v>864</v>
      </c>
      <c r="C948">
        <v>68</v>
      </c>
      <c r="D948" t="s">
        <v>2119</v>
      </c>
      <c r="E948">
        <f t="shared" si="42"/>
        <v>2024</v>
      </c>
      <c r="F948" t="str">
        <f t="shared" si="43"/>
        <v>Feb</v>
      </c>
      <c r="G948">
        <v>1</v>
      </c>
      <c r="H948">
        <f>_xlfn.XLOOKUP(C948,Products!A:A,Products!D:D)</f>
        <v>180.99</v>
      </c>
      <c r="I948">
        <v>0</v>
      </c>
      <c r="J948">
        <f t="shared" si="44"/>
        <v>180.99</v>
      </c>
      <c r="K948" t="s">
        <v>2015</v>
      </c>
      <c r="L948" t="str">
        <f>_xlfn.XLOOKUP(Orders[[#This Row],[ProductID]],Products!A:A,Products!C:C)</f>
        <v>Clothing</v>
      </c>
    </row>
    <row r="949" spans="1:12" x14ac:dyDescent="0.3">
      <c r="A949">
        <v>948</v>
      </c>
      <c r="B949">
        <v>864</v>
      </c>
      <c r="C949">
        <v>4</v>
      </c>
      <c r="D949" t="s">
        <v>1396</v>
      </c>
      <c r="E949">
        <f t="shared" si="42"/>
        <v>2023</v>
      </c>
      <c r="F949" t="str">
        <f t="shared" si="43"/>
        <v>Nov</v>
      </c>
      <c r="G949">
        <v>3</v>
      </c>
      <c r="H949">
        <f>_xlfn.XLOOKUP(C949,Products!A:A,Products!D:D)</f>
        <v>800.26</v>
      </c>
      <c r="I949">
        <v>0</v>
      </c>
      <c r="J949">
        <f t="shared" si="44"/>
        <v>2400.7799999999997</v>
      </c>
      <c r="K949" t="s">
        <v>2021</v>
      </c>
      <c r="L949" t="str">
        <f>_xlfn.XLOOKUP(Orders[[#This Row],[ProductID]],Products!A:A,Products!C:C)</f>
        <v>Electronics</v>
      </c>
    </row>
    <row r="950" spans="1:12" x14ac:dyDescent="0.3">
      <c r="A950">
        <v>949</v>
      </c>
      <c r="B950">
        <v>865</v>
      </c>
      <c r="C950">
        <v>5</v>
      </c>
      <c r="D950" t="s">
        <v>2119</v>
      </c>
      <c r="E950">
        <f t="shared" si="42"/>
        <v>2024</v>
      </c>
      <c r="F950" t="str">
        <f t="shared" si="43"/>
        <v>Feb</v>
      </c>
      <c r="G950">
        <v>1</v>
      </c>
      <c r="H950">
        <f>_xlfn.XLOOKUP(C950,Products!A:A,Products!D:D)</f>
        <v>296.85000000000002</v>
      </c>
      <c r="I950">
        <v>0</v>
      </c>
      <c r="J950">
        <f t="shared" si="44"/>
        <v>296.85000000000002</v>
      </c>
      <c r="K950" t="s">
        <v>2024</v>
      </c>
      <c r="L950" t="str">
        <f>_xlfn.XLOOKUP(Orders[[#This Row],[ProductID]],Products!A:A,Products!C:C)</f>
        <v>Clothing</v>
      </c>
    </row>
    <row r="951" spans="1:12" x14ac:dyDescent="0.3">
      <c r="A951">
        <v>950</v>
      </c>
      <c r="B951">
        <v>865</v>
      </c>
      <c r="C951">
        <v>53</v>
      </c>
      <c r="D951" t="s">
        <v>993</v>
      </c>
      <c r="E951">
        <f t="shared" si="42"/>
        <v>2023</v>
      </c>
      <c r="F951" t="str">
        <f t="shared" si="43"/>
        <v>Oct</v>
      </c>
      <c r="G951">
        <v>3</v>
      </c>
      <c r="H951">
        <f>_xlfn.XLOOKUP(C951,Products!A:A,Products!D:D)</f>
        <v>194.34</v>
      </c>
      <c r="I951">
        <v>0</v>
      </c>
      <c r="J951">
        <f t="shared" si="44"/>
        <v>583.02</v>
      </c>
      <c r="K951" t="s">
        <v>2024</v>
      </c>
      <c r="L951" t="str">
        <f>_xlfn.XLOOKUP(Orders[[#This Row],[ProductID]],Products!A:A,Products!C:C)</f>
        <v>Home</v>
      </c>
    </row>
    <row r="952" spans="1:12" x14ac:dyDescent="0.3">
      <c r="A952">
        <v>951</v>
      </c>
      <c r="B952">
        <v>866</v>
      </c>
      <c r="C952">
        <v>24</v>
      </c>
      <c r="D952" t="s">
        <v>2188</v>
      </c>
      <c r="E952">
        <f t="shared" si="42"/>
        <v>2023</v>
      </c>
      <c r="F952" t="str">
        <f t="shared" si="43"/>
        <v>Dec</v>
      </c>
      <c r="G952">
        <v>3</v>
      </c>
      <c r="H952">
        <f>_xlfn.XLOOKUP(C952,Products!A:A,Products!D:D)</f>
        <v>1019.85</v>
      </c>
      <c r="I952">
        <v>20</v>
      </c>
      <c r="J952">
        <f t="shared" si="44"/>
        <v>2447.6400000000003</v>
      </c>
      <c r="K952" t="s">
        <v>2017</v>
      </c>
      <c r="L952" t="str">
        <f>_xlfn.XLOOKUP(Orders[[#This Row],[ProductID]],Products!A:A,Products!C:C)</f>
        <v>Beauty</v>
      </c>
    </row>
    <row r="953" spans="1:12" x14ac:dyDescent="0.3">
      <c r="A953">
        <v>952</v>
      </c>
      <c r="B953">
        <v>866</v>
      </c>
      <c r="C953">
        <v>25</v>
      </c>
      <c r="D953" t="s">
        <v>2068</v>
      </c>
      <c r="E953">
        <f t="shared" si="42"/>
        <v>2024</v>
      </c>
      <c r="F953" t="str">
        <f t="shared" si="43"/>
        <v>Mar</v>
      </c>
      <c r="G953">
        <v>1</v>
      </c>
      <c r="H953">
        <f>_xlfn.XLOOKUP(C953,Products!A:A,Products!D:D)</f>
        <v>1011.65</v>
      </c>
      <c r="I953">
        <v>20</v>
      </c>
      <c r="J953">
        <f t="shared" si="44"/>
        <v>809.32</v>
      </c>
      <c r="K953" t="s">
        <v>2017</v>
      </c>
      <c r="L953" t="str">
        <f>_xlfn.XLOOKUP(Orders[[#This Row],[ProductID]],Products!A:A,Products!C:C)</f>
        <v>Electronics</v>
      </c>
    </row>
    <row r="954" spans="1:12" x14ac:dyDescent="0.3">
      <c r="A954">
        <v>953</v>
      </c>
      <c r="B954">
        <v>867</v>
      </c>
      <c r="C954">
        <v>65</v>
      </c>
      <c r="D954" t="s">
        <v>575</v>
      </c>
      <c r="E954">
        <f t="shared" si="42"/>
        <v>2023</v>
      </c>
      <c r="F954" t="str">
        <f t="shared" si="43"/>
        <v>Jun</v>
      </c>
      <c r="G954">
        <v>2</v>
      </c>
      <c r="H954">
        <f>_xlfn.XLOOKUP(C954,Products!A:A,Products!D:D)</f>
        <v>1189.73</v>
      </c>
      <c r="I954">
        <v>20</v>
      </c>
      <c r="J954">
        <f t="shared" si="44"/>
        <v>1903.5680000000002</v>
      </c>
      <c r="K954" t="s">
        <v>2015</v>
      </c>
      <c r="L954" t="str">
        <f>_xlfn.XLOOKUP(Orders[[#This Row],[ProductID]],Products!A:A,Products!C:C)</f>
        <v>Home</v>
      </c>
    </row>
    <row r="955" spans="1:12" x14ac:dyDescent="0.3">
      <c r="A955">
        <v>954</v>
      </c>
      <c r="B955">
        <v>867</v>
      </c>
      <c r="C955">
        <v>18</v>
      </c>
      <c r="D955" t="s">
        <v>2061</v>
      </c>
      <c r="E955">
        <f t="shared" si="42"/>
        <v>2024</v>
      </c>
      <c r="F955" t="str">
        <f t="shared" si="43"/>
        <v>Feb</v>
      </c>
      <c r="G955">
        <v>1</v>
      </c>
      <c r="H955">
        <f>_xlfn.XLOOKUP(C955,Products!A:A,Products!D:D)</f>
        <v>138.07</v>
      </c>
      <c r="I955">
        <v>15</v>
      </c>
      <c r="J955">
        <f t="shared" si="44"/>
        <v>117.3595</v>
      </c>
      <c r="K955" t="s">
        <v>2017</v>
      </c>
      <c r="L955" t="str">
        <f>_xlfn.XLOOKUP(Orders[[#This Row],[ProductID]],Products!A:A,Products!C:C)</f>
        <v>Home</v>
      </c>
    </row>
    <row r="956" spans="1:12" x14ac:dyDescent="0.3">
      <c r="A956">
        <v>955</v>
      </c>
      <c r="B956">
        <v>868</v>
      </c>
      <c r="C956">
        <v>49</v>
      </c>
      <c r="D956" t="s">
        <v>2190</v>
      </c>
      <c r="E956">
        <f t="shared" si="42"/>
        <v>2024</v>
      </c>
      <c r="F956" t="str">
        <f t="shared" si="43"/>
        <v>Mar</v>
      </c>
      <c r="G956">
        <v>1</v>
      </c>
      <c r="H956">
        <f>_xlfn.XLOOKUP(C956,Products!A:A,Products!D:D)</f>
        <v>974.54</v>
      </c>
      <c r="I956">
        <v>20</v>
      </c>
      <c r="J956">
        <f t="shared" si="44"/>
        <v>779.63200000000006</v>
      </c>
      <c r="K956" t="s">
        <v>2019</v>
      </c>
      <c r="L956" t="str">
        <f>_xlfn.XLOOKUP(Orders[[#This Row],[ProductID]],Products!A:A,Products!C:C)</f>
        <v>Home</v>
      </c>
    </row>
    <row r="957" spans="1:12" x14ac:dyDescent="0.3">
      <c r="A957">
        <v>956</v>
      </c>
      <c r="B957">
        <v>868</v>
      </c>
      <c r="C957">
        <v>17</v>
      </c>
      <c r="D957" t="s">
        <v>2193</v>
      </c>
      <c r="E957">
        <f t="shared" si="42"/>
        <v>2024</v>
      </c>
      <c r="F957" t="str">
        <f t="shared" si="43"/>
        <v>Feb</v>
      </c>
      <c r="G957">
        <v>3</v>
      </c>
      <c r="H957">
        <f>_xlfn.XLOOKUP(C957,Products!A:A,Products!D:D)</f>
        <v>695.6</v>
      </c>
      <c r="I957">
        <v>10</v>
      </c>
      <c r="J957">
        <f t="shared" si="44"/>
        <v>1878.1200000000001</v>
      </c>
      <c r="K957" t="s">
        <v>2019</v>
      </c>
      <c r="L957" t="str">
        <f>_xlfn.XLOOKUP(Orders[[#This Row],[ProductID]],Products!A:A,Products!C:C)</f>
        <v>Clothing</v>
      </c>
    </row>
    <row r="958" spans="1:12" x14ac:dyDescent="0.3">
      <c r="A958">
        <v>957</v>
      </c>
      <c r="B958">
        <v>869</v>
      </c>
      <c r="C958">
        <v>16</v>
      </c>
      <c r="D958" t="s">
        <v>290</v>
      </c>
      <c r="E958">
        <f t="shared" si="42"/>
        <v>2023</v>
      </c>
      <c r="F958" t="str">
        <f t="shared" si="43"/>
        <v>Sep</v>
      </c>
      <c r="G958">
        <v>1</v>
      </c>
      <c r="H958">
        <f>_xlfn.XLOOKUP(C958,Products!A:A,Products!D:D)</f>
        <v>693.02</v>
      </c>
      <c r="I958">
        <v>0</v>
      </c>
      <c r="J958">
        <f t="shared" si="44"/>
        <v>693.02</v>
      </c>
      <c r="K958" t="s">
        <v>2015</v>
      </c>
      <c r="L958" t="str">
        <f>_xlfn.XLOOKUP(Orders[[#This Row],[ProductID]],Products!A:A,Products!C:C)</f>
        <v>Home</v>
      </c>
    </row>
    <row r="959" spans="1:12" x14ac:dyDescent="0.3">
      <c r="A959">
        <v>958</v>
      </c>
      <c r="B959">
        <v>869</v>
      </c>
      <c r="C959">
        <v>70</v>
      </c>
      <c r="D959" t="s">
        <v>1323</v>
      </c>
      <c r="E959">
        <f t="shared" si="42"/>
        <v>2023</v>
      </c>
      <c r="F959" t="str">
        <f t="shared" si="43"/>
        <v>Jun</v>
      </c>
      <c r="G959">
        <v>1</v>
      </c>
      <c r="H959">
        <f>_xlfn.XLOOKUP(C959,Products!A:A,Products!D:D)</f>
        <v>797.23</v>
      </c>
      <c r="I959">
        <v>5</v>
      </c>
      <c r="J959">
        <f t="shared" si="44"/>
        <v>757.36849999999993</v>
      </c>
      <c r="K959" t="s">
        <v>2024</v>
      </c>
      <c r="L959" t="str">
        <f>_xlfn.XLOOKUP(Orders[[#This Row],[ProductID]],Products!A:A,Products!C:C)</f>
        <v>Clothing</v>
      </c>
    </row>
    <row r="960" spans="1:12" x14ac:dyDescent="0.3">
      <c r="A960">
        <v>959</v>
      </c>
      <c r="B960">
        <v>870</v>
      </c>
      <c r="C960">
        <v>33</v>
      </c>
      <c r="D960" t="s">
        <v>2135</v>
      </c>
      <c r="E960">
        <f t="shared" si="42"/>
        <v>2023</v>
      </c>
      <c r="F960" t="str">
        <f t="shared" si="43"/>
        <v>Jul</v>
      </c>
      <c r="G960">
        <v>3</v>
      </c>
      <c r="H960">
        <f>_xlfn.XLOOKUP(C960,Products!A:A,Products!D:D)</f>
        <v>965.4</v>
      </c>
      <c r="I960">
        <v>10</v>
      </c>
      <c r="J960">
        <f t="shared" si="44"/>
        <v>2606.58</v>
      </c>
      <c r="K960" t="s">
        <v>2019</v>
      </c>
      <c r="L960" t="str">
        <f>_xlfn.XLOOKUP(Orders[[#This Row],[ProductID]],Products!A:A,Products!C:C)</f>
        <v>Beauty</v>
      </c>
    </row>
    <row r="961" spans="1:12" x14ac:dyDescent="0.3">
      <c r="A961">
        <v>960</v>
      </c>
      <c r="B961">
        <v>870</v>
      </c>
      <c r="C961">
        <v>21</v>
      </c>
      <c r="D961" t="s">
        <v>2014</v>
      </c>
      <c r="E961">
        <f t="shared" si="42"/>
        <v>2024</v>
      </c>
      <c r="F961" t="str">
        <f t="shared" si="43"/>
        <v>May</v>
      </c>
      <c r="G961">
        <v>2</v>
      </c>
      <c r="H961">
        <f>_xlfn.XLOOKUP(C961,Products!A:A,Products!D:D)</f>
        <v>420.66</v>
      </c>
      <c r="I961">
        <v>0</v>
      </c>
      <c r="J961">
        <f t="shared" si="44"/>
        <v>841.32</v>
      </c>
      <c r="K961" t="s">
        <v>2015</v>
      </c>
      <c r="L961" t="str">
        <f>_xlfn.XLOOKUP(Orders[[#This Row],[ProductID]],Products!A:A,Products!C:C)</f>
        <v>Beauty</v>
      </c>
    </row>
    <row r="962" spans="1:12" x14ac:dyDescent="0.3">
      <c r="A962">
        <v>961</v>
      </c>
      <c r="B962">
        <v>871</v>
      </c>
      <c r="C962">
        <v>74</v>
      </c>
      <c r="D962" t="s">
        <v>1450</v>
      </c>
      <c r="E962">
        <f t="shared" si="42"/>
        <v>2023</v>
      </c>
      <c r="F962" t="str">
        <f t="shared" si="43"/>
        <v>May</v>
      </c>
      <c r="G962">
        <v>3</v>
      </c>
      <c r="H962">
        <f>_xlfn.XLOOKUP(C962,Products!A:A,Products!D:D)</f>
        <v>1034.31</v>
      </c>
      <c r="I962">
        <v>20</v>
      </c>
      <c r="J962">
        <f t="shared" si="44"/>
        <v>2482.3440000000001</v>
      </c>
      <c r="K962" t="s">
        <v>2015</v>
      </c>
      <c r="L962" t="str">
        <f>_xlfn.XLOOKUP(Orders[[#This Row],[ProductID]],Products!A:A,Products!C:C)</f>
        <v>Electronics</v>
      </c>
    </row>
    <row r="963" spans="1:12" x14ac:dyDescent="0.3">
      <c r="A963">
        <v>962</v>
      </c>
      <c r="B963">
        <v>871</v>
      </c>
      <c r="C963">
        <v>40</v>
      </c>
      <c r="D963" t="s">
        <v>544</v>
      </c>
      <c r="E963">
        <f t="shared" ref="E963:E1026" si="45">YEAR(D963)</f>
        <v>2023</v>
      </c>
      <c r="F963" t="str">
        <f t="shared" ref="F963:F1026" si="46">TEXT(D963,"mmm")</f>
        <v>Jul</v>
      </c>
      <c r="G963">
        <v>3</v>
      </c>
      <c r="H963">
        <f>_xlfn.XLOOKUP(C963,Products!A:A,Products!D:D)</f>
        <v>316.49</v>
      </c>
      <c r="I963">
        <v>0</v>
      </c>
      <c r="J963">
        <f t="shared" ref="J963:J1026" si="47">G963*H963*(1-I963/100)</f>
        <v>949.47</v>
      </c>
      <c r="K963" t="s">
        <v>2015</v>
      </c>
      <c r="L963" t="str">
        <f>_xlfn.XLOOKUP(Orders[[#This Row],[ProductID]],Products!A:A,Products!C:C)</f>
        <v>Home</v>
      </c>
    </row>
    <row r="964" spans="1:12" x14ac:dyDescent="0.3">
      <c r="A964">
        <v>963</v>
      </c>
      <c r="B964">
        <v>872</v>
      </c>
      <c r="C964">
        <v>15</v>
      </c>
      <c r="D964" t="s">
        <v>408</v>
      </c>
      <c r="E964">
        <f t="shared" si="45"/>
        <v>2023</v>
      </c>
      <c r="F964" t="str">
        <f t="shared" si="46"/>
        <v>Oct</v>
      </c>
      <c r="G964">
        <v>2</v>
      </c>
      <c r="H964">
        <f>_xlfn.XLOOKUP(C964,Products!A:A,Products!D:D)</f>
        <v>1183.2</v>
      </c>
      <c r="I964">
        <v>10</v>
      </c>
      <c r="J964">
        <f t="shared" si="47"/>
        <v>2129.7600000000002</v>
      </c>
      <c r="K964" t="s">
        <v>2019</v>
      </c>
      <c r="L964" t="str">
        <f>_xlfn.XLOOKUP(Orders[[#This Row],[ProductID]],Products!A:A,Products!C:C)</f>
        <v>Electronics</v>
      </c>
    </row>
    <row r="965" spans="1:12" x14ac:dyDescent="0.3">
      <c r="A965">
        <v>964</v>
      </c>
      <c r="B965">
        <v>872</v>
      </c>
      <c r="C965">
        <v>5</v>
      </c>
      <c r="D965" t="s">
        <v>427</v>
      </c>
      <c r="E965">
        <f t="shared" si="45"/>
        <v>2023</v>
      </c>
      <c r="F965" t="str">
        <f t="shared" si="46"/>
        <v>Jun</v>
      </c>
      <c r="G965">
        <v>2</v>
      </c>
      <c r="H965">
        <f>_xlfn.XLOOKUP(C965,Products!A:A,Products!D:D)</f>
        <v>296.85000000000002</v>
      </c>
      <c r="I965">
        <v>10</v>
      </c>
      <c r="J965">
        <f t="shared" si="47"/>
        <v>534.33000000000004</v>
      </c>
      <c r="K965" t="s">
        <v>2021</v>
      </c>
      <c r="L965" t="str">
        <f>_xlfn.XLOOKUP(Orders[[#This Row],[ProductID]],Products!A:A,Products!C:C)</f>
        <v>Clothing</v>
      </c>
    </row>
    <row r="966" spans="1:12" x14ac:dyDescent="0.3">
      <c r="A966">
        <v>965</v>
      </c>
      <c r="B966">
        <v>873</v>
      </c>
      <c r="C966">
        <v>43</v>
      </c>
      <c r="D966" t="s">
        <v>2064</v>
      </c>
      <c r="E966">
        <f t="shared" si="45"/>
        <v>2024</v>
      </c>
      <c r="F966" t="str">
        <f t="shared" si="46"/>
        <v>Mar</v>
      </c>
      <c r="G966">
        <v>1</v>
      </c>
      <c r="H966">
        <f>_xlfn.XLOOKUP(C966,Products!A:A,Products!D:D)</f>
        <v>760.86</v>
      </c>
      <c r="I966">
        <v>5</v>
      </c>
      <c r="J966">
        <f t="shared" si="47"/>
        <v>722.81700000000001</v>
      </c>
      <c r="K966" t="s">
        <v>2021</v>
      </c>
      <c r="L966" t="str">
        <f>_xlfn.XLOOKUP(Orders[[#This Row],[ProductID]],Products!A:A,Products!C:C)</f>
        <v>Electronics</v>
      </c>
    </row>
    <row r="967" spans="1:12" x14ac:dyDescent="0.3">
      <c r="A967">
        <v>966</v>
      </c>
      <c r="B967">
        <v>873</v>
      </c>
      <c r="C967">
        <v>71</v>
      </c>
      <c r="D967" t="s">
        <v>2168</v>
      </c>
      <c r="E967">
        <f t="shared" si="45"/>
        <v>2024</v>
      </c>
      <c r="F967" t="str">
        <f t="shared" si="46"/>
        <v>Feb</v>
      </c>
      <c r="G967">
        <v>3</v>
      </c>
      <c r="H967">
        <f>_xlfn.XLOOKUP(C967,Products!A:A,Products!D:D)</f>
        <v>780.27</v>
      </c>
      <c r="I967">
        <v>10</v>
      </c>
      <c r="J967">
        <f t="shared" si="47"/>
        <v>2106.7289999999998</v>
      </c>
      <c r="K967" t="s">
        <v>2019</v>
      </c>
      <c r="L967" t="str">
        <f>_xlfn.XLOOKUP(Orders[[#This Row],[ProductID]],Products!A:A,Products!C:C)</f>
        <v>Electronics</v>
      </c>
    </row>
    <row r="968" spans="1:12" x14ac:dyDescent="0.3">
      <c r="A968">
        <v>967</v>
      </c>
      <c r="B968">
        <v>874</v>
      </c>
      <c r="C968">
        <v>31</v>
      </c>
      <c r="D968" t="s">
        <v>1355</v>
      </c>
      <c r="E968">
        <f t="shared" si="45"/>
        <v>2023</v>
      </c>
      <c r="F968" t="str">
        <f t="shared" si="46"/>
        <v>Sep</v>
      </c>
      <c r="G968">
        <v>1</v>
      </c>
      <c r="H968">
        <f>_xlfn.XLOOKUP(C968,Products!A:A,Products!D:D)</f>
        <v>131.79</v>
      </c>
      <c r="I968">
        <v>20</v>
      </c>
      <c r="J968">
        <f t="shared" si="47"/>
        <v>105.432</v>
      </c>
      <c r="K968" t="s">
        <v>2015</v>
      </c>
      <c r="L968" t="str">
        <f>_xlfn.XLOOKUP(Orders[[#This Row],[ProductID]],Products!A:A,Products!C:C)</f>
        <v>Beauty</v>
      </c>
    </row>
    <row r="969" spans="1:12" x14ac:dyDescent="0.3">
      <c r="A969">
        <v>968</v>
      </c>
      <c r="B969">
        <v>874</v>
      </c>
      <c r="C969">
        <v>5</v>
      </c>
      <c r="D969" t="s">
        <v>1925</v>
      </c>
      <c r="E969">
        <f t="shared" si="45"/>
        <v>2023</v>
      </c>
      <c r="F969" t="str">
        <f t="shared" si="46"/>
        <v>Jun</v>
      </c>
      <c r="G969">
        <v>1</v>
      </c>
      <c r="H969">
        <f>_xlfn.XLOOKUP(C969,Products!A:A,Products!D:D)</f>
        <v>296.85000000000002</v>
      </c>
      <c r="I969">
        <v>15</v>
      </c>
      <c r="J969">
        <f t="shared" si="47"/>
        <v>252.32250000000002</v>
      </c>
      <c r="K969" t="s">
        <v>2015</v>
      </c>
      <c r="L969" t="str">
        <f>_xlfn.XLOOKUP(Orders[[#This Row],[ProductID]],Products!A:A,Products!C:C)</f>
        <v>Clothing</v>
      </c>
    </row>
    <row r="970" spans="1:12" x14ac:dyDescent="0.3">
      <c r="A970">
        <v>969</v>
      </c>
      <c r="B970">
        <v>875</v>
      </c>
      <c r="C970">
        <v>79</v>
      </c>
      <c r="D970" t="s">
        <v>2213</v>
      </c>
      <c r="E970">
        <f t="shared" si="45"/>
        <v>2024</v>
      </c>
      <c r="F970" t="str">
        <f t="shared" si="46"/>
        <v>Apr</v>
      </c>
      <c r="G970">
        <v>1</v>
      </c>
      <c r="H970">
        <f>_xlfn.XLOOKUP(C970,Products!A:A,Products!D:D)</f>
        <v>488.34</v>
      </c>
      <c r="I970">
        <v>20</v>
      </c>
      <c r="J970">
        <f t="shared" si="47"/>
        <v>390.67200000000003</v>
      </c>
      <c r="K970" t="s">
        <v>2017</v>
      </c>
      <c r="L970" t="str">
        <f>_xlfn.XLOOKUP(Orders[[#This Row],[ProductID]],Products!A:A,Products!C:C)</f>
        <v>Electronics</v>
      </c>
    </row>
    <row r="971" spans="1:12" x14ac:dyDescent="0.3">
      <c r="A971">
        <v>970</v>
      </c>
      <c r="B971">
        <v>875</v>
      </c>
      <c r="C971">
        <v>17</v>
      </c>
      <c r="D971" t="s">
        <v>349</v>
      </c>
      <c r="E971">
        <f t="shared" si="45"/>
        <v>2023</v>
      </c>
      <c r="F971" t="str">
        <f t="shared" si="46"/>
        <v>May</v>
      </c>
      <c r="G971">
        <v>3</v>
      </c>
      <c r="H971">
        <f>_xlfn.XLOOKUP(C971,Products!A:A,Products!D:D)</f>
        <v>695.6</v>
      </c>
      <c r="I971">
        <v>0</v>
      </c>
      <c r="J971">
        <f t="shared" si="47"/>
        <v>2086.8000000000002</v>
      </c>
      <c r="K971" t="s">
        <v>2019</v>
      </c>
      <c r="L971" t="str">
        <f>_xlfn.XLOOKUP(Orders[[#This Row],[ProductID]],Products!A:A,Products!C:C)</f>
        <v>Clothing</v>
      </c>
    </row>
    <row r="972" spans="1:12" x14ac:dyDescent="0.3">
      <c r="A972">
        <v>971</v>
      </c>
      <c r="B972">
        <v>876</v>
      </c>
      <c r="C972">
        <v>5</v>
      </c>
      <c r="D972" t="s">
        <v>1761</v>
      </c>
      <c r="E972">
        <f t="shared" si="45"/>
        <v>2023</v>
      </c>
      <c r="F972" t="str">
        <f t="shared" si="46"/>
        <v>Sep</v>
      </c>
      <c r="G972">
        <v>3</v>
      </c>
      <c r="H972">
        <f>_xlfn.XLOOKUP(C972,Products!A:A,Products!D:D)</f>
        <v>296.85000000000002</v>
      </c>
      <c r="I972">
        <v>5</v>
      </c>
      <c r="J972">
        <f t="shared" si="47"/>
        <v>846.02250000000004</v>
      </c>
      <c r="K972" t="s">
        <v>2024</v>
      </c>
      <c r="L972" t="str">
        <f>_xlfn.XLOOKUP(Orders[[#This Row],[ProductID]],Products!A:A,Products!C:C)</f>
        <v>Clothing</v>
      </c>
    </row>
    <row r="973" spans="1:12" x14ac:dyDescent="0.3">
      <c r="A973">
        <v>972</v>
      </c>
      <c r="B973">
        <v>876</v>
      </c>
      <c r="C973">
        <v>56</v>
      </c>
      <c r="D973" t="s">
        <v>1680</v>
      </c>
      <c r="E973">
        <f t="shared" si="45"/>
        <v>2023</v>
      </c>
      <c r="F973" t="str">
        <f t="shared" si="46"/>
        <v>Sep</v>
      </c>
      <c r="G973">
        <v>2</v>
      </c>
      <c r="H973">
        <f>_xlfn.XLOOKUP(C973,Products!A:A,Products!D:D)</f>
        <v>396.01</v>
      </c>
      <c r="I973">
        <v>5</v>
      </c>
      <c r="J973">
        <f t="shared" si="47"/>
        <v>752.41899999999998</v>
      </c>
      <c r="K973" t="s">
        <v>2019</v>
      </c>
      <c r="L973" t="str">
        <f>_xlfn.XLOOKUP(Orders[[#This Row],[ProductID]],Products!A:A,Products!C:C)</f>
        <v>Home</v>
      </c>
    </row>
    <row r="974" spans="1:12" x14ac:dyDescent="0.3">
      <c r="A974">
        <v>973</v>
      </c>
      <c r="B974">
        <v>877</v>
      </c>
      <c r="C974">
        <v>8</v>
      </c>
      <c r="D974" t="s">
        <v>1750</v>
      </c>
      <c r="E974">
        <f t="shared" si="45"/>
        <v>2023</v>
      </c>
      <c r="F974" t="str">
        <f t="shared" si="46"/>
        <v>Jan</v>
      </c>
      <c r="G974">
        <v>1</v>
      </c>
      <c r="H974">
        <f>_xlfn.XLOOKUP(C974,Products!A:A,Products!D:D)</f>
        <v>155.08000000000001</v>
      </c>
      <c r="I974">
        <v>20</v>
      </c>
      <c r="J974">
        <f t="shared" si="47"/>
        <v>124.06400000000002</v>
      </c>
      <c r="K974" t="s">
        <v>2015</v>
      </c>
      <c r="L974" t="str">
        <f>_xlfn.XLOOKUP(Orders[[#This Row],[ProductID]],Products!A:A,Products!C:C)</f>
        <v>Clothing</v>
      </c>
    </row>
    <row r="975" spans="1:12" x14ac:dyDescent="0.3">
      <c r="A975">
        <v>974</v>
      </c>
      <c r="B975">
        <v>877</v>
      </c>
      <c r="C975">
        <v>49</v>
      </c>
      <c r="D975" t="s">
        <v>2188</v>
      </c>
      <c r="E975">
        <f t="shared" si="45"/>
        <v>2023</v>
      </c>
      <c r="F975" t="str">
        <f t="shared" si="46"/>
        <v>Dec</v>
      </c>
      <c r="G975">
        <v>3</v>
      </c>
      <c r="H975">
        <f>_xlfn.XLOOKUP(C975,Products!A:A,Products!D:D)</f>
        <v>974.54</v>
      </c>
      <c r="I975">
        <v>0</v>
      </c>
      <c r="J975">
        <f t="shared" si="47"/>
        <v>2923.62</v>
      </c>
      <c r="K975" t="s">
        <v>2015</v>
      </c>
      <c r="L975" t="str">
        <f>_xlfn.XLOOKUP(Orders[[#This Row],[ProductID]],Products!A:A,Products!C:C)</f>
        <v>Home</v>
      </c>
    </row>
    <row r="976" spans="1:12" x14ac:dyDescent="0.3">
      <c r="A976">
        <v>975</v>
      </c>
      <c r="B976">
        <v>878</v>
      </c>
      <c r="C976">
        <v>62</v>
      </c>
      <c r="D976" t="s">
        <v>446</v>
      </c>
      <c r="E976">
        <f t="shared" si="45"/>
        <v>2023</v>
      </c>
      <c r="F976" t="str">
        <f t="shared" si="46"/>
        <v>Jan</v>
      </c>
      <c r="G976">
        <v>2</v>
      </c>
      <c r="H976">
        <f>_xlfn.XLOOKUP(C976,Products!A:A,Products!D:D)</f>
        <v>196.96</v>
      </c>
      <c r="I976">
        <v>15</v>
      </c>
      <c r="J976">
        <f t="shared" si="47"/>
        <v>334.83199999999999</v>
      </c>
      <c r="K976" t="s">
        <v>2021</v>
      </c>
      <c r="L976" t="str">
        <f>_xlfn.XLOOKUP(Orders[[#This Row],[ProductID]],Products!A:A,Products!C:C)</f>
        <v>Electronics</v>
      </c>
    </row>
    <row r="977" spans="1:12" x14ac:dyDescent="0.3">
      <c r="A977">
        <v>976</v>
      </c>
      <c r="B977">
        <v>878</v>
      </c>
      <c r="C977">
        <v>56</v>
      </c>
      <c r="D977" t="s">
        <v>2214</v>
      </c>
      <c r="E977">
        <f t="shared" si="45"/>
        <v>2023</v>
      </c>
      <c r="F977" t="str">
        <f t="shared" si="46"/>
        <v>Dec</v>
      </c>
      <c r="G977">
        <v>2</v>
      </c>
      <c r="H977">
        <f>_xlfn.XLOOKUP(C977,Products!A:A,Products!D:D)</f>
        <v>396.01</v>
      </c>
      <c r="I977">
        <v>20</v>
      </c>
      <c r="J977">
        <f t="shared" si="47"/>
        <v>633.61599999999999</v>
      </c>
      <c r="K977" t="s">
        <v>2021</v>
      </c>
      <c r="L977" t="str">
        <f>_xlfn.XLOOKUP(Orders[[#This Row],[ProductID]],Products!A:A,Products!C:C)</f>
        <v>Home</v>
      </c>
    </row>
    <row r="978" spans="1:12" x14ac:dyDescent="0.3">
      <c r="A978">
        <v>977</v>
      </c>
      <c r="B978">
        <v>879</v>
      </c>
      <c r="C978">
        <v>15</v>
      </c>
      <c r="D978" t="s">
        <v>871</v>
      </c>
      <c r="E978">
        <f t="shared" si="45"/>
        <v>2023</v>
      </c>
      <c r="F978" t="str">
        <f t="shared" si="46"/>
        <v>Aug</v>
      </c>
      <c r="G978">
        <v>1</v>
      </c>
      <c r="H978">
        <f>_xlfn.XLOOKUP(C978,Products!A:A,Products!D:D)</f>
        <v>1183.2</v>
      </c>
      <c r="I978">
        <v>20</v>
      </c>
      <c r="J978">
        <f t="shared" si="47"/>
        <v>946.56000000000006</v>
      </c>
      <c r="K978" t="s">
        <v>2024</v>
      </c>
      <c r="L978" t="str">
        <f>_xlfn.XLOOKUP(Orders[[#This Row],[ProductID]],Products!A:A,Products!C:C)</f>
        <v>Electronics</v>
      </c>
    </row>
    <row r="979" spans="1:12" x14ac:dyDescent="0.3">
      <c r="A979">
        <v>978</v>
      </c>
      <c r="B979">
        <v>879</v>
      </c>
      <c r="C979">
        <v>46</v>
      </c>
      <c r="D979" t="s">
        <v>2091</v>
      </c>
      <c r="E979">
        <f t="shared" si="45"/>
        <v>2023</v>
      </c>
      <c r="F979" t="str">
        <f t="shared" si="46"/>
        <v>Apr</v>
      </c>
      <c r="G979">
        <v>2</v>
      </c>
      <c r="H979">
        <f>_xlfn.XLOOKUP(C979,Products!A:A,Products!D:D)</f>
        <v>1155.3</v>
      </c>
      <c r="I979">
        <v>15</v>
      </c>
      <c r="J979">
        <f t="shared" si="47"/>
        <v>1964.0099999999998</v>
      </c>
      <c r="K979" t="s">
        <v>2019</v>
      </c>
      <c r="L979" t="str">
        <f>_xlfn.XLOOKUP(Orders[[#This Row],[ProductID]],Products!A:A,Products!C:C)</f>
        <v>Beauty</v>
      </c>
    </row>
    <row r="980" spans="1:12" x14ac:dyDescent="0.3">
      <c r="A980">
        <v>979</v>
      </c>
      <c r="B980">
        <v>880</v>
      </c>
      <c r="C980">
        <v>31</v>
      </c>
      <c r="D980" t="s">
        <v>855</v>
      </c>
      <c r="E980">
        <f t="shared" si="45"/>
        <v>2023</v>
      </c>
      <c r="F980" t="str">
        <f t="shared" si="46"/>
        <v>Apr</v>
      </c>
      <c r="G980">
        <v>1</v>
      </c>
      <c r="H980">
        <f>_xlfn.XLOOKUP(C980,Products!A:A,Products!D:D)</f>
        <v>131.79</v>
      </c>
      <c r="I980">
        <v>20</v>
      </c>
      <c r="J980">
        <f t="shared" si="47"/>
        <v>105.432</v>
      </c>
      <c r="K980" t="s">
        <v>2019</v>
      </c>
      <c r="L980" t="str">
        <f>_xlfn.XLOOKUP(Orders[[#This Row],[ProductID]],Products!A:A,Products!C:C)</f>
        <v>Beauty</v>
      </c>
    </row>
    <row r="981" spans="1:12" x14ac:dyDescent="0.3">
      <c r="A981">
        <v>980</v>
      </c>
      <c r="B981">
        <v>880</v>
      </c>
      <c r="C981">
        <v>30</v>
      </c>
      <c r="D981" t="s">
        <v>351</v>
      </c>
      <c r="E981">
        <f t="shared" si="45"/>
        <v>2023</v>
      </c>
      <c r="F981" t="str">
        <f t="shared" si="46"/>
        <v>Jul</v>
      </c>
      <c r="G981">
        <v>3</v>
      </c>
      <c r="H981">
        <f>_xlfn.XLOOKUP(C981,Products!A:A,Products!D:D)</f>
        <v>866.89</v>
      </c>
      <c r="I981">
        <v>20</v>
      </c>
      <c r="J981">
        <f t="shared" si="47"/>
        <v>2080.5360000000001</v>
      </c>
      <c r="K981" t="s">
        <v>2015</v>
      </c>
      <c r="L981" t="str">
        <f>_xlfn.XLOOKUP(Orders[[#This Row],[ProductID]],Products!A:A,Products!C:C)</f>
        <v>Electronics</v>
      </c>
    </row>
    <row r="982" spans="1:12" x14ac:dyDescent="0.3">
      <c r="A982">
        <v>981</v>
      </c>
      <c r="B982">
        <v>881</v>
      </c>
      <c r="C982">
        <v>6</v>
      </c>
      <c r="D982" t="s">
        <v>2061</v>
      </c>
      <c r="E982">
        <f t="shared" si="45"/>
        <v>2024</v>
      </c>
      <c r="F982" t="str">
        <f t="shared" si="46"/>
        <v>Feb</v>
      </c>
      <c r="G982">
        <v>1</v>
      </c>
      <c r="H982">
        <f>_xlfn.XLOOKUP(C982,Products!A:A,Products!D:D)</f>
        <v>719.19</v>
      </c>
      <c r="I982">
        <v>5</v>
      </c>
      <c r="J982">
        <f t="shared" si="47"/>
        <v>683.23050000000001</v>
      </c>
      <c r="K982" t="s">
        <v>2019</v>
      </c>
      <c r="L982" t="str">
        <f>_xlfn.XLOOKUP(Orders[[#This Row],[ProductID]],Products!A:A,Products!C:C)</f>
        <v>Clothing</v>
      </c>
    </row>
    <row r="983" spans="1:12" x14ac:dyDescent="0.3">
      <c r="A983">
        <v>982</v>
      </c>
      <c r="B983">
        <v>881</v>
      </c>
      <c r="C983">
        <v>10</v>
      </c>
      <c r="D983" t="s">
        <v>66</v>
      </c>
      <c r="E983">
        <f t="shared" si="45"/>
        <v>2023</v>
      </c>
      <c r="F983" t="str">
        <f t="shared" si="46"/>
        <v>Jan</v>
      </c>
      <c r="G983">
        <v>1</v>
      </c>
      <c r="H983">
        <f>_xlfn.XLOOKUP(C983,Products!A:A,Products!D:D)</f>
        <v>64.11</v>
      </c>
      <c r="I983">
        <v>15</v>
      </c>
      <c r="J983">
        <f t="shared" si="47"/>
        <v>54.493499999999997</v>
      </c>
      <c r="K983" t="s">
        <v>2021</v>
      </c>
      <c r="L983" t="str">
        <f>_xlfn.XLOOKUP(Orders[[#This Row],[ProductID]],Products!A:A,Products!C:C)</f>
        <v>Clothing</v>
      </c>
    </row>
    <row r="984" spans="1:12" x14ac:dyDescent="0.3">
      <c r="A984">
        <v>983</v>
      </c>
      <c r="B984">
        <v>882</v>
      </c>
      <c r="C984">
        <v>37</v>
      </c>
      <c r="D984" t="s">
        <v>2129</v>
      </c>
      <c r="E984">
        <f t="shared" si="45"/>
        <v>2023</v>
      </c>
      <c r="F984" t="str">
        <f t="shared" si="46"/>
        <v>Jan</v>
      </c>
      <c r="G984">
        <v>2</v>
      </c>
      <c r="H984">
        <f>_xlfn.XLOOKUP(C984,Products!A:A,Products!D:D)</f>
        <v>968.87</v>
      </c>
      <c r="I984">
        <v>10</v>
      </c>
      <c r="J984">
        <f t="shared" si="47"/>
        <v>1743.9660000000001</v>
      </c>
      <c r="K984" t="s">
        <v>2015</v>
      </c>
      <c r="L984" t="str">
        <f>_xlfn.XLOOKUP(Orders[[#This Row],[ProductID]],Products!A:A,Products!C:C)</f>
        <v>Home</v>
      </c>
    </row>
    <row r="985" spans="1:12" x14ac:dyDescent="0.3">
      <c r="A985">
        <v>984</v>
      </c>
      <c r="B985">
        <v>882</v>
      </c>
      <c r="C985">
        <v>32</v>
      </c>
      <c r="D985" t="s">
        <v>916</v>
      </c>
      <c r="E985">
        <f t="shared" si="45"/>
        <v>2023</v>
      </c>
      <c r="F985" t="str">
        <f t="shared" si="46"/>
        <v>May</v>
      </c>
      <c r="G985">
        <v>1</v>
      </c>
      <c r="H985">
        <f>_xlfn.XLOOKUP(C985,Products!A:A,Products!D:D)</f>
        <v>342.57</v>
      </c>
      <c r="I985">
        <v>20</v>
      </c>
      <c r="J985">
        <f t="shared" si="47"/>
        <v>274.05599999999998</v>
      </c>
      <c r="K985" t="s">
        <v>2017</v>
      </c>
      <c r="L985" t="str">
        <f>_xlfn.XLOOKUP(Orders[[#This Row],[ProductID]],Products!A:A,Products!C:C)</f>
        <v>Clothing</v>
      </c>
    </row>
    <row r="986" spans="1:12" x14ac:dyDescent="0.3">
      <c r="A986">
        <v>985</v>
      </c>
      <c r="B986">
        <v>883</v>
      </c>
      <c r="C986">
        <v>62</v>
      </c>
      <c r="D986" t="s">
        <v>2136</v>
      </c>
      <c r="E986">
        <f t="shared" si="45"/>
        <v>2023</v>
      </c>
      <c r="F986" t="str">
        <f t="shared" si="46"/>
        <v>Dec</v>
      </c>
      <c r="G986">
        <v>1</v>
      </c>
      <c r="H986">
        <f>_xlfn.XLOOKUP(C986,Products!A:A,Products!D:D)</f>
        <v>196.96</v>
      </c>
      <c r="I986">
        <v>0</v>
      </c>
      <c r="J986">
        <f t="shared" si="47"/>
        <v>196.96</v>
      </c>
      <c r="K986" t="s">
        <v>2019</v>
      </c>
      <c r="L986" t="str">
        <f>_xlfn.XLOOKUP(Orders[[#This Row],[ProductID]],Products!A:A,Products!C:C)</f>
        <v>Electronics</v>
      </c>
    </row>
    <row r="987" spans="1:12" x14ac:dyDescent="0.3">
      <c r="A987">
        <v>986</v>
      </c>
      <c r="B987">
        <v>883</v>
      </c>
      <c r="C987">
        <v>33</v>
      </c>
      <c r="D987" t="s">
        <v>2093</v>
      </c>
      <c r="E987">
        <f t="shared" si="45"/>
        <v>2024</v>
      </c>
      <c r="F987" t="str">
        <f t="shared" si="46"/>
        <v>Apr</v>
      </c>
      <c r="G987">
        <v>3</v>
      </c>
      <c r="H987">
        <f>_xlfn.XLOOKUP(C987,Products!A:A,Products!D:D)</f>
        <v>965.4</v>
      </c>
      <c r="I987">
        <v>5</v>
      </c>
      <c r="J987">
        <f t="shared" si="47"/>
        <v>2751.39</v>
      </c>
      <c r="K987" t="s">
        <v>2017</v>
      </c>
      <c r="L987" t="str">
        <f>_xlfn.XLOOKUP(Orders[[#This Row],[ProductID]],Products!A:A,Products!C:C)</f>
        <v>Beauty</v>
      </c>
    </row>
    <row r="988" spans="1:12" x14ac:dyDescent="0.3">
      <c r="A988">
        <v>987</v>
      </c>
      <c r="B988">
        <v>884</v>
      </c>
      <c r="C988">
        <v>46</v>
      </c>
      <c r="D988" t="s">
        <v>2164</v>
      </c>
      <c r="E988">
        <f t="shared" si="45"/>
        <v>2024</v>
      </c>
      <c r="F988" t="str">
        <f t="shared" si="46"/>
        <v>Apr</v>
      </c>
      <c r="G988">
        <v>1</v>
      </c>
      <c r="H988">
        <f>_xlfn.XLOOKUP(C988,Products!A:A,Products!D:D)</f>
        <v>1155.3</v>
      </c>
      <c r="I988">
        <v>15</v>
      </c>
      <c r="J988">
        <f t="shared" si="47"/>
        <v>982.00499999999988</v>
      </c>
      <c r="K988" t="s">
        <v>2024</v>
      </c>
      <c r="L988" t="str">
        <f>_xlfn.XLOOKUP(Orders[[#This Row],[ProductID]],Products!A:A,Products!C:C)</f>
        <v>Beauty</v>
      </c>
    </row>
    <row r="989" spans="1:12" x14ac:dyDescent="0.3">
      <c r="A989">
        <v>988</v>
      </c>
      <c r="B989">
        <v>884</v>
      </c>
      <c r="C989">
        <v>47</v>
      </c>
      <c r="D989" t="s">
        <v>2180</v>
      </c>
      <c r="E989">
        <f t="shared" si="45"/>
        <v>2024</v>
      </c>
      <c r="F989" t="str">
        <f t="shared" si="46"/>
        <v>Feb</v>
      </c>
      <c r="G989">
        <v>3</v>
      </c>
      <c r="H989">
        <f>_xlfn.XLOOKUP(C989,Products!A:A,Products!D:D)</f>
        <v>1126.96</v>
      </c>
      <c r="I989">
        <v>10</v>
      </c>
      <c r="J989">
        <f t="shared" si="47"/>
        <v>3042.7920000000004</v>
      </c>
      <c r="K989" t="s">
        <v>2021</v>
      </c>
      <c r="L989" t="str">
        <f>_xlfn.XLOOKUP(Orders[[#This Row],[ProductID]],Products!A:A,Products!C:C)</f>
        <v>Beauty</v>
      </c>
    </row>
    <row r="990" spans="1:12" x14ac:dyDescent="0.3">
      <c r="A990">
        <v>989</v>
      </c>
      <c r="B990">
        <v>885</v>
      </c>
      <c r="C990">
        <v>68</v>
      </c>
      <c r="D990" t="s">
        <v>2047</v>
      </c>
      <c r="E990">
        <f t="shared" si="45"/>
        <v>2024</v>
      </c>
      <c r="F990" t="str">
        <f t="shared" si="46"/>
        <v>Apr</v>
      </c>
      <c r="G990">
        <v>2</v>
      </c>
      <c r="H990">
        <f>_xlfn.XLOOKUP(C990,Products!A:A,Products!D:D)</f>
        <v>180.99</v>
      </c>
      <c r="I990">
        <v>10</v>
      </c>
      <c r="J990">
        <f t="shared" si="47"/>
        <v>325.78200000000004</v>
      </c>
      <c r="K990" t="s">
        <v>2015</v>
      </c>
      <c r="L990" t="str">
        <f>_xlfn.XLOOKUP(Orders[[#This Row],[ProductID]],Products!A:A,Products!C:C)</f>
        <v>Clothing</v>
      </c>
    </row>
    <row r="991" spans="1:12" x14ac:dyDescent="0.3">
      <c r="A991">
        <v>990</v>
      </c>
      <c r="B991">
        <v>885</v>
      </c>
      <c r="C991">
        <v>65</v>
      </c>
      <c r="D991" t="s">
        <v>1452</v>
      </c>
      <c r="E991">
        <f t="shared" si="45"/>
        <v>2023</v>
      </c>
      <c r="F991" t="str">
        <f t="shared" si="46"/>
        <v>Feb</v>
      </c>
      <c r="G991">
        <v>1</v>
      </c>
      <c r="H991">
        <f>_xlfn.XLOOKUP(C991,Products!A:A,Products!D:D)</f>
        <v>1189.73</v>
      </c>
      <c r="I991">
        <v>10</v>
      </c>
      <c r="J991">
        <f t="shared" si="47"/>
        <v>1070.7570000000001</v>
      </c>
      <c r="K991" t="s">
        <v>2017</v>
      </c>
      <c r="L991" t="str">
        <f>_xlfn.XLOOKUP(Orders[[#This Row],[ProductID]],Products!A:A,Products!C:C)</f>
        <v>Home</v>
      </c>
    </row>
    <row r="992" spans="1:12" x14ac:dyDescent="0.3">
      <c r="A992">
        <v>991</v>
      </c>
      <c r="B992">
        <v>886</v>
      </c>
      <c r="C992">
        <v>80</v>
      </c>
      <c r="D992" t="s">
        <v>1470</v>
      </c>
      <c r="E992">
        <f t="shared" si="45"/>
        <v>2023</v>
      </c>
      <c r="F992" t="str">
        <f t="shared" si="46"/>
        <v>Sep</v>
      </c>
      <c r="G992">
        <v>2</v>
      </c>
      <c r="H992">
        <f>_xlfn.XLOOKUP(C992,Products!A:A,Products!D:D)</f>
        <v>1014.45</v>
      </c>
      <c r="I992">
        <v>0</v>
      </c>
      <c r="J992">
        <f t="shared" si="47"/>
        <v>2028.9</v>
      </c>
      <c r="K992" t="s">
        <v>2021</v>
      </c>
      <c r="L992" t="str">
        <f>_xlfn.XLOOKUP(Orders[[#This Row],[ProductID]],Products!A:A,Products!C:C)</f>
        <v>Beauty</v>
      </c>
    </row>
    <row r="993" spans="1:12" x14ac:dyDescent="0.3">
      <c r="A993">
        <v>992</v>
      </c>
      <c r="B993">
        <v>886</v>
      </c>
      <c r="C993">
        <v>18</v>
      </c>
      <c r="D993" t="s">
        <v>2098</v>
      </c>
      <c r="E993">
        <f t="shared" si="45"/>
        <v>2024</v>
      </c>
      <c r="F993" t="str">
        <f t="shared" si="46"/>
        <v>Mar</v>
      </c>
      <c r="G993">
        <v>3</v>
      </c>
      <c r="H993">
        <f>_xlfn.XLOOKUP(C993,Products!A:A,Products!D:D)</f>
        <v>138.07</v>
      </c>
      <c r="I993">
        <v>5</v>
      </c>
      <c r="J993">
        <f t="shared" si="47"/>
        <v>393.49949999999995</v>
      </c>
      <c r="K993" t="s">
        <v>2024</v>
      </c>
      <c r="L993" t="str">
        <f>_xlfn.XLOOKUP(Orders[[#This Row],[ProductID]],Products!A:A,Products!C:C)</f>
        <v>Home</v>
      </c>
    </row>
    <row r="994" spans="1:12" x14ac:dyDescent="0.3">
      <c r="A994">
        <v>993</v>
      </c>
      <c r="B994">
        <v>887</v>
      </c>
      <c r="C994">
        <v>71</v>
      </c>
      <c r="D994" t="s">
        <v>640</v>
      </c>
      <c r="E994">
        <f t="shared" si="45"/>
        <v>2023</v>
      </c>
      <c r="F994" t="str">
        <f t="shared" si="46"/>
        <v>Apr</v>
      </c>
      <c r="G994">
        <v>1</v>
      </c>
      <c r="H994">
        <f>_xlfn.XLOOKUP(C994,Products!A:A,Products!D:D)</f>
        <v>780.27</v>
      </c>
      <c r="I994">
        <v>10</v>
      </c>
      <c r="J994">
        <f t="shared" si="47"/>
        <v>702.24300000000005</v>
      </c>
      <c r="K994" t="s">
        <v>2021</v>
      </c>
      <c r="L994" t="str">
        <f>_xlfn.XLOOKUP(Orders[[#This Row],[ProductID]],Products!A:A,Products!C:C)</f>
        <v>Electronics</v>
      </c>
    </row>
    <row r="995" spans="1:12" x14ac:dyDescent="0.3">
      <c r="A995">
        <v>994</v>
      </c>
      <c r="B995">
        <v>887</v>
      </c>
      <c r="C995">
        <v>5</v>
      </c>
      <c r="D995" t="s">
        <v>2170</v>
      </c>
      <c r="E995">
        <f t="shared" si="45"/>
        <v>2024</v>
      </c>
      <c r="F995" t="str">
        <f t="shared" si="46"/>
        <v>May</v>
      </c>
      <c r="G995">
        <v>1</v>
      </c>
      <c r="H995">
        <f>_xlfn.XLOOKUP(C995,Products!A:A,Products!D:D)</f>
        <v>296.85000000000002</v>
      </c>
      <c r="I995">
        <v>15</v>
      </c>
      <c r="J995">
        <f t="shared" si="47"/>
        <v>252.32250000000002</v>
      </c>
      <c r="K995" t="s">
        <v>2017</v>
      </c>
      <c r="L995" t="str">
        <f>_xlfn.XLOOKUP(Orders[[#This Row],[ProductID]],Products!A:A,Products!C:C)</f>
        <v>Clothing</v>
      </c>
    </row>
    <row r="996" spans="1:12" x14ac:dyDescent="0.3">
      <c r="A996">
        <v>995</v>
      </c>
      <c r="B996">
        <v>888</v>
      </c>
      <c r="C996">
        <v>15</v>
      </c>
      <c r="D996" t="s">
        <v>2048</v>
      </c>
      <c r="E996">
        <f t="shared" si="45"/>
        <v>2023</v>
      </c>
      <c r="F996" t="str">
        <f t="shared" si="46"/>
        <v>Jan</v>
      </c>
      <c r="G996">
        <v>2</v>
      </c>
      <c r="H996">
        <f>_xlfn.XLOOKUP(C996,Products!A:A,Products!D:D)</f>
        <v>1183.2</v>
      </c>
      <c r="I996">
        <v>0</v>
      </c>
      <c r="J996">
        <f t="shared" si="47"/>
        <v>2366.4</v>
      </c>
      <c r="K996" t="s">
        <v>2024</v>
      </c>
      <c r="L996" t="str">
        <f>_xlfn.XLOOKUP(Orders[[#This Row],[ProductID]],Products!A:A,Products!C:C)</f>
        <v>Electronics</v>
      </c>
    </row>
    <row r="997" spans="1:12" x14ac:dyDescent="0.3">
      <c r="A997">
        <v>996</v>
      </c>
      <c r="B997">
        <v>888</v>
      </c>
      <c r="C997">
        <v>36</v>
      </c>
      <c r="D997" t="s">
        <v>2079</v>
      </c>
      <c r="E997">
        <f t="shared" si="45"/>
        <v>2023</v>
      </c>
      <c r="F997" t="str">
        <f t="shared" si="46"/>
        <v>Oct</v>
      </c>
      <c r="G997">
        <v>2</v>
      </c>
      <c r="H997">
        <f>_xlfn.XLOOKUP(C997,Products!A:A,Products!D:D)</f>
        <v>992.01</v>
      </c>
      <c r="I997">
        <v>10</v>
      </c>
      <c r="J997">
        <f t="shared" si="47"/>
        <v>1785.6179999999999</v>
      </c>
      <c r="K997" t="s">
        <v>2019</v>
      </c>
      <c r="L997" t="str">
        <f>_xlfn.XLOOKUP(Orders[[#This Row],[ProductID]],Products!A:A,Products!C:C)</f>
        <v>Beauty</v>
      </c>
    </row>
    <row r="998" spans="1:12" x14ac:dyDescent="0.3">
      <c r="A998">
        <v>997</v>
      </c>
      <c r="B998">
        <v>889</v>
      </c>
      <c r="C998">
        <v>8</v>
      </c>
      <c r="D998" t="s">
        <v>2215</v>
      </c>
      <c r="E998">
        <f t="shared" si="45"/>
        <v>2023</v>
      </c>
      <c r="F998" t="str">
        <f t="shared" si="46"/>
        <v>May</v>
      </c>
      <c r="G998">
        <v>3</v>
      </c>
      <c r="H998">
        <f>_xlfn.XLOOKUP(C998,Products!A:A,Products!D:D)</f>
        <v>155.08000000000001</v>
      </c>
      <c r="I998">
        <v>15</v>
      </c>
      <c r="J998">
        <f t="shared" si="47"/>
        <v>395.45400000000001</v>
      </c>
      <c r="K998" t="s">
        <v>2017</v>
      </c>
      <c r="L998" t="str">
        <f>_xlfn.XLOOKUP(Orders[[#This Row],[ProductID]],Products!A:A,Products!C:C)</f>
        <v>Clothing</v>
      </c>
    </row>
    <row r="999" spans="1:12" x14ac:dyDescent="0.3">
      <c r="A999">
        <v>998</v>
      </c>
      <c r="B999">
        <v>889</v>
      </c>
      <c r="C999">
        <v>3</v>
      </c>
      <c r="D999" t="s">
        <v>2216</v>
      </c>
      <c r="E999">
        <f t="shared" si="45"/>
        <v>2024</v>
      </c>
      <c r="F999" t="str">
        <f t="shared" si="46"/>
        <v>Mar</v>
      </c>
      <c r="G999">
        <v>2</v>
      </c>
      <c r="H999">
        <f>_xlfn.XLOOKUP(C999,Products!A:A,Products!D:D)</f>
        <v>506.08</v>
      </c>
      <c r="I999">
        <v>15</v>
      </c>
      <c r="J999">
        <f t="shared" si="47"/>
        <v>860.3359999999999</v>
      </c>
      <c r="K999" t="s">
        <v>2017</v>
      </c>
      <c r="L999" t="str">
        <f>_xlfn.XLOOKUP(Orders[[#This Row],[ProductID]],Products!A:A,Products!C:C)</f>
        <v>Clothing</v>
      </c>
    </row>
    <row r="1000" spans="1:12" x14ac:dyDescent="0.3">
      <c r="A1000">
        <v>999</v>
      </c>
      <c r="B1000">
        <v>890</v>
      </c>
      <c r="C1000">
        <v>6</v>
      </c>
      <c r="D1000" t="s">
        <v>1726</v>
      </c>
      <c r="E1000">
        <f t="shared" si="45"/>
        <v>2023</v>
      </c>
      <c r="F1000" t="str">
        <f t="shared" si="46"/>
        <v>Apr</v>
      </c>
      <c r="G1000">
        <v>1</v>
      </c>
      <c r="H1000">
        <f>_xlfn.XLOOKUP(C1000,Products!A:A,Products!D:D)</f>
        <v>719.19</v>
      </c>
      <c r="I1000">
        <v>15</v>
      </c>
      <c r="J1000">
        <f t="shared" si="47"/>
        <v>611.31150000000002</v>
      </c>
      <c r="K1000" t="s">
        <v>2021</v>
      </c>
      <c r="L1000" t="str">
        <f>_xlfn.XLOOKUP(Orders[[#This Row],[ProductID]],Products!A:A,Products!C:C)</f>
        <v>Clothing</v>
      </c>
    </row>
    <row r="1001" spans="1:12" x14ac:dyDescent="0.3">
      <c r="A1001">
        <v>1000</v>
      </c>
      <c r="B1001">
        <v>890</v>
      </c>
      <c r="C1001">
        <v>56</v>
      </c>
      <c r="D1001" t="s">
        <v>399</v>
      </c>
      <c r="E1001">
        <f t="shared" si="45"/>
        <v>2023</v>
      </c>
      <c r="F1001" t="str">
        <f t="shared" si="46"/>
        <v>Sep</v>
      </c>
      <c r="G1001">
        <v>1</v>
      </c>
      <c r="H1001">
        <f>_xlfn.XLOOKUP(C1001,Products!A:A,Products!D:D)</f>
        <v>396.01</v>
      </c>
      <c r="I1001">
        <v>10</v>
      </c>
      <c r="J1001">
        <f t="shared" si="47"/>
        <v>356.40899999999999</v>
      </c>
      <c r="K1001" t="s">
        <v>2019</v>
      </c>
      <c r="L1001" t="str">
        <f>_xlfn.XLOOKUP(Orders[[#This Row],[ProductID]],Products!A:A,Products!C:C)</f>
        <v>Home</v>
      </c>
    </row>
    <row r="1002" spans="1:12" x14ac:dyDescent="0.3">
      <c r="A1002">
        <v>1001</v>
      </c>
      <c r="B1002">
        <v>891</v>
      </c>
      <c r="C1002">
        <v>70</v>
      </c>
      <c r="D1002" t="s">
        <v>2127</v>
      </c>
      <c r="E1002">
        <f t="shared" si="45"/>
        <v>2024</v>
      </c>
      <c r="F1002" t="str">
        <f t="shared" si="46"/>
        <v>Jan</v>
      </c>
      <c r="G1002">
        <v>2</v>
      </c>
      <c r="H1002">
        <f>_xlfn.XLOOKUP(C1002,Products!A:A,Products!D:D)</f>
        <v>797.23</v>
      </c>
      <c r="I1002">
        <v>0</v>
      </c>
      <c r="J1002">
        <f t="shared" si="47"/>
        <v>1594.46</v>
      </c>
      <c r="K1002" t="s">
        <v>2015</v>
      </c>
      <c r="L1002" t="str">
        <f>_xlfn.XLOOKUP(Orders[[#This Row],[ProductID]],Products!A:A,Products!C:C)</f>
        <v>Clothing</v>
      </c>
    </row>
    <row r="1003" spans="1:12" x14ac:dyDescent="0.3">
      <c r="A1003">
        <v>1002</v>
      </c>
      <c r="B1003">
        <v>891</v>
      </c>
      <c r="C1003">
        <v>44</v>
      </c>
      <c r="D1003" t="s">
        <v>2122</v>
      </c>
      <c r="E1003">
        <f t="shared" si="45"/>
        <v>2024</v>
      </c>
      <c r="F1003" t="str">
        <f t="shared" si="46"/>
        <v>Apr</v>
      </c>
      <c r="G1003">
        <v>2</v>
      </c>
      <c r="H1003">
        <f>_xlfn.XLOOKUP(C1003,Products!A:A,Products!D:D)</f>
        <v>1038</v>
      </c>
      <c r="I1003">
        <v>20</v>
      </c>
      <c r="J1003">
        <f t="shared" si="47"/>
        <v>1660.8000000000002</v>
      </c>
      <c r="K1003" t="s">
        <v>2021</v>
      </c>
      <c r="L1003" t="str">
        <f>_xlfn.XLOOKUP(Orders[[#This Row],[ProductID]],Products!A:A,Products!C:C)</f>
        <v>Home</v>
      </c>
    </row>
    <row r="1004" spans="1:12" x14ac:dyDescent="0.3">
      <c r="A1004">
        <v>1003</v>
      </c>
      <c r="B1004">
        <v>892</v>
      </c>
      <c r="C1004">
        <v>4</v>
      </c>
      <c r="D1004" t="s">
        <v>623</v>
      </c>
      <c r="E1004">
        <f t="shared" si="45"/>
        <v>2023</v>
      </c>
      <c r="F1004" t="str">
        <f t="shared" si="46"/>
        <v>Jun</v>
      </c>
      <c r="G1004">
        <v>3</v>
      </c>
      <c r="H1004">
        <f>_xlfn.XLOOKUP(C1004,Products!A:A,Products!D:D)</f>
        <v>800.26</v>
      </c>
      <c r="I1004">
        <v>20</v>
      </c>
      <c r="J1004">
        <f t="shared" si="47"/>
        <v>1920.6239999999998</v>
      </c>
      <c r="K1004" t="s">
        <v>2017</v>
      </c>
      <c r="L1004" t="str">
        <f>_xlfn.XLOOKUP(Orders[[#This Row],[ProductID]],Products!A:A,Products!C:C)</f>
        <v>Electronics</v>
      </c>
    </row>
    <row r="1005" spans="1:12" x14ac:dyDescent="0.3">
      <c r="A1005">
        <v>1004</v>
      </c>
      <c r="B1005">
        <v>892</v>
      </c>
      <c r="C1005">
        <v>55</v>
      </c>
      <c r="D1005" t="s">
        <v>2193</v>
      </c>
      <c r="E1005">
        <f t="shared" si="45"/>
        <v>2024</v>
      </c>
      <c r="F1005" t="str">
        <f t="shared" si="46"/>
        <v>Feb</v>
      </c>
      <c r="G1005">
        <v>3</v>
      </c>
      <c r="H1005">
        <f>_xlfn.XLOOKUP(C1005,Products!A:A,Products!D:D)</f>
        <v>1016.06</v>
      </c>
      <c r="I1005">
        <v>0</v>
      </c>
      <c r="J1005">
        <f t="shared" si="47"/>
        <v>3048.18</v>
      </c>
      <c r="K1005" t="s">
        <v>2019</v>
      </c>
      <c r="L1005" t="str">
        <f>_xlfn.XLOOKUP(Orders[[#This Row],[ProductID]],Products!A:A,Products!C:C)</f>
        <v>Clothing</v>
      </c>
    </row>
    <row r="1006" spans="1:12" x14ac:dyDescent="0.3">
      <c r="A1006">
        <v>1005</v>
      </c>
      <c r="B1006">
        <v>893</v>
      </c>
      <c r="C1006">
        <v>71</v>
      </c>
      <c r="D1006" t="s">
        <v>1136</v>
      </c>
      <c r="E1006">
        <f t="shared" si="45"/>
        <v>2023</v>
      </c>
      <c r="F1006" t="str">
        <f t="shared" si="46"/>
        <v>Jul</v>
      </c>
      <c r="G1006">
        <v>3</v>
      </c>
      <c r="H1006">
        <f>_xlfn.XLOOKUP(C1006,Products!A:A,Products!D:D)</f>
        <v>780.27</v>
      </c>
      <c r="I1006">
        <v>10</v>
      </c>
      <c r="J1006">
        <f t="shared" si="47"/>
        <v>2106.7289999999998</v>
      </c>
      <c r="K1006" t="s">
        <v>2015</v>
      </c>
      <c r="L1006" t="str">
        <f>_xlfn.XLOOKUP(Orders[[#This Row],[ProductID]],Products!A:A,Products!C:C)</f>
        <v>Electronics</v>
      </c>
    </row>
    <row r="1007" spans="1:12" x14ac:dyDescent="0.3">
      <c r="A1007">
        <v>1006</v>
      </c>
      <c r="B1007">
        <v>893</v>
      </c>
      <c r="C1007">
        <v>60</v>
      </c>
      <c r="D1007" t="s">
        <v>1299</v>
      </c>
      <c r="E1007">
        <f t="shared" si="45"/>
        <v>2023</v>
      </c>
      <c r="F1007" t="str">
        <f t="shared" si="46"/>
        <v>Aug</v>
      </c>
      <c r="G1007">
        <v>3</v>
      </c>
      <c r="H1007">
        <f>_xlfn.XLOOKUP(C1007,Products!A:A,Products!D:D)</f>
        <v>830.49</v>
      </c>
      <c r="I1007">
        <v>20</v>
      </c>
      <c r="J1007">
        <f t="shared" si="47"/>
        <v>1993.1760000000004</v>
      </c>
      <c r="K1007" t="s">
        <v>2015</v>
      </c>
      <c r="L1007" t="str">
        <f>_xlfn.XLOOKUP(Orders[[#This Row],[ProductID]],Products!A:A,Products!C:C)</f>
        <v>Clothing</v>
      </c>
    </row>
    <row r="1008" spans="1:12" x14ac:dyDescent="0.3">
      <c r="A1008">
        <v>1007</v>
      </c>
      <c r="B1008">
        <v>894</v>
      </c>
      <c r="C1008">
        <v>34</v>
      </c>
      <c r="D1008" t="s">
        <v>378</v>
      </c>
      <c r="E1008">
        <f t="shared" si="45"/>
        <v>2023</v>
      </c>
      <c r="F1008" t="str">
        <f t="shared" si="46"/>
        <v>Mar</v>
      </c>
      <c r="G1008">
        <v>2</v>
      </c>
      <c r="H1008">
        <f>_xlfn.XLOOKUP(C1008,Products!A:A,Products!D:D)</f>
        <v>523.98</v>
      </c>
      <c r="I1008">
        <v>15</v>
      </c>
      <c r="J1008">
        <f t="shared" si="47"/>
        <v>890.76599999999996</v>
      </c>
      <c r="K1008" t="s">
        <v>2021</v>
      </c>
      <c r="L1008" t="str">
        <f>_xlfn.XLOOKUP(Orders[[#This Row],[ProductID]],Products!A:A,Products!C:C)</f>
        <v>Home</v>
      </c>
    </row>
    <row r="1009" spans="1:12" x14ac:dyDescent="0.3">
      <c r="A1009">
        <v>1008</v>
      </c>
      <c r="B1009">
        <v>894</v>
      </c>
      <c r="C1009">
        <v>17</v>
      </c>
      <c r="D1009" t="s">
        <v>2206</v>
      </c>
      <c r="E1009">
        <f t="shared" si="45"/>
        <v>2024</v>
      </c>
      <c r="F1009" t="str">
        <f t="shared" si="46"/>
        <v>Apr</v>
      </c>
      <c r="G1009">
        <v>1</v>
      </c>
      <c r="H1009">
        <f>_xlfn.XLOOKUP(C1009,Products!A:A,Products!D:D)</f>
        <v>695.6</v>
      </c>
      <c r="I1009">
        <v>10</v>
      </c>
      <c r="J1009">
        <f t="shared" si="47"/>
        <v>626.04000000000008</v>
      </c>
      <c r="K1009" t="s">
        <v>2024</v>
      </c>
      <c r="L1009" t="str">
        <f>_xlfn.XLOOKUP(Orders[[#This Row],[ProductID]],Products!A:A,Products!C:C)</f>
        <v>Clothing</v>
      </c>
    </row>
    <row r="1010" spans="1:12" x14ac:dyDescent="0.3">
      <c r="A1010">
        <v>1009</v>
      </c>
      <c r="B1010">
        <v>895</v>
      </c>
      <c r="C1010">
        <v>11</v>
      </c>
      <c r="D1010" t="s">
        <v>644</v>
      </c>
      <c r="E1010">
        <f t="shared" si="45"/>
        <v>2023</v>
      </c>
      <c r="F1010" t="str">
        <f t="shared" si="46"/>
        <v>May</v>
      </c>
      <c r="G1010">
        <v>3</v>
      </c>
      <c r="H1010">
        <f>_xlfn.XLOOKUP(C1010,Products!A:A,Products!D:D)</f>
        <v>1038.77</v>
      </c>
      <c r="I1010">
        <v>10</v>
      </c>
      <c r="J1010">
        <f t="shared" si="47"/>
        <v>2804.6790000000001</v>
      </c>
      <c r="K1010" t="s">
        <v>2024</v>
      </c>
      <c r="L1010" t="str">
        <f>_xlfn.XLOOKUP(Orders[[#This Row],[ProductID]],Products!A:A,Products!C:C)</f>
        <v>Beauty</v>
      </c>
    </row>
    <row r="1011" spans="1:12" x14ac:dyDescent="0.3">
      <c r="A1011">
        <v>1010</v>
      </c>
      <c r="B1011">
        <v>895</v>
      </c>
      <c r="C1011">
        <v>74</v>
      </c>
      <c r="D1011" t="s">
        <v>101</v>
      </c>
      <c r="E1011">
        <f t="shared" si="45"/>
        <v>2023</v>
      </c>
      <c r="F1011" t="str">
        <f t="shared" si="46"/>
        <v>Jul</v>
      </c>
      <c r="G1011">
        <v>1</v>
      </c>
      <c r="H1011">
        <f>_xlfn.XLOOKUP(C1011,Products!A:A,Products!D:D)</f>
        <v>1034.31</v>
      </c>
      <c r="I1011">
        <v>20</v>
      </c>
      <c r="J1011">
        <f t="shared" si="47"/>
        <v>827.44799999999998</v>
      </c>
      <c r="K1011" t="s">
        <v>2024</v>
      </c>
      <c r="L1011" t="str">
        <f>_xlfn.XLOOKUP(Orders[[#This Row],[ProductID]],Products!A:A,Products!C:C)</f>
        <v>Electronics</v>
      </c>
    </row>
    <row r="1012" spans="1:12" x14ac:dyDescent="0.3">
      <c r="A1012">
        <v>1011</v>
      </c>
      <c r="B1012">
        <v>896</v>
      </c>
      <c r="C1012">
        <v>47</v>
      </c>
      <c r="D1012" t="s">
        <v>1803</v>
      </c>
      <c r="E1012">
        <f t="shared" si="45"/>
        <v>2023</v>
      </c>
      <c r="F1012" t="str">
        <f t="shared" si="46"/>
        <v>May</v>
      </c>
      <c r="G1012">
        <v>3</v>
      </c>
      <c r="H1012">
        <f>_xlfn.XLOOKUP(C1012,Products!A:A,Products!D:D)</f>
        <v>1126.96</v>
      </c>
      <c r="I1012">
        <v>10</v>
      </c>
      <c r="J1012">
        <f t="shared" si="47"/>
        <v>3042.7920000000004</v>
      </c>
      <c r="K1012" t="s">
        <v>2015</v>
      </c>
      <c r="L1012" t="str">
        <f>_xlfn.XLOOKUP(Orders[[#This Row],[ProductID]],Products!A:A,Products!C:C)</f>
        <v>Beauty</v>
      </c>
    </row>
    <row r="1013" spans="1:12" x14ac:dyDescent="0.3">
      <c r="A1013">
        <v>1012</v>
      </c>
      <c r="B1013">
        <v>896</v>
      </c>
      <c r="C1013">
        <v>2</v>
      </c>
      <c r="D1013" t="s">
        <v>974</v>
      </c>
      <c r="E1013">
        <f t="shared" si="45"/>
        <v>2023</v>
      </c>
      <c r="F1013" t="str">
        <f t="shared" si="46"/>
        <v>Mar</v>
      </c>
      <c r="G1013">
        <v>2</v>
      </c>
      <c r="H1013">
        <f>_xlfn.XLOOKUP(C1013,Products!A:A,Products!D:D)</f>
        <v>427.27</v>
      </c>
      <c r="I1013">
        <v>20</v>
      </c>
      <c r="J1013">
        <f t="shared" si="47"/>
        <v>683.63200000000006</v>
      </c>
      <c r="K1013" t="s">
        <v>2024</v>
      </c>
      <c r="L1013" t="str">
        <f>_xlfn.XLOOKUP(Orders[[#This Row],[ProductID]],Products!A:A,Products!C:C)</f>
        <v>Home</v>
      </c>
    </row>
    <row r="1014" spans="1:12" x14ac:dyDescent="0.3">
      <c r="A1014">
        <v>1013</v>
      </c>
      <c r="B1014">
        <v>897</v>
      </c>
      <c r="C1014">
        <v>34</v>
      </c>
      <c r="D1014" t="s">
        <v>2142</v>
      </c>
      <c r="E1014">
        <f t="shared" si="45"/>
        <v>2024</v>
      </c>
      <c r="F1014" t="str">
        <f t="shared" si="46"/>
        <v>Mar</v>
      </c>
      <c r="G1014">
        <v>1</v>
      </c>
      <c r="H1014">
        <f>_xlfn.XLOOKUP(C1014,Products!A:A,Products!D:D)</f>
        <v>523.98</v>
      </c>
      <c r="I1014">
        <v>15</v>
      </c>
      <c r="J1014">
        <f t="shared" si="47"/>
        <v>445.38299999999998</v>
      </c>
      <c r="K1014" t="s">
        <v>2017</v>
      </c>
      <c r="L1014" t="str">
        <f>_xlfn.XLOOKUP(Orders[[#This Row],[ProductID]],Products!A:A,Products!C:C)</f>
        <v>Home</v>
      </c>
    </row>
    <row r="1015" spans="1:12" x14ac:dyDescent="0.3">
      <c r="A1015">
        <v>1014</v>
      </c>
      <c r="B1015">
        <v>897</v>
      </c>
      <c r="C1015">
        <v>3</v>
      </c>
      <c r="D1015" t="s">
        <v>1603</v>
      </c>
      <c r="E1015">
        <f t="shared" si="45"/>
        <v>2023</v>
      </c>
      <c r="F1015" t="str">
        <f t="shared" si="46"/>
        <v>Aug</v>
      </c>
      <c r="G1015">
        <v>1</v>
      </c>
      <c r="H1015">
        <f>_xlfn.XLOOKUP(C1015,Products!A:A,Products!D:D)</f>
        <v>506.08</v>
      </c>
      <c r="I1015">
        <v>15</v>
      </c>
      <c r="J1015">
        <f t="shared" si="47"/>
        <v>430.16799999999995</v>
      </c>
      <c r="K1015" t="s">
        <v>2019</v>
      </c>
      <c r="L1015" t="str">
        <f>_xlfn.XLOOKUP(Orders[[#This Row],[ProductID]],Products!A:A,Products!C:C)</f>
        <v>Clothing</v>
      </c>
    </row>
    <row r="1016" spans="1:12" x14ac:dyDescent="0.3">
      <c r="A1016">
        <v>1015</v>
      </c>
      <c r="B1016">
        <v>898</v>
      </c>
      <c r="C1016">
        <v>46</v>
      </c>
      <c r="D1016" t="s">
        <v>1009</v>
      </c>
      <c r="E1016">
        <f t="shared" si="45"/>
        <v>2023</v>
      </c>
      <c r="F1016" t="str">
        <f t="shared" si="46"/>
        <v>Sep</v>
      </c>
      <c r="G1016">
        <v>3</v>
      </c>
      <c r="H1016">
        <f>_xlfn.XLOOKUP(C1016,Products!A:A,Products!D:D)</f>
        <v>1155.3</v>
      </c>
      <c r="I1016">
        <v>20</v>
      </c>
      <c r="J1016">
        <f t="shared" si="47"/>
        <v>2772.72</v>
      </c>
      <c r="K1016" t="s">
        <v>2021</v>
      </c>
      <c r="L1016" t="str">
        <f>_xlfn.XLOOKUP(Orders[[#This Row],[ProductID]],Products!A:A,Products!C:C)</f>
        <v>Beauty</v>
      </c>
    </row>
    <row r="1017" spans="1:12" x14ac:dyDescent="0.3">
      <c r="A1017">
        <v>1016</v>
      </c>
      <c r="B1017">
        <v>898</v>
      </c>
      <c r="C1017">
        <v>53</v>
      </c>
      <c r="D1017" t="s">
        <v>66</v>
      </c>
      <c r="E1017">
        <f t="shared" si="45"/>
        <v>2023</v>
      </c>
      <c r="F1017" t="str">
        <f t="shared" si="46"/>
        <v>Jan</v>
      </c>
      <c r="G1017">
        <v>3</v>
      </c>
      <c r="H1017">
        <f>_xlfn.XLOOKUP(C1017,Products!A:A,Products!D:D)</f>
        <v>194.34</v>
      </c>
      <c r="I1017">
        <v>0</v>
      </c>
      <c r="J1017">
        <f t="shared" si="47"/>
        <v>583.02</v>
      </c>
      <c r="K1017" t="s">
        <v>2024</v>
      </c>
      <c r="L1017" t="str">
        <f>_xlfn.XLOOKUP(Orders[[#This Row],[ProductID]],Products!A:A,Products!C:C)</f>
        <v>Home</v>
      </c>
    </row>
    <row r="1018" spans="1:12" x14ac:dyDescent="0.3">
      <c r="A1018">
        <v>1017</v>
      </c>
      <c r="B1018">
        <v>899</v>
      </c>
      <c r="C1018">
        <v>79</v>
      </c>
      <c r="D1018" t="s">
        <v>1032</v>
      </c>
      <c r="E1018">
        <f t="shared" si="45"/>
        <v>2023</v>
      </c>
      <c r="F1018" t="str">
        <f t="shared" si="46"/>
        <v>Oct</v>
      </c>
      <c r="G1018">
        <v>2</v>
      </c>
      <c r="H1018">
        <f>_xlfn.XLOOKUP(C1018,Products!A:A,Products!D:D)</f>
        <v>488.34</v>
      </c>
      <c r="I1018">
        <v>0</v>
      </c>
      <c r="J1018">
        <f t="shared" si="47"/>
        <v>976.68</v>
      </c>
      <c r="K1018" t="s">
        <v>2017</v>
      </c>
      <c r="L1018" t="str">
        <f>_xlfn.XLOOKUP(Orders[[#This Row],[ProductID]],Products!A:A,Products!C:C)</f>
        <v>Electronics</v>
      </c>
    </row>
    <row r="1019" spans="1:12" x14ac:dyDescent="0.3">
      <c r="A1019">
        <v>1018</v>
      </c>
      <c r="B1019">
        <v>899</v>
      </c>
      <c r="C1019">
        <v>24</v>
      </c>
      <c r="D1019" t="s">
        <v>271</v>
      </c>
      <c r="E1019">
        <f t="shared" si="45"/>
        <v>2023</v>
      </c>
      <c r="F1019" t="str">
        <f t="shared" si="46"/>
        <v>May</v>
      </c>
      <c r="G1019">
        <v>2</v>
      </c>
      <c r="H1019">
        <f>_xlfn.XLOOKUP(C1019,Products!A:A,Products!D:D)</f>
        <v>1019.85</v>
      </c>
      <c r="I1019">
        <v>10</v>
      </c>
      <c r="J1019">
        <f t="shared" si="47"/>
        <v>1835.73</v>
      </c>
      <c r="K1019" t="s">
        <v>2017</v>
      </c>
      <c r="L1019" t="str">
        <f>_xlfn.XLOOKUP(Orders[[#This Row],[ProductID]],Products!A:A,Products!C:C)</f>
        <v>Beauty</v>
      </c>
    </row>
    <row r="1020" spans="1:12" x14ac:dyDescent="0.3">
      <c r="A1020">
        <v>1019</v>
      </c>
      <c r="B1020">
        <v>900</v>
      </c>
      <c r="C1020">
        <v>17</v>
      </c>
      <c r="D1020" t="s">
        <v>2117</v>
      </c>
      <c r="E1020">
        <f t="shared" si="45"/>
        <v>2023</v>
      </c>
      <c r="F1020" t="str">
        <f t="shared" si="46"/>
        <v>Apr</v>
      </c>
      <c r="G1020">
        <v>3</v>
      </c>
      <c r="H1020">
        <f>_xlfn.XLOOKUP(C1020,Products!A:A,Products!D:D)</f>
        <v>695.6</v>
      </c>
      <c r="I1020">
        <v>5</v>
      </c>
      <c r="J1020">
        <f t="shared" si="47"/>
        <v>1982.46</v>
      </c>
      <c r="K1020" t="s">
        <v>2021</v>
      </c>
      <c r="L1020" t="str">
        <f>_xlfn.XLOOKUP(Orders[[#This Row],[ProductID]],Products!A:A,Products!C:C)</f>
        <v>Clothing</v>
      </c>
    </row>
    <row r="1021" spans="1:12" x14ac:dyDescent="0.3">
      <c r="A1021">
        <v>1020</v>
      </c>
      <c r="B1021">
        <v>900</v>
      </c>
      <c r="C1021">
        <v>80</v>
      </c>
      <c r="D1021" t="s">
        <v>298</v>
      </c>
      <c r="E1021">
        <f t="shared" si="45"/>
        <v>2023</v>
      </c>
      <c r="F1021" t="str">
        <f t="shared" si="46"/>
        <v>Dec</v>
      </c>
      <c r="G1021">
        <v>1</v>
      </c>
      <c r="H1021">
        <f>_xlfn.XLOOKUP(C1021,Products!A:A,Products!D:D)</f>
        <v>1014.45</v>
      </c>
      <c r="I1021">
        <v>5</v>
      </c>
      <c r="J1021">
        <f t="shared" si="47"/>
        <v>963.72749999999996</v>
      </c>
      <c r="K1021" t="s">
        <v>2019</v>
      </c>
      <c r="L1021" t="str">
        <f>_xlfn.XLOOKUP(Orders[[#This Row],[ProductID]],Products!A:A,Products!C:C)</f>
        <v>Beauty</v>
      </c>
    </row>
    <row r="1022" spans="1:12" x14ac:dyDescent="0.3">
      <c r="A1022">
        <v>1021</v>
      </c>
      <c r="B1022">
        <v>901</v>
      </c>
      <c r="C1022">
        <v>5</v>
      </c>
      <c r="D1022" t="s">
        <v>19</v>
      </c>
      <c r="E1022">
        <f t="shared" si="45"/>
        <v>2023</v>
      </c>
      <c r="F1022" t="str">
        <f t="shared" si="46"/>
        <v>Apr</v>
      </c>
      <c r="G1022">
        <v>3</v>
      </c>
      <c r="H1022">
        <f>_xlfn.XLOOKUP(C1022,Products!A:A,Products!D:D)</f>
        <v>296.85000000000002</v>
      </c>
      <c r="I1022">
        <v>20</v>
      </c>
      <c r="J1022">
        <f t="shared" si="47"/>
        <v>712.44</v>
      </c>
      <c r="K1022" t="s">
        <v>2017</v>
      </c>
      <c r="L1022" t="str">
        <f>_xlfn.XLOOKUP(Orders[[#This Row],[ProductID]],Products!A:A,Products!C:C)</f>
        <v>Clothing</v>
      </c>
    </row>
    <row r="1023" spans="1:12" x14ac:dyDescent="0.3">
      <c r="A1023">
        <v>1022</v>
      </c>
      <c r="B1023">
        <v>901</v>
      </c>
      <c r="C1023">
        <v>75</v>
      </c>
      <c r="D1023" t="s">
        <v>229</v>
      </c>
      <c r="E1023">
        <f t="shared" si="45"/>
        <v>2023</v>
      </c>
      <c r="F1023" t="str">
        <f t="shared" si="46"/>
        <v>Jun</v>
      </c>
      <c r="G1023">
        <v>1</v>
      </c>
      <c r="H1023">
        <f>_xlfn.XLOOKUP(C1023,Products!A:A,Products!D:D)</f>
        <v>390.41</v>
      </c>
      <c r="I1023">
        <v>20</v>
      </c>
      <c r="J1023">
        <f t="shared" si="47"/>
        <v>312.32800000000003</v>
      </c>
      <c r="K1023" t="s">
        <v>2021</v>
      </c>
      <c r="L1023" t="str">
        <f>_xlfn.XLOOKUP(Orders[[#This Row],[ProductID]],Products!A:A,Products!C:C)</f>
        <v>Electronics</v>
      </c>
    </row>
    <row r="1024" spans="1:12" x14ac:dyDescent="0.3">
      <c r="A1024">
        <v>1023</v>
      </c>
      <c r="B1024">
        <v>902</v>
      </c>
      <c r="C1024">
        <v>8</v>
      </c>
      <c r="D1024" t="s">
        <v>2062</v>
      </c>
      <c r="E1024">
        <f t="shared" si="45"/>
        <v>2024</v>
      </c>
      <c r="F1024" t="str">
        <f t="shared" si="46"/>
        <v>May</v>
      </c>
      <c r="G1024">
        <v>3</v>
      </c>
      <c r="H1024">
        <f>_xlfn.XLOOKUP(C1024,Products!A:A,Products!D:D)</f>
        <v>155.08000000000001</v>
      </c>
      <c r="I1024">
        <v>10</v>
      </c>
      <c r="J1024">
        <f t="shared" si="47"/>
        <v>418.71600000000001</v>
      </c>
      <c r="K1024" t="s">
        <v>2024</v>
      </c>
      <c r="L1024" t="str">
        <f>_xlfn.XLOOKUP(Orders[[#This Row],[ProductID]],Products!A:A,Products!C:C)</f>
        <v>Clothing</v>
      </c>
    </row>
    <row r="1025" spans="1:12" x14ac:dyDescent="0.3">
      <c r="A1025">
        <v>1024</v>
      </c>
      <c r="B1025">
        <v>902</v>
      </c>
      <c r="C1025">
        <v>3</v>
      </c>
      <c r="D1025" t="s">
        <v>2137</v>
      </c>
      <c r="E1025">
        <f t="shared" si="45"/>
        <v>2023</v>
      </c>
      <c r="F1025" t="str">
        <f t="shared" si="46"/>
        <v>Dec</v>
      </c>
      <c r="G1025">
        <v>2</v>
      </c>
      <c r="H1025">
        <f>_xlfn.XLOOKUP(C1025,Products!A:A,Products!D:D)</f>
        <v>506.08</v>
      </c>
      <c r="I1025">
        <v>20</v>
      </c>
      <c r="J1025">
        <f t="shared" si="47"/>
        <v>809.72800000000007</v>
      </c>
      <c r="K1025" t="s">
        <v>2019</v>
      </c>
      <c r="L1025" t="str">
        <f>_xlfn.XLOOKUP(Orders[[#This Row],[ProductID]],Products!A:A,Products!C:C)</f>
        <v>Clothing</v>
      </c>
    </row>
    <row r="1026" spans="1:12" x14ac:dyDescent="0.3">
      <c r="A1026">
        <v>1025</v>
      </c>
      <c r="B1026">
        <v>903</v>
      </c>
      <c r="C1026">
        <v>77</v>
      </c>
      <c r="D1026" t="s">
        <v>534</v>
      </c>
      <c r="E1026">
        <f t="shared" si="45"/>
        <v>2023</v>
      </c>
      <c r="F1026" t="str">
        <f t="shared" si="46"/>
        <v>May</v>
      </c>
      <c r="G1026">
        <v>2</v>
      </c>
      <c r="H1026">
        <f>_xlfn.XLOOKUP(C1026,Products!A:A,Products!D:D)</f>
        <v>1078.19</v>
      </c>
      <c r="I1026">
        <v>0</v>
      </c>
      <c r="J1026">
        <f t="shared" si="47"/>
        <v>2156.38</v>
      </c>
      <c r="K1026" t="s">
        <v>2019</v>
      </c>
      <c r="L1026" t="str">
        <f>_xlfn.XLOOKUP(Orders[[#This Row],[ProductID]],Products!A:A,Products!C:C)</f>
        <v>Home</v>
      </c>
    </row>
    <row r="1027" spans="1:12" x14ac:dyDescent="0.3">
      <c r="A1027">
        <v>1026</v>
      </c>
      <c r="B1027">
        <v>903</v>
      </c>
      <c r="C1027">
        <v>65</v>
      </c>
      <c r="D1027" t="s">
        <v>292</v>
      </c>
      <c r="E1027">
        <f t="shared" ref="E1027:E1090" si="48">YEAR(D1027)</f>
        <v>2023</v>
      </c>
      <c r="F1027" t="str">
        <f t="shared" ref="F1027:F1090" si="49">TEXT(D1027,"mmm")</f>
        <v>Aug</v>
      </c>
      <c r="G1027">
        <v>1</v>
      </c>
      <c r="H1027">
        <f>_xlfn.XLOOKUP(C1027,Products!A:A,Products!D:D)</f>
        <v>1189.73</v>
      </c>
      <c r="I1027">
        <v>20</v>
      </c>
      <c r="J1027">
        <f t="shared" ref="J1027:J1090" si="50">G1027*H1027*(1-I1027/100)</f>
        <v>951.78400000000011</v>
      </c>
      <c r="K1027" t="s">
        <v>2019</v>
      </c>
      <c r="L1027" t="str">
        <f>_xlfn.XLOOKUP(Orders[[#This Row],[ProductID]],Products!A:A,Products!C:C)</f>
        <v>Home</v>
      </c>
    </row>
    <row r="1028" spans="1:12" x14ac:dyDescent="0.3">
      <c r="A1028">
        <v>1027</v>
      </c>
      <c r="B1028">
        <v>904</v>
      </c>
      <c r="C1028">
        <v>31</v>
      </c>
      <c r="D1028" t="s">
        <v>1588</v>
      </c>
      <c r="E1028">
        <f t="shared" si="48"/>
        <v>2023</v>
      </c>
      <c r="F1028" t="str">
        <f t="shared" si="49"/>
        <v>Apr</v>
      </c>
      <c r="G1028">
        <v>2</v>
      </c>
      <c r="H1028">
        <f>_xlfn.XLOOKUP(C1028,Products!A:A,Products!D:D)</f>
        <v>131.79</v>
      </c>
      <c r="I1028">
        <v>20</v>
      </c>
      <c r="J1028">
        <f t="shared" si="50"/>
        <v>210.864</v>
      </c>
      <c r="K1028" t="s">
        <v>2024</v>
      </c>
      <c r="L1028" t="str">
        <f>_xlfn.XLOOKUP(Orders[[#This Row],[ProductID]],Products!A:A,Products!C:C)</f>
        <v>Beauty</v>
      </c>
    </row>
    <row r="1029" spans="1:12" x14ac:dyDescent="0.3">
      <c r="A1029">
        <v>1028</v>
      </c>
      <c r="B1029">
        <v>904</v>
      </c>
      <c r="C1029">
        <v>54</v>
      </c>
      <c r="D1029" t="s">
        <v>1002</v>
      </c>
      <c r="E1029">
        <f t="shared" si="48"/>
        <v>2023</v>
      </c>
      <c r="F1029" t="str">
        <f t="shared" si="49"/>
        <v>Feb</v>
      </c>
      <c r="G1029">
        <v>3</v>
      </c>
      <c r="H1029">
        <f>_xlfn.XLOOKUP(C1029,Products!A:A,Products!D:D)</f>
        <v>900.79</v>
      </c>
      <c r="I1029">
        <v>15</v>
      </c>
      <c r="J1029">
        <f t="shared" si="50"/>
        <v>2297.0144999999998</v>
      </c>
      <c r="K1029" t="s">
        <v>2024</v>
      </c>
      <c r="L1029" t="str">
        <f>_xlfn.XLOOKUP(Orders[[#This Row],[ProductID]],Products!A:A,Products!C:C)</f>
        <v>Electronics</v>
      </c>
    </row>
    <row r="1030" spans="1:12" x14ac:dyDescent="0.3">
      <c r="A1030">
        <v>1029</v>
      </c>
      <c r="B1030">
        <v>905</v>
      </c>
      <c r="C1030">
        <v>19</v>
      </c>
      <c r="D1030" t="s">
        <v>714</v>
      </c>
      <c r="E1030">
        <f t="shared" si="48"/>
        <v>2023</v>
      </c>
      <c r="F1030" t="str">
        <f t="shared" si="49"/>
        <v>Jan</v>
      </c>
      <c r="G1030">
        <v>2</v>
      </c>
      <c r="H1030">
        <f>_xlfn.XLOOKUP(C1030,Products!A:A,Products!D:D)</f>
        <v>262.97000000000003</v>
      </c>
      <c r="I1030">
        <v>20</v>
      </c>
      <c r="J1030">
        <f t="shared" si="50"/>
        <v>420.75200000000007</v>
      </c>
      <c r="K1030" t="s">
        <v>2024</v>
      </c>
      <c r="L1030" t="str">
        <f>_xlfn.XLOOKUP(Orders[[#This Row],[ProductID]],Products!A:A,Products!C:C)</f>
        <v>Beauty</v>
      </c>
    </row>
    <row r="1031" spans="1:12" x14ac:dyDescent="0.3">
      <c r="A1031">
        <v>1030</v>
      </c>
      <c r="B1031">
        <v>905</v>
      </c>
      <c r="C1031">
        <v>43</v>
      </c>
      <c r="D1031" t="s">
        <v>2056</v>
      </c>
      <c r="E1031">
        <f t="shared" si="48"/>
        <v>2024</v>
      </c>
      <c r="F1031" t="str">
        <f t="shared" si="49"/>
        <v>May</v>
      </c>
      <c r="G1031">
        <v>2</v>
      </c>
      <c r="H1031">
        <f>_xlfn.XLOOKUP(C1031,Products!A:A,Products!D:D)</f>
        <v>760.86</v>
      </c>
      <c r="I1031">
        <v>10</v>
      </c>
      <c r="J1031">
        <f t="shared" si="50"/>
        <v>1369.548</v>
      </c>
      <c r="K1031" t="s">
        <v>2017</v>
      </c>
      <c r="L1031" t="str">
        <f>_xlfn.XLOOKUP(Orders[[#This Row],[ProductID]],Products!A:A,Products!C:C)</f>
        <v>Electronics</v>
      </c>
    </row>
    <row r="1032" spans="1:12" x14ac:dyDescent="0.3">
      <c r="A1032">
        <v>1031</v>
      </c>
      <c r="B1032">
        <v>906</v>
      </c>
      <c r="C1032">
        <v>38</v>
      </c>
      <c r="D1032" t="s">
        <v>163</v>
      </c>
      <c r="E1032">
        <f t="shared" si="48"/>
        <v>2023</v>
      </c>
      <c r="F1032" t="str">
        <f t="shared" si="49"/>
        <v>Nov</v>
      </c>
      <c r="G1032">
        <v>1</v>
      </c>
      <c r="H1032">
        <f>_xlfn.XLOOKUP(C1032,Products!A:A,Products!D:D)</f>
        <v>802.88</v>
      </c>
      <c r="I1032">
        <v>5</v>
      </c>
      <c r="J1032">
        <f t="shared" si="50"/>
        <v>762.73599999999999</v>
      </c>
      <c r="K1032" t="s">
        <v>2024</v>
      </c>
      <c r="L1032" t="str">
        <f>_xlfn.XLOOKUP(Orders[[#This Row],[ProductID]],Products!A:A,Products!C:C)</f>
        <v>Home</v>
      </c>
    </row>
    <row r="1033" spans="1:12" x14ac:dyDescent="0.3">
      <c r="A1033">
        <v>1032</v>
      </c>
      <c r="B1033">
        <v>906</v>
      </c>
      <c r="C1033">
        <v>6</v>
      </c>
      <c r="D1033" t="s">
        <v>2217</v>
      </c>
      <c r="E1033">
        <f t="shared" si="48"/>
        <v>2023</v>
      </c>
      <c r="F1033" t="str">
        <f t="shared" si="49"/>
        <v>May</v>
      </c>
      <c r="G1033">
        <v>1</v>
      </c>
      <c r="H1033">
        <f>_xlfn.XLOOKUP(C1033,Products!A:A,Products!D:D)</f>
        <v>719.19</v>
      </c>
      <c r="I1033">
        <v>20</v>
      </c>
      <c r="J1033">
        <f t="shared" si="50"/>
        <v>575.35200000000009</v>
      </c>
      <c r="K1033" t="s">
        <v>2019</v>
      </c>
      <c r="L1033" t="str">
        <f>_xlfn.XLOOKUP(Orders[[#This Row],[ProductID]],Products!A:A,Products!C:C)</f>
        <v>Clothing</v>
      </c>
    </row>
    <row r="1034" spans="1:12" x14ac:dyDescent="0.3">
      <c r="A1034">
        <v>1033</v>
      </c>
      <c r="B1034">
        <v>907</v>
      </c>
      <c r="C1034">
        <v>14</v>
      </c>
      <c r="D1034" t="s">
        <v>360</v>
      </c>
      <c r="E1034">
        <f t="shared" si="48"/>
        <v>2023</v>
      </c>
      <c r="F1034" t="str">
        <f t="shared" si="49"/>
        <v>Nov</v>
      </c>
      <c r="G1034">
        <v>1</v>
      </c>
      <c r="H1034">
        <f>_xlfn.XLOOKUP(C1034,Products!A:A,Products!D:D)</f>
        <v>574.25</v>
      </c>
      <c r="I1034">
        <v>10</v>
      </c>
      <c r="J1034">
        <f t="shared" si="50"/>
        <v>516.82500000000005</v>
      </c>
      <c r="K1034" t="s">
        <v>2015</v>
      </c>
      <c r="L1034" t="str">
        <f>_xlfn.XLOOKUP(Orders[[#This Row],[ProductID]],Products!A:A,Products!C:C)</f>
        <v>Beauty</v>
      </c>
    </row>
    <row r="1035" spans="1:12" x14ac:dyDescent="0.3">
      <c r="A1035">
        <v>1034</v>
      </c>
      <c r="B1035">
        <v>907</v>
      </c>
      <c r="C1035">
        <v>66</v>
      </c>
      <c r="D1035" t="s">
        <v>2053</v>
      </c>
      <c r="E1035">
        <f t="shared" si="48"/>
        <v>2024</v>
      </c>
      <c r="F1035" t="str">
        <f t="shared" si="49"/>
        <v>Feb</v>
      </c>
      <c r="G1035">
        <v>3</v>
      </c>
      <c r="H1035">
        <f>_xlfn.XLOOKUP(C1035,Products!A:A,Products!D:D)</f>
        <v>783.37</v>
      </c>
      <c r="I1035">
        <v>10</v>
      </c>
      <c r="J1035">
        <f t="shared" si="50"/>
        <v>2115.0990000000002</v>
      </c>
      <c r="K1035" t="s">
        <v>2021</v>
      </c>
      <c r="L1035" t="str">
        <f>_xlfn.XLOOKUP(Orders[[#This Row],[ProductID]],Products!A:A,Products!C:C)</f>
        <v>Home</v>
      </c>
    </row>
    <row r="1036" spans="1:12" x14ac:dyDescent="0.3">
      <c r="A1036">
        <v>1035</v>
      </c>
      <c r="B1036">
        <v>908</v>
      </c>
      <c r="C1036">
        <v>49</v>
      </c>
      <c r="D1036" t="s">
        <v>2145</v>
      </c>
      <c r="E1036">
        <f t="shared" si="48"/>
        <v>2024</v>
      </c>
      <c r="F1036" t="str">
        <f t="shared" si="49"/>
        <v>Mar</v>
      </c>
      <c r="G1036">
        <v>3</v>
      </c>
      <c r="H1036">
        <f>_xlfn.XLOOKUP(C1036,Products!A:A,Products!D:D)</f>
        <v>974.54</v>
      </c>
      <c r="I1036">
        <v>0</v>
      </c>
      <c r="J1036">
        <f t="shared" si="50"/>
        <v>2923.62</v>
      </c>
      <c r="K1036" t="s">
        <v>2021</v>
      </c>
      <c r="L1036" t="str">
        <f>_xlfn.XLOOKUP(Orders[[#This Row],[ProductID]],Products!A:A,Products!C:C)</f>
        <v>Home</v>
      </c>
    </row>
    <row r="1037" spans="1:12" x14ac:dyDescent="0.3">
      <c r="A1037">
        <v>1036</v>
      </c>
      <c r="B1037">
        <v>908</v>
      </c>
      <c r="C1037">
        <v>49</v>
      </c>
      <c r="D1037" t="s">
        <v>2127</v>
      </c>
      <c r="E1037">
        <f t="shared" si="48"/>
        <v>2024</v>
      </c>
      <c r="F1037" t="str">
        <f t="shared" si="49"/>
        <v>Jan</v>
      </c>
      <c r="G1037">
        <v>3</v>
      </c>
      <c r="H1037">
        <f>_xlfn.XLOOKUP(C1037,Products!A:A,Products!D:D)</f>
        <v>974.54</v>
      </c>
      <c r="I1037">
        <v>0</v>
      </c>
      <c r="J1037">
        <f t="shared" si="50"/>
        <v>2923.62</v>
      </c>
      <c r="K1037" t="s">
        <v>2019</v>
      </c>
      <c r="L1037" t="str">
        <f>_xlfn.XLOOKUP(Orders[[#This Row],[ProductID]],Products!A:A,Products!C:C)</f>
        <v>Home</v>
      </c>
    </row>
    <row r="1038" spans="1:12" x14ac:dyDescent="0.3">
      <c r="A1038">
        <v>1037</v>
      </c>
      <c r="B1038">
        <v>909</v>
      </c>
      <c r="C1038">
        <v>29</v>
      </c>
      <c r="D1038" t="s">
        <v>1911</v>
      </c>
      <c r="E1038">
        <f t="shared" si="48"/>
        <v>2023</v>
      </c>
      <c r="F1038" t="str">
        <f t="shared" si="49"/>
        <v>Oct</v>
      </c>
      <c r="G1038">
        <v>3</v>
      </c>
      <c r="H1038">
        <f>_xlfn.XLOOKUP(C1038,Products!A:A,Products!D:D)</f>
        <v>757</v>
      </c>
      <c r="I1038">
        <v>20</v>
      </c>
      <c r="J1038">
        <f t="shared" si="50"/>
        <v>1816.8000000000002</v>
      </c>
      <c r="K1038" t="s">
        <v>2015</v>
      </c>
      <c r="L1038" t="str">
        <f>_xlfn.XLOOKUP(Orders[[#This Row],[ProductID]],Products!A:A,Products!C:C)</f>
        <v>Clothing</v>
      </c>
    </row>
    <row r="1039" spans="1:12" x14ac:dyDescent="0.3">
      <c r="A1039">
        <v>1038</v>
      </c>
      <c r="B1039">
        <v>909</v>
      </c>
      <c r="C1039">
        <v>54</v>
      </c>
      <c r="D1039" t="s">
        <v>1047</v>
      </c>
      <c r="E1039">
        <f t="shared" si="48"/>
        <v>2023</v>
      </c>
      <c r="F1039" t="str">
        <f t="shared" si="49"/>
        <v>Oct</v>
      </c>
      <c r="G1039">
        <v>3</v>
      </c>
      <c r="H1039">
        <f>_xlfn.XLOOKUP(C1039,Products!A:A,Products!D:D)</f>
        <v>900.79</v>
      </c>
      <c r="I1039">
        <v>0</v>
      </c>
      <c r="J1039">
        <f t="shared" si="50"/>
        <v>2702.37</v>
      </c>
      <c r="K1039" t="s">
        <v>2015</v>
      </c>
      <c r="L1039" t="str">
        <f>_xlfn.XLOOKUP(Orders[[#This Row],[ProductID]],Products!A:A,Products!C:C)</f>
        <v>Electronics</v>
      </c>
    </row>
    <row r="1040" spans="1:12" x14ac:dyDescent="0.3">
      <c r="A1040">
        <v>1039</v>
      </c>
      <c r="B1040">
        <v>910</v>
      </c>
      <c r="C1040">
        <v>7</v>
      </c>
      <c r="D1040" t="s">
        <v>912</v>
      </c>
      <c r="E1040">
        <f t="shared" si="48"/>
        <v>2023</v>
      </c>
      <c r="F1040" t="str">
        <f t="shared" si="49"/>
        <v>Nov</v>
      </c>
      <c r="G1040">
        <v>2</v>
      </c>
      <c r="H1040">
        <f>_xlfn.XLOOKUP(C1040,Products!A:A,Products!D:D)</f>
        <v>97.29</v>
      </c>
      <c r="I1040">
        <v>20</v>
      </c>
      <c r="J1040">
        <f t="shared" si="50"/>
        <v>155.66400000000002</v>
      </c>
      <c r="K1040" t="s">
        <v>2015</v>
      </c>
      <c r="L1040" t="str">
        <f>_xlfn.XLOOKUP(Orders[[#This Row],[ProductID]],Products!A:A,Products!C:C)</f>
        <v>Beauty</v>
      </c>
    </row>
    <row r="1041" spans="1:12" x14ac:dyDescent="0.3">
      <c r="A1041">
        <v>1040</v>
      </c>
      <c r="B1041">
        <v>910</v>
      </c>
      <c r="C1041">
        <v>57</v>
      </c>
      <c r="D1041" t="s">
        <v>229</v>
      </c>
      <c r="E1041">
        <f t="shared" si="48"/>
        <v>2023</v>
      </c>
      <c r="F1041" t="str">
        <f t="shared" si="49"/>
        <v>Jun</v>
      </c>
      <c r="G1041">
        <v>2</v>
      </c>
      <c r="H1041">
        <f>_xlfn.XLOOKUP(C1041,Products!A:A,Products!D:D)</f>
        <v>768.03</v>
      </c>
      <c r="I1041">
        <v>5</v>
      </c>
      <c r="J1041">
        <f t="shared" si="50"/>
        <v>1459.2569999999998</v>
      </c>
      <c r="K1041" t="s">
        <v>2015</v>
      </c>
      <c r="L1041" t="str">
        <f>_xlfn.XLOOKUP(Orders[[#This Row],[ProductID]],Products!A:A,Products!C:C)</f>
        <v>Electronics</v>
      </c>
    </row>
    <row r="1042" spans="1:12" x14ac:dyDescent="0.3">
      <c r="A1042">
        <v>1041</v>
      </c>
      <c r="B1042">
        <v>911</v>
      </c>
      <c r="C1042">
        <v>38</v>
      </c>
      <c r="D1042" t="s">
        <v>2125</v>
      </c>
      <c r="E1042">
        <f t="shared" si="48"/>
        <v>2024</v>
      </c>
      <c r="F1042" t="str">
        <f t="shared" si="49"/>
        <v>Apr</v>
      </c>
      <c r="G1042">
        <v>1</v>
      </c>
      <c r="H1042">
        <f>_xlfn.XLOOKUP(C1042,Products!A:A,Products!D:D)</f>
        <v>802.88</v>
      </c>
      <c r="I1042">
        <v>10</v>
      </c>
      <c r="J1042">
        <f t="shared" si="50"/>
        <v>722.59199999999998</v>
      </c>
      <c r="K1042" t="s">
        <v>2021</v>
      </c>
      <c r="L1042" t="str">
        <f>_xlfn.XLOOKUP(Orders[[#This Row],[ProductID]],Products!A:A,Products!C:C)</f>
        <v>Home</v>
      </c>
    </row>
    <row r="1043" spans="1:12" x14ac:dyDescent="0.3">
      <c r="A1043">
        <v>1042</v>
      </c>
      <c r="B1043">
        <v>911</v>
      </c>
      <c r="C1043">
        <v>47</v>
      </c>
      <c r="D1043" t="s">
        <v>855</v>
      </c>
      <c r="E1043">
        <f t="shared" si="48"/>
        <v>2023</v>
      </c>
      <c r="F1043" t="str">
        <f t="shared" si="49"/>
        <v>Apr</v>
      </c>
      <c r="G1043">
        <v>2</v>
      </c>
      <c r="H1043">
        <f>_xlfn.XLOOKUP(C1043,Products!A:A,Products!D:D)</f>
        <v>1126.96</v>
      </c>
      <c r="I1043">
        <v>10</v>
      </c>
      <c r="J1043">
        <f t="shared" si="50"/>
        <v>2028.528</v>
      </c>
      <c r="K1043" t="s">
        <v>2019</v>
      </c>
      <c r="L1043" t="str">
        <f>_xlfn.XLOOKUP(Orders[[#This Row],[ProductID]],Products!A:A,Products!C:C)</f>
        <v>Beauty</v>
      </c>
    </row>
    <row r="1044" spans="1:12" x14ac:dyDescent="0.3">
      <c r="A1044">
        <v>1043</v>
      </c>
      <c r="B1044">
        <v>912</v>
      </c>
      <c r="C1044">
        <v>31</v>
      </c>
      <c r="D1044" t="s">
        <v>292</v>
      </c>
      <c r="E1044">
        <f t="shared" si="48"/>
        <v>2023</v>
      </c>
      <c r="F1044" t="str">
        <f t="shared" si="49"/>
        <v>Aug</v>
      </c>
      <c r="G1044">
        <v>3</v>
      </c>
      <c r="H1044">
        <f>_xlfn.XLOOKUP(C1044,Products!A:A,Products!D:D)</f>
        <v>131.79</v>
      </c>
      <c r="I1044">
        <v>15</v>
      </c>
      <c r="J1044">
        <f t="shared" si="50"/>
        <v>336.06450000000001</v>
      </c>
      <c r="K1044" t="s">
        <v>2024</v>
      </c>
      <c r="L1044" t="str">
        <f>_xlfn.XLOOKUP(Orders[[#This Row],[ProductID]],Products!A:A,Products!C:C)</f>
        <v>Beauty</v>
      </c>
    </row>
    <row r="1045" spans="1:12" x14ac:dyDescent="0.3">
      <c r="A1045">
        <v>1044</v>
      </c>
      <c r="B1045">
        <v>912</v>
      </c>
      <c r="C1045">
        <v>11</v>
      </c>
      <c r="D1045" t="s">
        <v>575</v>
      </c>
      <c r="E1045">
        <f t="shared" si="48"/>
        <v>2023</v>
      </c>
      <c r="F1045" t="str">
        <f t="shared" si="49"/>
        <v>Jun</v>
      </c>
      <c r="G1045">
        <v>3</v>
      </c>
      <c r="H1045">
        <f>_xlfn.XLOOKUP(C1045,Products!A:A,Products!D:D)</f>
        <v>1038.77</v>
      </c>
      <c r="I1045">
        <v>20</v>
      </c>
      <c r="J1045">
        <f t="shared" si="50"/>
        <v>2493.0480000000002</v>
      </c>
      <c r="K1045" t="s">
        <v>2019</v>
      </c>
      <c r="L1045" t="str">
        <f>_xlfn.XLOOKUP(Orders[[#This Row],[ProductID]],Products!A:A,Products!C:C)</f>
        <v>Beauty</v>
      </c>
    </row>
    <row r="1046" spans="1:12" x14ac:dyDescent="0.3">
      <c r="A1046">
        <v>1045</v>
      </c>
      <c r="B1046">
        <v>913</v>
      </c>
      <c r="C1046">
        <v>47</v>
      </c>
      <c r="D1046" t="s">
        <v>1201</v>
      </c>
      <c r="E1046">
        <f t="shared" si="48"/>
        <v>2023</v>
      </c>
      <c r="F1046" t="str">
        <f t="shared" si="49"/>
        <v>Dec</v>
      </c>
      <c r="G1046">
        <v>2</v>
      </c>
      <c r="H1046">
        <f>_xlfn.XLOOKUP(C1046,Products!A:A,Products!D:D)</f>
        <v>1126.96</v>
      </c>
      <c r="I1046">
        <v>20</v>
      </c>
      <c r="J1046">
        <f t="shared" si="50"/>
        <v>1803.1360000000002</v>
      </c>
      <c r="K1046" t="s">
        <v>2021</v>
      </c>
      <c r="L1046" t="str">
        <f>_xlfn.XLOOKUP(Orders[[#This Row],[ProductID]],Products!A:A,Products!C:C)</f>
        <v>Beauty</v>
      </c>
    </row>
    <row r="1047" spans="1:12" x14ac:dyDescent="0.3">
      <c r="A1047">
        <v>1046</v>
      </c>
      <c r="B1047">
        <v>913</v>
      </c>
      <c r="C1047">
        <v>58</v>
      </c>
      <c r="D1047" t="s">
        <v>2105</v>
      </c>
      <c r="E1047">
        <f t="shared" si="48"/>
        <v>2024</v>
      </c>
      <c r="F1047" t="str">
        <f t="shared" si="49"/>
        <v>Feb</v>
      </c>
      <c r="G1047">
        <v>2</v>
      </c>
      <c r="H1047">
        <f>_xlfn.XLOOKUP(C1047,Products!A:A,Products!D:D)</f>
        <v>334.98</v>
      </c>
      <c r="I1047">
        <v>5</v>
      </c>
      <c r="J1047">
        <f t="shared" si="50"/>
        <v>636.46199999999999</v>
      </c>
      <c r="K1047" t="s">
        <v>2015</v>
      </c>
      <c r="L1047" t="str">
        <f>_xlfn.XLOOKUP(Orders[[#This Row],[ProductID]],Products!A:A,Products!C:C)</f>
        <v>Home</v>
      </c>
    </row>
    <row r="1048" spans="1:12" x14ac:dyDescent="0.3">
      <c r="A1048">
        <v>1047</v>
      </c>
      <c r="B1048">
        <v>914</v>
      </c>
      <c r="C1048">
        <v>17</v>
      </c>
      <c r="D1048" t="s">
        <v>2148</v>
      </c>
      <c r="E1048">
        <f t="shared" si="48"/>
        <v>2024</v>
      </c>
      <c r="F1048" t="str">
        <f t="shared" si="49"/>
        <v>Apr</v>
      </c>
      <c r="G1048">
        <v>3</v>
      </c>
      <c r="H1048">
        <f>_xlfn.XLOOKUP(C1048,Products!A:A,Products!D:D)</f>
        <v>695.6</v>
      </c>
      <c r="I1048">
        <v>5</v>
      </c>
      <c r="J1048">
        <f t="shared" si="50"/>
        <v>1982.46</v>
      </c>
      <c r="K1048" t="s">
        <v>2017</v>
      </c>
      <c r="L1048" t="str">
        <f>_xlfn.XLOOKUP(Orders[[#This Row],[ProductID]],Products!A:A,Products!C:C)</f>
        <v>Clothing</v>
      </c>
    </row>
    <row r="1049" spans="1:12" x14ac:dyDescent="0.3">
      <c r="A1049">
        <v>1048</v>
      </c>
      <c r="B1049">
        <v>914</v>
      </c>
      <c r="C1049">
        <v>75</v>
      </c>
      <c r="D1049" t="s">
        <v>2033</v>
      </c>
      <c r="E1049">
        <f t="shared" si="48"/>
        <v>2023</v>
      </c>
      <c r="F1049" t="str">
        <f t="shared" si="49"/>
        <v>Dec</v>
      </c>
      <c r="G1049">
        <v>1</v>
      </c>
      <c r="H1049">
        <f>_xlfn.XLOOKUP(C1049,Products!A:A,Products!D:D)</f>
        <v>390.41</v>
      </c>
      <c r="I1049">
        <v>20</v>
      </c>
      <c r="J1049">
        <f t="shared" si="50"/>
        <v>312.32800000000003</v>
      </c>
      <c r="K1049" t="s">
        <v>2024</v>
      </c>
      <c r="L1049" t="str">
        <f>_xlfn.XLOOKUP(Orders[[#This Row],[ProductID]],Products!A:A,Products!C:C)</f>
        <v>Electronics</v>
      </c>
    </row>
    <row r="1050" spans="1:12" x14ac:dyDescent="0.3">
      <c r="A1050">
        <v>1049</v>
      </c>
      <c r="B1050">
        <v>915</v>
      </c>
      <c r="C1050">
        <v>37</v>
      </c>
      <c r="D1050" t="s">
        <v>623</v>
      </c>
      <c r="E1050">
        <f t="shared" si="48"/>
        <v>2023</v>
      </c>
      <c r="F1050" t="str">
        <f t="shared" si="49"/>
        <v>Jun</v>
      </c>
      <c r="G1050">
        <v>2</v>
      </c>
      <c r="H1050">
        <f>_xlfn.XLOOKUP(C1050,Products!A:A,Products!D:D)</f>
        <v>968.87</v>
      </c>
      <c r="I1050">
        <v>0</v>
      </c>
      <c r="J1050">
        <f t="shared" si="50"/>
        <v>1937.74</v>
      </c>
      <c r="K1050" t="s">
        <v>2019</v>
      </c>
      <c r="L1050" t="str">
        <f>_xlfn.XLOOKUP(Orders[[#This Row],[ProductID]],Products!A:A,Products!C:C)</f>
        <v>Home</v>
      </c>
    </row>
    <row r="1051" spans="1:12" x14ac:dyDescent="0.3">
      <c r="A1051">
        <v>1050</v>
      </c>
      <c r="B1051">
        <v>915</v>
      </c>
      <c r="C1051">
        <v>53</v>
      </c>
      <c r="D1051" t="s">
        <v>88</v>
      </c>
      <c r="E1051">
        <f t="shared" si="48"/>
        <v>2023</v>
      </c>
      <c r="F1051" t="str">
        <f t="shared" si="49"/>
        <v>Aug</v>
      </c>
      <c r="G1051">
        <v>3</v>
      </c>
      <c r="H1051">
        <f>_xlfn.XLOOKUP(C1051,Products!A:A,Products!D:D)</f>
        <v>194.34</v>
      </c>
      <c r="I1051">
        <v>5</v>
      </c>
      <c r="J1051">
        <f t="shared" si="50"/>
        <v>553.86899999999991</v>
      </c>
      <c r="K1051" t="s">
        <v>2015</v>
      </c>
      <c r="L1051" t="str">
        <f>_xlfn.XLOOKUP(Orders[[#This Row],[ProductID]],Products!A:A,Products!C:C)</f>
        <v>Home</v>
      </c>
    </row>
    <row r="1052" spans="1:12" x14ac:dyDescent="0.3">
      <c r="A1052">
        <v>1051</v>
      </c>
      <c r="B1052">
        <v>916</v>
      </c>
      <c r="C1052">
        <v>64</v>
      </c>
      <c r="D1052" t="s">
        <v>384</v>
      </c>
      <c r="E1052">
        <f t="shared" si="48"/>
        <v>2023</v>
      </c>
      <c r="F1052" t="str">
        <f t="shared" si="49"/>
        <v>Nov</v>
      </c>
      <c r="G1052">
        <v>1</v>
      </c>
      <c r="H1052">
        <f>_xlfn.XLOOKUP(C1052,Products!A:A,Products!D:D)</f>
        <v>567.71</v>
      </c>
      <c r="I1052">
        <v>5</v>
      </c>
      <c r="J1052">
        <f t="shared" si="50"/>
        <v>539.32450000000006</v>
      </c>
      <c r="K1052" t="s">
        <v>2017</v>
      </c>
      <c r="L1052" t="str">
        <f>_xlfn.XLOOKUP(Orders[[#This Row],[ProductID]],Products!A:A,Products!C:C)</f>
        <v>Clothing</v>
      </c>
    </row>
    <row r="1053" spans="1:12" x14ac:dyDescent="0.3">
      <c r="A1053">
        <v>1052</v>
      </c>
      <c r="B1053">
        <v>916</v>
      </c>
      <c r="C1053">
        <v>2</v>
      </c>
      <c r="D1053" t="s">
        <v>2058</v>
      </c>
      <c r="E1053">
        <f t="shared" si="48"/>
        <v>2023</v>
      </c>
      <c r="F1053" t="str">
        <f t="shared" si="49"/>
        <v>Mar</v>
      </c>
      <c r="G1053">
        <v>1</v>
      </c>
      <c r="H1053">
        <f>_xlfn.XLOOKUP(C1053,Products!A:A,Products!D:D)</f>
        <v>427.27</v>
      </c>
      <c r="I1053">
        <v>15</v>
      </c>
      <c r="J1053">
        <f t="shared" si="50"/>
        <v>363.17949999999996</v>
      </c>
      <c r="K1053" t="s">
        <v>2024</v>
      </c>
      <c r="L1053" t="str">
        <f>_xlfn.XLOOKUP(Orders[[#This Row],[ProductID]],Products!A:A,Products!C:C)</f>
        <v>Home</v>
      </c>
    </row>
    <row r="1054" spans="1:12" x14ac:dyDescent="0.3">
      <c r="A1054">
        <v>1053</v>
      </c>
      <c r="B1054">
        <v>917</v>
      </c>
      <c r="C1054">
        <v>71</v>
      </c>
      <c r="D1054" t="s">
        <v>2111</v>
      </c>
      <c r="E1054">
        <f t="shared" si="48"/>
        <v>2023</v>
      </c>
      <c r="F1054" t="str">
        <f t="shared" si="49"/>
        <v>Dec</v>
      </c>
      <c r="G1054">
        <v>2</v>
      </c>
      <c r="H1054">
        <f>_xlfn.XLOOKUP(C1054,Products!A:A,Products!D:D)</f>
        <v>780.27</v>
      </c>
      <c r="I1054">
        <v>0</v>
      </c>
      <c r="J1054">
        <f t="shared" si="50"/>
        <v>1560.54</v>
      </c>
      <c r="K1054" t="s">
        <v>2021</v>
      </c>
      <c r="L1054" t="str">
        <f>_xlfn.XLOOKUP(Orders[[#This Row],[ProductID]],Products!A:A,Products!C:C)</f>
        <v>Electronics</v>
      </c>
    </row>
    <row r="1055" spans="1:12" x14ac:dyDescent="0.3">
      <c r="A1055">
        <v>1054</v>
      </c>
      <c r="B1055">
        <v>917</v>
      </c>
      <c r="C1055">
        <v>5</v>
      </c>
      <c r="D1055" t="s">
        <v>2068</v>
      </c>
      <c r="E1055">
        <f t="shared" si="48"/>
        <v>2024</v>
      </c>
      <c r="F1055" t="str">
        <f t="shared" si="49"/>
        <v>Mar</v>
      </c>
      <c r="G1055">
        <v>2</v>
      </c>
      <c r="H1055">
        <f>_xlfn.XLOOKUP(C1055,Products!A:A,Products!D:D)</f>
        <v>296.85000000000002</v>
      </c>
      <c r="I1055">
        <v>0</v>
      </c>
      <c r="J1055">
        <f t="shared" si="50"/>
        <v>593.70000000000005</v>
      </c>
      <c r="K1055" t="s">
        <v>2021</v>
      </c>
      <c r="L1055" t="str">
        <f>_xlfn.XLOOKUP(Orders[[#This Row],[ProductID]],Products!A:A,Products!C:C)</f>
        <v>Clothing</v>
      </c>
    </row>
    <row r="1056" spans="1:12" x14ac:dyDescent="0.3">
      <c r="A1056">
        <v>1055</v>
      </c>
      <c r="B1056">
        <v>918</v>
      </c>
      <c r="C1056">
        <v>10</v>
      </c>
      <c r="D1056" t="s">
        <v>13</v>
      </c>
      <c r="E1056">
        <f t="shared" si="48"/>
        <v>2023</v>
      </c>
      <c r="F1056" t="str">
        <f t="shared" si="49"/>
        <v>Mar</v>
      </c>
      <c r="G1056">
        <v>3</v>
      </c>
      <c r="H1056">
        <f>_xlfn.XLOOKUP(C1056,Products!A:A,Products!D:D)</f>
        <v>64.11</v>
      </c>
      <c r="I1056">
        <v>20</v>
      </c>
      <c r="J1056">
        <f t="shared" si="50"/>
        <v>153.864</v>
      </c>
      <c r="K1056" t="s">
        <v>2017</v>
      </c>
      <c r="L1056" t="str">
        <f>_xlfn.XLOOKUP(Orders[[#This Row],[ProductID]],Products!A:A,Products!C:C)</f>
        <v>Clothing</v>
      </c>
    </row>
    <row r="1057" spans="1:12" x14ac:dyDescent="0.3">
      <c r="A1057">
        <v>1056</v>
      </c>
      <c r="B1057">
        <v>918</v>
      </c>
      <c r="C1057">
        <v>55</v>
      </c>
      <c r="D1057" t="s">
        <v>1144</v>
      </c>
      <c r="E1057">
        <f t="shared" si="48"/>
        <v>2023</v>
      </c>
      <c r="F1057" t="str">
        <f t="shared" si="49"/>
        <v>Jul</v>
      </c>
      <c r="G1057">
        <v>1</v>
      </c>
      <c r="H1057">
        <f>_xlfn.XLOOKUP(C1057,Products!A:A,Products!D:D)</f>
        <v>1016.06</v>
      </c>
      <c r="I1057">
        <v>15</v>
      </c>
      <c r="J1057">
        <f t="shared" si="50"/>
        <v>863.65099999999995</v>
      </c>
      <c r="K1057" t="s">
        <v>2015</v>
      </c>
      <c r="L1057" t="str">
        <f>_xlfn.XLOOKUP(Orders[[#This Row],[ProductID]],Products!A:A,Products!C:C)</f>
        <v>Clothing</v>
      </c>
    </row>
    <row r="1058" spans="1:12" x14ac:dyDescent="0.3">
      <c r="A1058">
        <v>1057</v>
      </c>
      <c r="B1058">
        <v>919</v>
      </c>
      <c r="C1058">
        <v>31</v>
      </c>
      <c r="D1058" t="s">
        <v>2111</v>
      </c>
      <c r="E1058">
        <f t="shared" si="48"/>
        <v>2023</v>
      </c>
      <c r="F1058" t="str">
        <f t="shared" si="49"/>
        <v>Dec</v>
      </c>
      <c r="G1058">
        <v>2</v>
      </c>
      <c r="H1058">
        <f>_xlfn.XLOOKUP(C1058,Products!A:A,Products!D:D)</f>
        <v>131.79</v>
      </c>
      <c r="I1058">
        <v>0</v>
      </c>
      <c r="J1058">
        <f t="shared" si="50"/>
        <v>263.58</v>
      </c>
      <c r="K1058" t="s">
        <v>2024</v>
      </c>
      <c r="L1058" t="str">
        <f>_xlfn.XLOOKUP(Orders[[#This Row],[ProductID]],Products!A:A,Products!C:C)</f>
        <v>Beauty</v>
      </c>
    </row>
    <row r="1059" spans="1:12" x14ac:dyDescent="0.3">
      <c r="A1059">
        <v>1058</v>
      </c>
      <c r="B1059">
        <v>919</v>
      </c>
      <c r="C1059">
        <v>44</v>
      </c>
      <c r="D1059" t="s">
        <v>386</v>
      </c>
      <c r="E1059">
        <f t="shared" si="48"/>
        <v>2023</v>
      </c>
      <c r="F1059" t="str">
        <f t="shared" si="49"/>
        <v>Oct</v>
      </c>
      <c r="G1059">
        <v>3</v>
      </c>
      <c r="H1059">
        <f>_xlfn.XLOOKUP(C1059,Products!A:A,Products!D:D)</f>
        <v>1038</v>
      </c>
      <c r="I1059">
        <v>20</v>
      </c>
      <c r="J1059">
        <f t="shared" si="50"/>
        <v>2491.2000000000003</v>
      </c>
      <c r="K1059" t="s">
        <v>2019</v>
      </c>
      <c r="L1059" t="str">
        <f>_xlfn.XLOOKUP(Orders[[#This Row],[ProductID]],Products!A:A,Products!C:C)</f>
        <v>Home</v>
      </c>
    </row>
    <row r="1060" spans="1:12" x14ac:dyDescent="0.3">
      <c r="A1060">
        <v>1059</v>
      </c>
      <c r="B1060">
        <v>920</v>
      </c>
      <c r="C1060">
        <v>6</v>
      </c>
      <c r="D1060" t="s">
        <v>752</v>
      </c>
      <c r="E1060">
        <f t="shared" si="48"/>
        <v>2023</v>
      </c>
      <c r="F1060" t="str">
        <f t="shared" si="49"/>
        <v>Feb</v>
      </c>
      <c r="G1060">
        <v>3</v>
      </c>
      <c r="H1060">
        <f>_xlfn.XLOOKUP(C1060,Products!A:A,Products!D:D)</f>
        <v>719.19</v>
      </c>
      <c r="I1060">
        <v>10</v>
      </c>
      <c r="J1060">
        <f t="shared" si="50"/>
        <v>1941.8130000000001</v>
      </c>
      <c r="K1060" t="s">
        <v>2017</v>
      </c>
      <c r="L1060" t="str">
        <f>_xlfn.XLOOKUP(Orders[[#This Row],[ProductID]],Products!A:A,Products!C:C)</f>
        <v>Clothing</v>
      </c>
    </row>
    <row r="1061" spans="1:12" x14ac:dyDescent="0.3">
      <c r="A1061">
        <v>1060</v>
      </c>
      <c r="B1061">
        <v>920</v>
      </c>
      <c r="C1061">
        <v>53</v>
      </c>
      <c r="D1061" t="s">
        <v>1396</v>
      </c>
      <c r="E1061">
        <f t="shared" si="48"/>
        <v>2023</v>
      </c>
      <c r="F1061" t="str">
        <f t="shared" si="49"/>
        <v>Nov</v>
      </c>
      <c r="G1061">
        <v>2</v>
      </c>
      <c r="H1061">
        <f>_xlfn.XLOOKUP(C1061,Products!A:A,Products!D:D)</f>
        <v>194.34</v>
      </c>
      <c r="I1061">
        <v>15</v>
      </c>
      <c r="J1061">
        <f t="shared" si="50"/>
        <v>330.37799999999999</v>
      </c>
      <c r="K1061" t="s">
        <v>2024</v>
      </c>
      <c r="L1061" t="str">
        <f>_xlfn.XLOOKUP(Orders[[#This Row],[ProductID]],Products!A:A,Products!C:C)</f>
        <v>Home</v>
      </c>
    </row>
    <row r="1062" spans="1:12" x14ac:dyDescent="0.3">
      <c r="A1062">
        <v>1061</v>
      </c>
      <c r="B1062">
        <v>921</v>
      </c>
      <c r="C1062">
        <v>62</v>
      </c>
      <c r="D1062" t="s">
        <v>2218</v>
      </c>
      <c r="E1062">
        <f t="shared" si="48"/>
        <v>2023</v>
      </c>
      <c r="F1062" t="str">
        <f t="shared" si="49"/>
        <v>Dec</v>
      </c>
      <c r="G1062">
        <v>1</v>
      </c>
      <c r="H1062">
        <f>_xlfn.XLOOKUP(C1062,Products!A:A,Products!D:D)</f>
        <v>196.96</v>
      </c>
      <c r="I1062">
        <v>5</v>
      </c>
      <c r="J1062">
        <f t="shared" si="50"/>
        <v>187.11199999999999</v>
      </c>
      <c r="K1062" t="s">
        <v>2015</v>
      </c>
      <c r="L1062" t="str">
        <f>_xlfn.XLOOKUP(Orders[[#This Row],[ProductID]],Products!A:A,Products!C:C)</f>
        <v>Electronics</v>
      </c>
    </row>
    <row r="1063" spans="1:12" x14ac:dyDescent="0.3">
      <c r="A1063">
        <v>1062</v>
      </c>
      <c r="B1063">
        <v>921</v>
      </c>
      <c r="C1063">
        <v>66</v>
      </c>
      <c r="D1063" t="s">
        <v>1658</v>
      </c>
      <c r="E1063">
        <f t="shared" si="48"/>
        <v>2023</v>
      </c>
      <c r="F1063" t="str">
        <f t="shared" si="49"/>
        <v>Feb</v>
      </c>
      <c r="G1063">
        <v>1</v>
      </c>
      <c r="H1063">
        <f>_xlfn.XLOOKUP(C1063,Products!A:A,Products!D:D)</f>
        <v>783.37</v>
      </c>
      <c r="I1063">
        <v>0</v>
      </c>
      <c r="J1063">
        <f t="shared" si="50"/>
        <v>783.37</v>
      </c>
      <c r="K1063" t="s">
        <v>2015</v>
      </c>
      <c r="L1063" t="str">
        <f>_xlfn.XLOOKUP(Orders[[#This Row],[ProductID]],Products!A:A,Products!C:C)</f>
        <v>Home</v>
      </c>
    </row>
    <row r="1064" spans="1:12" x14ac:dyDescent="0.3">
      <c r="A1064">
        <v>1063</v>
      </c>
      <c r="B1064">
        <v>922</v>
      </c>
      <c r="C1064">
        <v>76</v>
      </c>
      <c r="D1064" t="s">
        <v>1347</v>
      </c>
      <c r="E1064">
        <f t="shared" si="48"/>
        <v>2023</v>
      </c>
      <c r="F1064" t="str">
        <f t="shared" si="49"/>
        <v>Jul</v>
      </c>
      <c r="G1064">
        <v>3</v>
      </c>
      <c r="H1064">
        <f>_xlfn.XLOOKUP(C1064,Products!A:A,Products!D:D)</f>
        <v>1043.26</v>
      </c>
      <c r="I1064">
        <v>15</v>
      </c>
      <c r="J1064">
        <f t="shared" si="50"/>
        <v>2660.3129999999996</v>
      </c>
      <c r="K1064" t="s">
        <v>2017</v>
      </c>
      <c r="L1064" t="str">
        <f>_xlfn.XLOOKUP(Orders[[#This Row],[ProductID]],Products!A:A,Products!C:C)</f>
        <v>Clothing</v>
      </c>
    </row>
    <row r="1065" spans="1:12" x14ac:dyDescent="0.3">
      <c r="A1065">
        <v>1064</v>
      </c>
      <c r="B1065">
        <v>922</v>
      </c>
      <c r="C1065">
        <v>42</v>
      </c>
      <c r="D1065" t="s">
        <v>871</v>
      </c>
      <c r="E1065">
        <f t="shared" si="48"/>
        <v>2023</v>
      </c>
      <c r="F1065" t="str">
        <f t="shared" si="49"/>
        <v>Aug</v>
      </c>
      <c r="G1065">
        <v>1</v>
      </c>
      <c r="H1065">
        <f>_xlfn.XLOOKUP(C1065,Products!A:A,Products!D:D)</f>
        <v>233.11</v>
      </c>
      <c r="I1065">
        <v>20</v>
      </c>
      <c r="J1065">
        <f t="shared" si="50"/>
        <v>186.48800000000003</v>
      </c>
      <c r="K1065" t="s">
        <v>2015</v>
      </c>
      <c r="L1065" t="str">
        <f>_xlfn.XLOOKUP(Orders[[#This Row],[ProductID]],Products!A:A,Products!C:C)</f>
        <v>Home</v>
      </c>
    </row>
    <row r="1066" spans="1:12" x14ac:dyDescent="0.3">
      <c r="A1066">
        <v>1065</v>
      </c>
      <c r="B1066">
        <v>923</v>
      </c>
      <c r="C1066">
        <v>36</v>
      </c>
      <c r="D1066" t="s">
        <v>2173</v>
      </c>
      <c r="E1066">
        <f t="shared" si="48"/>
        <v>2024</v>
      </c>
      <c r="F1066" t="str">
        <f t="shared" si="49"/>
        <v>Apr</v>
      </c>
      <c r="G1066">
        <v>1</v>
      </c>
      <c r="H1066">
        <f>_xlfn.XLOOKUP(C1066,Products!A:A,Products!D:D)</f>
        <v>992.01</v>
      </c>
      <c r="I1066">
        <v>5</v>
      </c>
      <c r="J1066">
        <f t="shared" si="50"/>
        <v>942.40949999999998</v>
      </c>
      <c r="K1066" t="s">
        <v>2024</v>
      </c>
      <c r="L1066" t="str">
        <f>_xlfn.XLOOKUP(Orders[[#This Row],[ProductID]],Products!A:A,Products!C:C)</f>
        <v>Beauty</v>
      </c>
    </row>
    <row r="1067" spans="1:12" x14ac:dyDescent="0.3">
      <c r="A1067">
        <v>1066</v>
      </c>
      <c r="B1067">
        <v>923</v>
      </c>
      <c r="C1067">
        <v>64</v>
      </c>
      <c r="D1067" t="s">
        <v>623</v>
      </c>
      <c r="E1067">
        <f t="shared" si="48"/>
        <v>2023</v>
      </c>
      <c r="F1067" t="str">
        <f t="shared" si="49"/>
        <v>Jun</v>
      </c>
      <c r="G1067">
        <v>1</v>
      </c>
      <c r="H1067">
        <f>_xlfn.XLOOKUP(C1067,Products!A:A,Products!D:D)</f>
        <v>567.71</v>
      </c>
      <c r="I1067">
        <v>20</v>
      </c>
      <c r="J1067">
        <f t="shared" si="50"/>
        <v>454.16800000000006</v>
      </c>
      <c r="K1067" t="s">
        <v>2015</v>
      </c>
      <c r="L1067" t="str">
        <f>_xlfn.XLOOKUP(Orders[[#This Row],[ProductID]],Products!A:A,Products!C:C)</f>
        <v>Clothing</v>
      </c>
    </row>
    <row r="1068" spans="1:12" x14ac:dyDescent="0.3">
      <c r="A1068">
        <v>1067</v>
      </c>
      <c r="B1068">
        <v>924</v>
      </c>
      <c r="C1068">
        <v>68</v>
      </c>
      <c r="D1068" t="s">
        <v>1537</v>
      </c>
      <c r="E1068">
        <f t="shared" si="48"/>
        <v>2023</v>
      </c>
      <c r="F1068" t="str">
        <f t="shared" si="49"/>
        <v>Oct</v>
      </c>
      <c r="G1068">
        <v>3</v>
      </c>
      <c r="H1068">
        <f>_xlfn.XLOOKUP(C1068,Products!A:A,Products!D:D)</f>
        <v>180.99</v>
      </c>
      <c r="I1068">
        <v>15</v>
      </c>
      <c r="J1068">
        <f t="shared" si="50"/>
        <v>461.52449999999999</v>
      </c>
      <c r="K1068" t="s">
        <v>2024</v>
      </c>
      <c r="L1068" t="str">
        <f>_xlfn.XLOOKUP(Orders[[#This Row],[ProductID]],Products!A:A,Products!C:C)</f>
        <v>Clothing</v>
      </c>
    </row>
    <row r="1069" spans="1:12" x14ac:dyDescent="0.3">
      <c r="A1069">
        <v>1068</v>
      </c>
      <c r="B1069">
        <v>924</v>
      </c>
      <c r="C1069">
        <v>42</v>
      </c>
      <c r="D1069" t="s">
        <v>1884</v>
      </c>
      <c r="E1069">
        <f t="shared" si="48"/>
        <v>2023</v>
      </c>
      <c r="F1069" t="str">
        <f t="shared" si="49"/>
        <v>Jul</v>
      </c>
      <c r="G1069">
        <v>2</v>
      </c>
      <c r="H1069">
        <f>_xlfn.XLOOKUP(C1069,Products!A:A,Products!D:D)</f>
        <v>233.11</v>
      </c>
      <c r="I1069">
        <v>5</v>
      </c>
      <c r="J1069">
        <f t="shared" si="50"/>
        <v>442.90899999999999</v>
      </c>
      <c r="K1069" t="s">
        <v>2021</v>
      </c>
      <c r="L1069" t="str">
        <f>_xlfn.XLOOKUP(Orders[[#This Row],[ProductID]],Products!A:A,Products!C:C)</f>
        <v>Home</v>
      </c>
    </row>
    <row r="1070" spans="1:12" x14ac:dyDescent="0.3">
      <c r="A1070">
        <v>1069</v>
      </c>
      <c r="B1070">
        <v>925</v>
      </c>
      <c r="C1070">
        <v>6</v>
      </c>
      <c r="D1070" t="s">
        <v>2036</v>
      </c>
      <c r="E1070">
        <f t="shared" si="48"/>
        <v>2024</v>
      </c>
      <c r="F1070" t="str">
        <f t="shared" si="49"/>
        <v>Feb</v>
      </c>
      <c r="G1070">
        <v>3</v>
      </c>
      <c r="H1070">
        <f>_xlfn.XLOOKUP(C1070,Products!A:A,Products!D:D)</f>
        <v>719.19</v>
      </c>
      <c r="I1070">
        <v>5</v>
      </c>
      <c r="J1070">
        <f t="shared" si="50"/>
        <v>2049.6914999999999</v>
      </c>
      <c r="K1070" t="s">
        <v>2017</v>
      </c>
      <c r="L1070" t="str">
        <f>_xlfn.XLOOKUP(Orders[[#This Row],[ProductID]],Products!A:A,Products!C:C)</f>
        <v>Clothing</v>
      </c>
    </row>
    <row r="1071" spans="1:12" x14ac:dyDescent="0.3">
      <c r="A1071">
        <v>1070</v>
      </c>
      <c r="B1071">
        <v>925</v>
      </c>
      <c r="C1071">
        <v>67</v>
      </c>
      <c r="D1071" t="s">
        <v>2215</v>
      </c>
      <c r="E1071">
        <f t="shared" si="48"/>
        <v>2023</v>
      </c>
      <c r="F1071" t="str">
        <f t="shared" si="49"/>
        <v>May</v>
      </c>
      <c r="G1071">
        <v>3</v>
      </c>
      <c r="H1071">
        <f>_xlfn.XLOOKUP(C1071,Products!A:A,Products!D:D)</f>
        <v>258.35000000000002</v>
      </c>
      <c r="I1071">
        <v>20</v>
      </c>
      <c r="J1071">
        <f t="shared" si="50"/>
        <v>620.04000000000008</v>
      </c>
      <c r="K1071" t="s">
        <v>2024</v>
      </c>
      <c r="L1071" t="str">
        <f>_xlfn.XLOOKUP(Orders[[#This Row],[ProductID]],Products!A:A,Products!C:C)</f>
        <v>Electronics</v>
      </c>
    </row>
    <row r="1072" spans="1:12" x14ac:dyDescent="0.3">
      <c r="A1072">
        <v>1071</v>
      </c>
      <c r="B1072">
        <v>926</v>
      </c>
      <c r="C1072">
        <v>13</v>
      </c>
      <c r="D1072" t="s">
        <v>1925</v>
      </c>
      <c r="E1072">
        <f t="shared" si="48"/>
        <v>2023</v>
      </c>
      <c r="F1072" t="str">
        <f t="shared" si="49"/>
        <v>Jun</v>
      </c>
      <c r="G1072">
        <v>2</v>
      </c>
      <c r="H1072">
        <f>_xlfn.XLOOKUP(C1072,Products!A:A,Products!D:D)</f>
        <v>334.61</v>
      </c>
      <c r="I1072">
        <v>5</v>
      </c>
      <c r="J1072">
        <f t="shared" si="50"/>
        <v>635.75900000000001</v>
      </c>
      <c r="K1072" t="s">
        <v>2019</v>
      </c>
      <c r="L1072" t="str">
        <f>_xlfn.XLOOKUP(Orders[[#This Row],[ProductID]],Products!A:A,Products!C:C)</f>
        <v>Home</v>
      </c>
    </row>
    <row r="1073" spans="1:12" x14ac:dyDescent="0.3">
      <c r="A1073">
        <v>1072</v>
      </c>
      <c r="B1073">
        <v>926</v>
      </c>
      <c r="C1073">
        <v>37</v>
      </c>
      <c r="D1073" t="s">
        <v>1100</v>
      </c>
      <c r="E1073">
        <f t="shared" si="48"/>
        <v>2023</v>
      </c>
      <c r="F1073" t="str">
        <f t="shared" si="49"/>
        <v>May</v>
      </c>
      <c r="G1073">
        <v>2</v>
      </c>
      <c r="H1073">
        <f>_xlfn.XLOOKUP(C1073,Products!A:A,Products!D:D)</f>
        <v>968.87</v>
      </c>
      <c r="I1073">
        <v>15</v>
      </c>
      <c r="J1073">
        <f t="shared" si="50"/>
        <v>1647.079</v>
      </c>
      <c r="K1073" t="s">
        <v>2021</v>
      </c>
      <c r="L1073" t="str">
        <f>_xlfn.XLOOKUP(Orders[[#This Row],[ProductID]],Products!A:A,Products!C:C)</f>
        <v>Home</v>
      </c>
    </row>
    <row r="1074" spans="1:12" x14ac:dyDescent="0.3">
      <c r="A1074">
        <v>1073</v>
      </c>
      <c r="B1074">
        <v>927</v>
      </c>
      <c r="C1074">
        <v>22</v>
      </c>
      <c r="D1074" t="s">
        <v>1662</v>
      </c>
      <c r="E1074">
        <f t="shared" si="48"/>
        <v>2023</v>
      </c>
      <c r="F1074" t="str">
        <f t="shared" si="49"/>
        <v>May</v>
      </c>
      <c r="G1074">
        <v>2</v>
      </c>
      <c r="H1074">
        <f>_xlfn.XLOOKUP(C1074,Products!A:A,Products!D:D)</f>
        <v>373.43</v>
      </c>
      <c r="I1074">
        <v>20</v>
      </c>
      <c r="J1074">
        <f t="shared" si="50"/>
        <v>597.48800000000006</v>
      </c>
      <c r="K1074" t="s">
        <v>2019</v>
      </c>
      <c r="L1074" t="str">
        <f>_xlfn.XLOOKUP(Orders[[#This Row],[ProductID]],Products!A:A,Products!C:C)</f>
        <v>Beauty</v>
      </c>
    </row>
    <row r="1075" spans="1:12" x14ac:dyDescent="0.3">
      <c r="A1075">
        <v>1074</v>
      </c>
      <c r="B1075">
        <v>927</v>
      </c>
      <c r="C1075">
        <v>30</v>
      </c>
      <c r="D1075" t="s">
        <v>2192</v>
      </c>
      <c r="E1075">
        <f t="shared" si="48"/>
        <v>2023</v>
      </c>
      <c r="F1075" t="str">
        <f t="shared" si="49"/>
        <v>Dec</v>
      </c>
      <c r="G1075">
        <v>2</v>
      </c>
      <c r="H1075">
        <f>_xlfn.XLOOKUP(C1075,Products!A:A,Products!D:D)</f>
        <v>866.89</v>
      </c>
      <c r="I1075">
        <v>5</v>
      </c>
      <c r="J1075">
        <f t="shared" si="50"/>
        <v>1647.0909999999999</v>
      </c>
      <c r="K1075" t="s">
        <v>2019</v>
      </c>
      <c r="L1075" t="str">
        <f>_xlfn.XLOOKUP(Orders[[#This Row],[ProductID]],Products!A:A,Products!C:C)</f>
        <v>Electronics</v>
      </c>
    </row>
    <row r="1076" spans="1:12" x14ac:dyDescent="0.3">
      <c r="A1076">
        <v>1075</v>
      </c>
      <c r="B1076">
        <v>928</v>
      </c>
      <c r="C1076">
        <v>27</v>
      </c>
      <c r="D1076" t="s">
        <v>1032</v>
      </c>
      <c r="E1076">
        <f t="shared" si="48"/>
        <v>2023</v>
      </c>
      <c r="F1076" t="str">
        <f t="shared" si="49"/>
        <v>Oct</v>
      </c>
      <c r="G1076">
        <v>3</v>
      </c>
      <c r="H1076">
        <f>_xlfn.XLOOKUP(C1076,Products!A:A,Products!D:D)</f>
        <v>76.09</v>
      </c>
      <c r="I1076">
        <v>5</v>
      </c>
      <c r="J1076">
        <f t="shared" si="50"/>
        <v>216.85650000000001</v>
      </c>
      <c r="K1076" t="s">
        <v>2019</v>
      </c>
      <c r="L1076" t="str">
        <f>_xlfn.XLOOKUP(Orders[[#This Row],[ProductID]],Products!A:A,Products!C:C)</f>
        <v>Clothing</v>
      </c>
    </row>
    <row r="1077" spans="1:12" x14ac:dyDescent="0.3">
      <c r="A1077">
        <v>1076</v>
      </c>
      <c r="B1077">
        <v>928</v>
      </c>
      <c r="C1077">
        <v>77</v>
      </c>
      <c r="D1077" t="s">
        <v>2023</v>
      </c>
      <c r="E1077">
        <f t="shared" si="48"/>
        <v>2024</v>
      </c>
      <c r="F1077" t="str">
        <f t="shared" si="49"/>
        <v>Apr</v>
      </c>
      <c r="G1077">
        <v>1</v>
      </c>
      <c r="H1077">
        <f>_xlfn.XLOOKUP(C1077,Products!A:A,Products!D:D)</f>
        <v>1078.19</v>
      </c>
      <c r="I1077">
        <v>20</v>
      </c>
      <c r="J1077">
        <f t="shared" si="50"/>
        <v>862.55200000000013</v>
      </c>
      <c r="K1077" t="s">
        <v>2015</v>
      </c>
      <c r="L1077" t="str">
        <f>_xlfn.XLOOKUP(Orders[[#This Row],[ProductID]],Products!A:A,Products!C:C)</f>
        <v>Home</v>
      </c>
    </row>
    <row r="1078" spans="1:12" x14ac:dyDescent="0.3">
      <c r="A1078">
        <v>1077</v>
      </c>
      <c r="B1078">
        <v>929</v>
      </c>
      <c r="C1078">
        <v>25</v>
      </c>
      <c r="D1078" t="s">
        <v>1085</v>
      </c>
      <c r="E1078">
        <f t="shared" si="48"/>
        <v>2023</v>
      </c>
      <c r="F1078" t="str">
        <f t="shared" si="49"/>
        <v>Jan</v>
      </c>
      <c r="G1078">
        <v>2</v>
      </c>
      <c r="H1078">
        <f>_xlfn.XLOOKUP(C1078,Products!A:A,Products!D:D)</f>
        <v>1011.65</v>
      </c>
      <c r="I1078">
        <v>0</v>
      </c>
      <c r="J1078">
        <f t="shared" si="50"/>
        <v>2023.3</v>
      </c>
      <c r="K1078" t="s">
        <v>2024</v>
      </c>
      <c r="L1078" t="str">
        <f>_xlfn.XLOOKUP(Orders[[#This Row],[ProductID]],Products!A:A,Products!C:C)</f>
        <v>Electronics</v>
      </c>
    </row>
    <row r="1079" spans="1:12" x14ac:dyDescent="0.3">
      <c r="A1079">
        <v>1078</v>
      </c>
      <c r="B1079">
        <v>929</v>
      </c>
      <c r="C1079">
        <v>27</v>
      </c>
      <c r="D1079" t="s">
        <v>1243</v>
      </c>
      <c r="E1079">
        <f t="shared" si="48"/>
        <v>2023</v>
      </c>
      <c r="F1079" t="str">
        <f t="shared" si="49"/>
        <v>May</v>
      </c>
      <c r="G1079">
        <v>3</v>
      </c>
      <c r="H1079">
        <f>_xlfn.XLOOKUP(C1079,Products!A:A,Products!D:D)</f>
        <v>76.09</v>
      </c>
      <c r="I1079">
        <v>15</v>
      </c>
      <c r="J1079">
        <f t="shared" si="50"/>
        <v>194.02950000000001</v>
      </c>
      <c r="K1079" t="s">
        <v>2017</v>
      </c>
      <c r="L1079" t="str">
        <f>_xlfn.XLOOKUP(Orders[[#This Row],[ProductID]],Products!A:A,Products!C:C)</f>
        <v>Clothing</v>
      </c>
    </row>
    <row r="1080" spans="1:12" x14ac:dyDescent="0.3">
      <c r="A1080">
        <v>1079</v>
      </c>
      <c r="B1080">
        <v>930</v>
      </c>
      <c r="C1080">
        <v>67</v>
      </c>
      <c r="D1080" t="s">
        <v>1138</v>
      </c>
      <c r="E1080">
        <f t="shared" si="48"/>
        <v>2023</v>
      </c>
      <c r="F1080" t="str">
        <f t="shared" si="49"/>
        <v>Mar</v>
      </c>
      <c r="G1080">
        <v>2</v>
      </c>
      <c r="H1080">
        <f>_xlfn.XLOOKUP(C1080,Products!A:A,Products!D:D)</f>
        <v>258.35000000000002</v>
      </c>
      <c r="I1080">
        <v>10</v>
      </c>
      <c r="J1080">
        <f t="shared" si="50"/>
        <v>465.03000000000003</v>
      </c>
      <c r="K1080" t="s">
        <v>2019</v>
      </c>
      <c r="L1080" t="str">
        <f>_xlfn.XLOOKUP(Orders[[#This Row],[ProductID]],Products!A:A,Products!C:C)</f>
        <v>Electronics</v>
      </c>
    </row>
    <row r="1081" spans="1:12" x14ac:dyDescent="0.3">
      <c r="A1081">
        <v>1080</v>
      </c>
      <c r="B1081">
        <v>930</v>
      </c>
      <c r="C1081">
        <v>16</v>
      </c>
      <c r="D1081" t="s">
        <v>292</v>
      </c>
      <c r="E1081">
        <f t="shared" si="48"/>
        <v>2023</v>
      </c>
      <c r="F1081" t="str">
        <f t="shared" si="49"/>
        <v>Aug</v>
      </c>
      <c r="G1081">
        <v>2</v>
      </c>
      <c r="H1081">
        <f>_xlfn.XLOOKUP(C1081,Products!A:A,Products!D:D)</f>
        <v>693.02</v>
      </c>
      <c r="I1081">
        <v>15</v>
      </c>
      <c r="J1081">
        <f t="shared" si="50"/>
        <v>1178.134</v>
      </c>
      <c r="K1081" t="s">
        <v>2024</v>
      </c>
      <c r="L1081" t="str">
        <f>_xlfn.XLOOKUP(Orders[[#This Row],[ProductID]],Products!A:A,Products!C:C)</f>
        <v>Home</v>
      </c>
    </row>
    <row r="1082" spans="1:12" x14ac:dyDescent="0.3">
      <c r="A1082">
        <v>1081</v>
      </c>
      <c r="B1082">
        <v>931</v>
      </c>
      <c r="C1082">
        <v>12</v>
      </c>
      <c r="D1082" t="s">
        <v>2207</v>
      </c>
      <c r="E1082">
        <f t="shared" si="48"/>
        <v>2024</v>
      </c>
      <c r="F1082" t="str">
        <f t="shared" si="49"/>
        <v>Mar</v>
      </c>
      <c r="G1082">
        <v>1</v>
      </c>
      <c r="H1082">
        <f>_xlfn.XLOOKUP(C1082,Products!A:A,Products!D:D)</f>
        <v>627.41999999999996</v>
      </c>
      <c r="I1082">
        <v>10</v>
      </c>
      <c r="J1082">
        <f t="shared" si="50"/>
        <v>564.678</v>
      </c>
      <c r="K1082" t="s">
        <v>2019</v>
      </c>
      <c r="L1082" t="str">
        <f>_xlfn.XLOOKUP(Orders[[#This Row],[ProductID]],Products!A:A,Products!C:C)</f>
        <v>Beauty</v>
      </c>
    </row>
    <row r="1083" spans="1:12" x14ac:dyDescent="0.3">
      <c r="A1083">
        <v>1082</v>
      </c>
      <c r="B1083">
        <v>931</v>
      </c>
      <c r="C1083">
        <v>46</v>
      </c>
      <c r="D1083" t="s">
        <v>2219</v>
      </c>
      <c r="E1083">
        <f t="shared" si="48"/>
        <v>2024</v>
      </c>
      <c r="F1083" t="str">
        <f t="shared" si="49"/>
        <v>Feb</v>
      </c>
      <c r="G1083">
        <v>1</v>
      </c>
      <c r="H1083">
        <f>_xlfn.XLOOKUP(C1083,Products!A:A,Products!D:D)</f>
        <v>1155.3</v>
      </c>
      <c r="I1083">
        <v>5</v>
      </c>
      <c r="J1083">
        <f t="shared" si="50"/>
        <v>1097.5349999999999</v>
      </c>
      <c r="K1083" t="s">
        <v>2019</v>
      </c>
      <c r="L1083" t="str">
        <f>_xlfn.XLOOKUP(Orders[[#This Row],[ProductID]],Products!A:A,Products!C:C)</f>
        <v>Beauty</v>
      </c>
    </row>
    <row r="1084" spans="1:12" x14ac:dyDescent="0.3">
      <c r="A1084">
        <v>1083</v>
      </c>
      <c r="B1084">
        <v>932</v>
      </c>
      <c r="C1084">
        <v>42</v>
      </c>
      <c r="D1084" t="s">
        <v>1837</v>
      </c>
      <c r="E1084">
        <f t="shared" si="48"/>
        <v>2023</v>
      </c>
      <c r="F1084" t="str">
        <f t="shared" si="49"/>
        <v>Mar</v>
      </c>
      <c r="G1084">
        <v>3</v>
      </c>
      <c r="H1084">
        <f>_xlfn.XLOOKUP(C1084,Products!A:A,Products!D:D)</f>
        <v>233.11</v>
      </c>
      <c r="I1084">
        <v>10</v>
      </c>
      <c r="J1084">
        <f t="shared" si="50"/>
        <v>629.39700000000005</v>
      </c>
      <c r="K1084" t="s">
        <v>2024</v>
      </c>
      <c r="L1084" t="str">
        <f>_xlfn.XLOOKUP(Orders[[#This Row],[ProductID]],Products!A:A,Products!C:C)</f>
        <v>Home</v>
      </c>
    </row>
    <row r="1085" spans="1:12" x14ac:dyDescent="0.3">
      <c r="A1085">
        <v>1084</v>
      </c>
      <c r="B1085">
        <v>932</v>
      </c>
      <c r="C1085">
        <v>59</v>
      </c>
      <c r="D1085" t="s">
        <v>1396</v>
      </c>
      <c r="E1085">
        <f t="shared" si="48"/>
        <v>2023</v>
      </c>
      <c r="F1085" t="str">
        <f t="shared" si="49"/>
        <v>Nov</v>
      </c>
      <c r="G1085">
        <v>3</v>
      </c>
      <c r="H1085">
        <f>_xlfn.XLOOKUP(C1085,Products!A:A,Products!D:D)</f>
        <v>782.33</v>
      </c>
      <c r="I1085">
        <v>20</v>
      </c>
      <c r="J1085">
        <f t="shared" si="50"/>
        <v>1877.5920000000003</v>
      </c>
      <c r="K1085" t="s">
        <v>2019</v>
      </c>
      <c r="L1085" t="str">
        <f>_xlfn.XLOOKUP(Orders[[#This Row],[ProductID]],Products!A:A,Products!C:C)</f>
        <v>Clothing</v>
      </c>
    </row>
    <row r="1086" spans="1:12" x14ac:dyDescent="0.3">
      <c r="A1086">
        <v>1085</v>
      </c>
      <c r="B1086">
        <v>933</v>
      </c>
      <c r="C1086">
        <v>41</v>
      </c>
      <c r="D1086" t="s">
        <v>2086</v>
      </c>
      <c r="E1086">
        <f t="shared" si="48"/>
        <v>2024</v>
      </c>
      <c r="F1086" t="str">
        <f t="shared" si="49"/>
        <v>Apr</v>
      </c>
      <c r="G1086">
        <v>1</v>
      </c>
      <c r="H1086">
        <f>_xlfn.XLOOKUP(C1086,Products!A:A,Products!D:D)</f>
        <v>554.80999999999995</v>
      </c>
      <c r="I1086">
        <v>15</v>
      </c>
      <c r="J1086">
        <f t="shared" si="50"/>
        <v>471.58849999999995</v>
      </c>
      <c r="K1086" t="s">
        <v>2019</v>
      </c>
      <c r="L1086" t="str">
        <f>_xlfn.XLOOKUP(Orders[[#This Row],[ProductID]],Products!A:A,Products!C:C)</f>
        <v>Home</v>
      </c>
    </row>
    <row r="1087" spans="1:12" x14ac:dyDescent="0.3">
      <c r="A1087">
        <v>1086</v>
      </c>
      <c r="B1087">
        <v>933</v>
      </c>
      <c r="C1087">
        <v>67</v>
      </c>
      <c r="D1087" t="s">
        <v>229</v>
      </c>
      <c r="E1087">
        <f t="shared" si="48"/>
        <v>2023</v>
      </c>
      <c r="F1087" t="str">
        <f t="shared" si="49"/>
        <v>Jun</v>
      </c>
      <c r="G1087">
        <v>1</v>
      </c>
      <c r="H1087">
        <f>_xlfn.XLOOKUP(C1087,Products!A:A,Products!D:D)</f>
        <v>258.35000000000002</v>
      </c>
      <c r="I1087">
        <v>20</v>
      </c>
      <c r="J1087">
        <f t="shared" si="50"/>
        <v>206.68000000000004</v>
      </c>
      <c r="K1087" t="s">
        <v>2019</v>
      </c>
      <c r="L1087" t="str">
        <f>_xlfn.XLOOKUP(Orders[[#This Row],[ProductID]],Products!A:A,Products!C:C)</f>
        <v>Electronics</v>
      </c>
    </row>
    <row r="1088" spans="1:12" x14ac:dyDescent="0.3">
      <c r="A1088">
        <v>1087</v>
      </c>
      <c r="B1088">
        <v>934</v>
      </c>
      <c r="C1088">
        <v>2</v>
      </c>
      <c r="D1088" t="s">
        <v>673</v>
      </c>
      <c r="E1088">
        <f t="shared" si="48"/>
        <v>2023</v>
      </c>
      <c r="F1088" t="str">
        <f t="shared" si="49"/>
        <v>May</v>
      </c>
      <c r="G1088">
        <v>1</v>
      </c>
      <c r="H1088">
        <f>_xlfn.XLOOKUP(C1088,Products!A:A,Products!D:D)</f>
        <v>427.27</v>
      </c>
      <c r="I1088">
        <v>20</v>
      </c>
      <c r="J1088">
        <f t="shared" si="50"/>
        <v>341.81600000000003</v>
      </c>
      <c r="K1088" t="s">
        <v>2017</v>
      </c>
      <c r="L1088" t="str">
        <f>_xlfn.XLOOKUP(Orders[[#This Row],[ProductID]],Products!A:A,Products!C:C)</f>
        <v>Home</v>
      </c>
    </row>
    <row r="1089" spans="1:12" x14ac:dyDescent="0.3">
      <c r="A1089">
        <v>1088</v>
      </c>
      <c r="B1089">
        <v>934</v>
      </c>
      <c r="C1089">
        <v>29</v>
      </c>
      <c r="D1089" t="s">
        <v>2194</v>
      </c>
      <c r="E1089">
        <f t="shared" si="48"/>
        <v>2023</v>
      </c>
      <c r="F1089" t="str">
        <f t="shared" si="49"/>
        <v>Dec</v>
      </c>
      <c r="G1089">
        <v>1</v>
      </c>
      <c r="H1089">
        <f>_xlfn.XLOOKUP(C1089,Products!A:A,Products!D:D)</f>
        <v>757</v>
      </c>
      <c r="I1089">
        <v>10</v>
      </c>
      <c r="J1089">
        <f t="shared" si="50"/>
        <v>681.30000000000007</v>
      </c>
      <c r="K1089" t="s">
        <v>2017</v>
      </c>
      <c r="L1089" t="str">
        <f>_xlfn.XLOOKUP(Orders[[#This Row],[ProductID]],Products!A:A,Products!C:C)</f>
        <v>Clothing</v>
      </c>
    </row>
    <row r="1090" spans="1:12" x14ac:dyDescent="0.3">
      <c r="A1090">
        <v>1089</v>
      </c>
      <c r="B1090">
        <v>935</v>
      </c>
      <c r="C1090">
        <v>20</v>
      </c>
      <c r="D1090" t="s">
        <v>1470</v>
      </c>
      <c r="E1090">
        <f t="shared" si="48"/>
        <v>2023</v>
      </c>
      <c r="F1090" t="str">
        <f t="shared" si="49"/>
        <v>Sep</v>
      </c>
      <c r="G1090">
        <v>1</v>
      </c>
      <c r="H1090">
        <f>_xlfn.XLOOKUP(C1090,Products!A:A,Products!D:D)</f>
        <v>613.27</v>
      </c>
      <c r="I1090">
        <v>15</v>
      </c>
      <c r="J1090">
        <f t="shared" si="50"/>
        <v>521.27949999999998</v>
      </c>
      <c r="K1090" t="s">
        <v>2024</v>
      </c>
      <c r="L1090" t="str">
        <f>_xlfn.XLOOKUP(Orders[[#This Row],[ProductID]],Products!A:A,Products!C:C)</f>
        <v>Home</v>
      </c>
    </row>
    <row r="1091" spans="1:12" x14ac:dyDescent="0.3">
      <c r="A1091">
        <v>1090</v>
      </c>
      <c r="B1091">
        <v>935</v>
      </c>
      <c r="C1091">
        <v>17</v>
      </c>
      <c r="D1091" t="s">
        <v>2107</v>
      </c>
      <c r="E1091">
        <f t="shared" ref="E1091:E1154" si="51">YEAR(D1091)</f>
        <v>2023</v>
      </c>
      <c r="F1091" t="str">
        <f t="shared" ref="F1091:F1154" si="52">TEXT(D1091,"mmm")</f>
        <v>Apr</v>
      </c>
      <c r="G1091">
        <v>3</v>
      </c>
      <c r="H1091">
        <f>_xlfn.XLOOKUP(C1091,Products!A:A,Products!D:D)</f>
        <v>695.6</v>
      </c>
      <c r="I1091">
        <v>0</v>
      </c>
      <c r="J1091">
        <f t="shared" ref="J1091:J1154" si="53">G1091*H1091*(1-I1091/100)</f>
        <v>2086.8000000000002</v>
      </c>
      <c r="K1091" t="s">
        <v>2015</v>
      </c>
      <c r="L1091" t="str">
        <f>_xlfn.XLOOKUP(Orders[[#This Row],[ProductID]],Products!A:A,Products!C:C)</f>
        <v>Clothing</v>
      </c>
    </row>
    <row r="1092" spans="1:12" x14ac:dyDescent="0.3">
      <c r="A1092">
        <v>1091</v>
      </c>
      <c r="B1092">
        <v>936</v>
      </c>
      <c r="C1092">
        <v>28</v>
      </c>
      <c r="D1092" t="s">
        <v>1282</v>
      </c>
      <c r="E1092">
        <f t="shared" si="51"/>
        <v>2023</v>
      </c>
      <c r="F1092" t="str">
        <f t="shared" si="52"/>
        <v>Jan</v>
      </c>
      <c r="G1092">
        <v>2</v>
      </c>
      <c r="H1092">
        <f>_xlfn.XLOOKUP(C1092,Products!A:A,Products!D:D)</f>
        <v>494.39</v>
      </c>
      <c r="I1092">
        <v>0</v>
      </c>
      <c r="J1092">
        <f t="shared" si="53"/>
        <v>988.78</v>
      </c>
      <c r="K1092" t="s">
        <v>2017</v>
      </c>
      <c r="L1092" t="str">
        <f>_xlfn.XLOOKUP(Orders[[#This Row],[ProductID]],Products!A:A,Products!C:C)</f>
        <v>Beauty</v>
      </c>
    </row>
    <row r="1093" spans="1:12" x14ac:dyDescent="0.3">
      <c r="A1093">
        <v>1092</v>
      </c>
      <c r="B1093">
        <v>936</v>
      </c>
      <c r="C1093">
        <v>72</v>
      </c>
      <c r="D1093" t="s">
        <v>301</v>
      </c>
      <c r="E1093">
        <f t="shared" si="51"/>
        <v>2023</v>
      </c>
      <c r="F1093" t="str">
        <f t="shared" si="52"/>
        <v>Nov</v>
      </c>
      <c r="G1093">
        <v>1</v>
      </c>
      <c r="H1093">
        <f>_xlfn.XLOOKUP(C1093,Products!A:A,Products!D:D)</f>
        <v>1157.27</v>
      </c>
      <c r="I1093">
        <v>5</v>
      </c>
      <c r="J1093">
        <f t="shared" si="53"/>
        <v>1099.4064999999998</v>
      </c>
      <c r="K1093" t="s">
        <v>2019</v>
      </c>
      <c r="L1093" t="str">
        <f>_xlfn.XLOOKUP(Orders[[#This Row],[ProductID]],Products!A:A,Products!C:C)</f>
        <v>Electronics</v>
      </c>
    </row>
    <row r="1094" spans="1:12" x14ac:dyDescent="0.3">
      <c r="A1094">
        <v>1093</v>
      </c>
      <c r="B1094">
        <v>937</v>
      </c>
      <c r="C1094">
        <v>54</v>
      </c>
      <c r="D1094" t="s">
        <v>2165</v>
      </c>
      <c r="E1094">
        <f t="shared" si="51"/>
        <v>2023</v>
      </c>
      <c r="F1094" t="str">
        <f t="shared" si="52"/>
        <v>Dec</v>
      </c>
      <c r="G1094">
        <v>2</v>
      </c>
      <c r="H1094">
        <f>_xlfn.XLOOKUP(C1094,Products!A:A,Products!D:D)</f>
        <v>900.79</v>
      </c>
      <c r="I1094">
        <v>20</v>
      </c>
      <c r="J1094">
        <f t="shared" si="53"/>
        <v>1441.2640000000001</v>
      </c>
      <c r="K1094" t="s">
        <v>2017</v>
      </c>
      <c r="L1094" t="str">
        <f>_xlfn.XLOOKUP(Orders[[#This Row],[ProductID]],Products!A:A,Products!C:C)</f>
        <v>Electronics</v>
      </c>
    </row>
    <row r="1095" spans="1:12" x14ac:dyDescent="0.3">
      <c r="A1095">
        <v>1094</v>
      </c>
      <c r="B1095">
        <v>937</v>
      </c>
      <c r="C1095">
        <v>75</v>
      </c>
      <c r="D1095" t="s">
        <v>534</v>
      </c>
      <c r="E1095">
        <f t="shared" si="51"/>
        <v>2023</v>
      </c>
      <c r="F1095" t="str">
        <f t="shared" si="52"/>
        <v>May</v>
      </c>
      <c r="G1095">
        <v>3</v>
      </c>
      <c r="H1095">
        <f>_xlfn.XLOOKUP(C1095,Products!A:A,Products!D:D)</f>
        <v>390.41</v>
      </c>
      <c r="I1095">
        <v>10</v>
      </c>
      <c r="J1095">
        <f t="shared" si="53"/>
        <v>1054.107</v>
      </c>
      <c r="K1095" t="s">
        <v>2017</v>
      </c>
      <c r="L1095" t="str">
        <f>_xlfn.XLOOKUP(Orders[[#This Row],[ProductID]],Products!A:A,Products!C:C)</f>
        <v>Electronics</v>
      </c>
    </row>
    <row r="1096" spans="1:12" x14ac:dyDescent="0.3">
      <c r="A1096">
        <v>1095</v>
      </c>
      <c r="B1096">
        <v>938</v>
      </c>
      <c r="C1096">
        <v>68</v>
      </c>
      <c r="D1096" t="s">
        <v>2136</v>
      </c>
      <c r="E1096">
        <f t="shared" si="51"/>
        <v>2023</v>
      </c>
      <c r="F1096" t="str">
        <f t="shared" si="52"/>
        <v>Dec</v>
      </c>
      <c r="G1096">
        <v>1</v>
      </c>
      <c r="H1096">
        <f>_xlfn.XLOOKUP(C1096,Products!A:A,Products!D:D)</f>
        <v>180.99</v>
      </c>
      <c r="I1096">
        <v>10</v>
      </c>
      <c r="J1096">
        <f t="shared" si="53"/>
        <v>162.89100000000002</v>
      </c>
      <c r="K1096" t="s">
        <v>2021</v>
      </c>
      <c r="L1096" t="str">
        <f>_xlfn.XLOOKUP(Orders[[#This Row],[ProductID]],Products!A:A,Products!C:C)</f>
        <v>Clothing</v>
      </c>
    </row>
    <row r="1097" spans="1:12" x14ac:dyDescent="0.3">
      <c r="A1097">
        <v>1096</v>
      </c>
      <c r="B1097">
        <v>938</v>
      </c>
      <c r="C1097">
        <v>38</v>
      </c>
      <c r="D1097" t="s">
        <v>2220</v>
      </c>
      <c r="E1097">
        <f t="shared" si="51"/>
        <v>2023</v>
      </c>
      <c r="F1097" t="str">
        <f t="shared" si="52"/>
        <v>Dec</v>
      </c>
      <c r="G1097">
        <v>2</v>
      </c>
      <c r="H1097">
        <f>_xlfn.XLOOKUP(C1097,Products!A:A,Products!D:D)</f>
        <v>802.88</v>
      </c>
      <c r="I1097">
        <v>15</v>
      </c>
      <c r="J1097">
        <f t="shared" si="53"/>
        <v>1364.896</v>
      </c>
      <c r="K1097" t="s">
        <v>2017</v>
      </c>
      <c r="L1097" t="str">
        <f>_xlfn.XLOOKUP(Orders[[#This Row],[ProductID]],Products!A:A,Products!C:C)</f>
        <v>Home</v>
      </c>
    </row>
    <row r="1098" spans="1:12" x14ac:dyDescent="0.3">
      <c r="A1098">
        <v>1097</v>
      </c>
      <c r="B1098">
        <v>939</v>
      </c>
      <c r="C1098">
        <v>77</v>
      </c>
      <c r="D1098" t="s">
        <v>814</v>
      </c>
      <c r="E1098">
        <f t="shared" si="51"/>
        <v>2023</v>
      </c>
      <c r="F1098" t="str">
        <f t="shared" si="52"/>
        <v>Jul</v>
      </c>
      <c r="G1098">
        <v>3</v>
      </c>
      <c r="H1098">
        <f>_xlfn.XLOOKUP(C1098,Products!A:A,Products!D:D)</f>
        <v>1078.19</v>
      </c>
      <c r="I1098">
        <v>15</v>
      </c>
      <c r="J1098">
        <f t="shared" si="53"/>
        <v>2749.3845000000001</v>
      </c>
      <c r="K1098" t="s">
        <v>2024</v>
      </c>
      <c r="L1098" t="str">
        <f>_xlfn.XLOOKUP(Orders[[#This Row],[ProductID]],Products!A:A,Products!C:C)</f>
        <v>Home</v>
      </c>
    </row>
    <row r="1099" spans="1:12" x14ac:dyDescent="0.3">
      <c r="A1099">
        <v>1098</v>
      </c>
      <c r="B1099">
        <v>939</v>
      </c>
      <c r="C1099">
        <v>13</v>
      </c>
      <c r="D1099" t="s">
        <v>721</v>
      </c>
      <c r="E1099">
        <f t="shared" si="51"/>
        <v>2023</v>
      </c>
      <c r="F1099" t="str">
        <f t="shared" si="52"/>
        <v>Apr</v>
      </c>
      <c r="G1099">
        <v>1</v>
      </c>
      <c r="H1099">
        <f>_xlfn.XLOOKUP(C1099,Products!A:A,Products!D:D)</f>
        <v>334.61</v>
      </c>
      <c r="I1099">
        <v>10</v>
      </c>
      <c r="J1099">
        <f t="shared" si="53"/>
        <v>301.149</v>
      </c>
      <c r="K1099" t="s">
        <v>2017</v>
      </c>
      <c r="L1099" t="str">
        <f>_xlfn.XLOOKUP(Orders[[#This Row],[ProductID]],Products!A:A,Products!C:C)</f>
        <v>Home</v>
      </c>
    </row>
    <row r="1100" spans="1:12" x14ac:dyDescent="0.3">
      <c r="A1100">
        <v>1099</v>
      </c>
      <c r="B1100">
        <v>940</v>
      </c>
      <c r="C1100">
        <v>58</v>
      </c>
      <c r="D1100" t="s">
        <v>2121</v>
      </c>
      <c r="E1100">
        <f t="shared" si="51"/>
        <v>2023</v>
      </c>
      <c r="F1100" t="str">
        <f t="shared" si="52"/>
        <v>Jun</v>
      </c>
      <c r="G1100">
        <v>1</v>
      </c>
      <c r="H1100">
        <f>_xlfn.XLOOKUP(C1100,Products!A:A,Products!D:D)</f>
        <v>334.98</v>
      </c>
      <c r="I1100">
        <v>15</v>
      </c>
      <c r="J1100">
        <f t="shared" si="53"/>
        <v>284.733</v>
      </c>
      <c r="K1100" t="s">
        <v>2019</v>
      </c>
      <c r="L1100" t="str">
        <f>_xlfn.XLOOKUP(Orders[[#This Row],[ProductID]],Products!A:A,Products!C:C)</f>
        <v>Home</v>
      </c>
    </row>
    <row r="1101" spans="1:12" x14ac:dyDescent="0.3">
      <c r="A1101">
        <v>1100</v>
      </c>
      <c r="B1101">
        <v>940</v>
      </c>
      <c r="C1101">
        <v>23</v>
      </c>
      <c r="D1101" t="s">
        <v>2082</v>
      </c>
      <c r="E1101">
        <f t="shared" si="51"/>
        <v>2023</v>
      </c>
      <c r="F1101" t="str">
        <f t="shared" si="52"/>
        <v>Aug</v>
      </c>
      <c r="G1101">
        <v>2</v>
      </c>
      <c r="H1101">
        <f>_xlfn.XLOOKUP(C1101,Products!A:A,Products!D:D)</f>
        <v>258.08</v>
      </c>
      <c r="I1101">
        <v>0</v>
      </c>
      <c r="J1101">
        <f t="shared" si="53"/>
        <v>516.16</v>
      </c>
      <c r="K1101" t="s">
        <v>2024</v>
      </c>
      <c r="L1101" t="str">
        <f>_xlfn.XLOOKUP(Orders[[#This Row],[ProductID]],Products!A:A,Products!C:C)</f>
        <v>Home</v>
      </c>
    </row>
    <row r="1102" spans="1:12" x14ac:dyDescent="0.3">
      <c r="A1102">
        <v>1101</v>
      </c>
      <c r="B1102">
        <v>941</v>
      </c>
      <c r="C1102">
        <v>51</v>
      </c>
      <c r="D1102" t="s">
        <v>2138</v>
      </c>
      <c r="E1102">
        <f t="shared" si="51"/>
        <v>2023</v>
      </c>
      <c r="F1102" t="str">
        <f t="shared" si="52"/>
        <v>Dec</v>
      </c>
      <c r="G1102">
        <v>1</v>
      </c>
      <c r="H1102">
        <f>_xlfn.XLOOKUP(C1102,Products!A:A,Products!D:D)</f>
        <v>759.57</v>
      </c>
      <c r="I1102">
        <v>15</v>
      </c>
      <c r="J1102">
        <f t="shared" si="53"/>
        <v>645.6345</v>
      </c>
      <c r="K1102" t="s">
        <v>2017</v>
      </c>
      <c r="L1102" t="str">
        <f>_xlfn.XLOOKUP(Orders[[#This Row],[ProductID]],Products!A:A,Products!C:C)</f>
        <v>Beauty</v>
      </c>
    </row>
    <row r="1103" spans="1:12" x14ac:dyDescent="0.3">
      <c r="A1103">
        <v>1102</v>
      </c>
      <c r="B1103">
        <v>941</v>
      </c>
      <c r="C1103">
        <v>77</v>
      </c>
      <c r="D1103" t="s">
        <v>1162</v>
      </c>
      <c r="E1103">
        <f t="shared" si="51"/>
        <v>2023</v>
      </c>
      <c r="F1103" t="str">
        <f t="shared" si="52"/>
        <v>Jul</v>
      </c>
      <c r="G1103">
        <v>3</v>
      </c>
      <c r="H1103">
        <f>_xlfn.XLOOKUP(C1103,Products!A:A,Products!D:D)</f>
        <v>1078.19</v>
      </c>
      <c r="I1103">
        <v>5</v>
      </c>
      <c r="J1103">
        <f t="shared" si="53"/>
        <v>3072.8415</v>
      </c>
      <c r="K1103" t="s">
        <v>2019</v>
      </c>
      <c r="L1103" t="str">
        <f>_xlfn.XLOOKUP(Orders[[#This Row],[ProductID]],Products!A:A,Products!C:C)</f>
        <v>Home</v>
      </c>
    </row>
    <row r="1104" spans="1:12" x14ac:dyDescent="0.3">
      <c r="A1104">
        <v>1103</v>
      </c>
      <c r="B1104">
        <v>942</v>
      </c>
      <c r="C1104">
        <v>38</v>
      </c>
      <c r="D1104" t="s">
        <v>1803</v>
      </c>
      <c r="E1104">
        <f t="shared" si="51"/>
        <v>2023</v>
      </c>
      <c r="F1104" t="str">
        <f t="shared" si="52"/>
        <v>May</v>
      </c>
      <c r="G1104">
        <v>3</v>
      </c>
      <c r="H1104">
        <f>_xlfn.XLOOKUP(C1104,Products!A:A,Products!D:D)</f>
        <v>802.88</v>
      </c>
      <c r="I1104">
        <v>5</v>
      </c>
      <c r="J1104">
        <f t="shared" si="53"/>
        <v>2288.2079999999996</v>
      </c>
      <c r="K1104" t="s">
        <v>2017</v>
      </c>
      <c r="L1104" t="str">
        <f>_xlfn.XLOOKUP(Orders[[#This Row],[ProductID]],Products!A:A,Products!C:C)</f>
        <v>Home</v>
      </c>
    </row>
    <row r="1105" spans="1:12" x14ac:dyDescent="0.3">
      <c r="A1105">
        <v>1104</v>
      </c>
      <c r="B1105">
        <v>942</v>
      </c>
      <c r="C1105">
        <v>8</v>
      </c>
      <c r="D1105" t="s">
        <v>1317</v>
      </c>
      <c r="E1105">
        <f t="shared" si="51"/>
        <v>2023</v>
      </c>
      <c r="F1105" t="str">
        <f t="shared" si="52"/>
        <v>Oct</v>
      </c>
      <c r="G1105">
        <v>2</v>
      </c>
      <c r="H1105">
        <f>_xlfn.XLOOKUP(C1105,Products!A:A,Products!D:D)</f>
        <v>155.08000000000001</v>
      </c>
      <c r="I1105">
        <v>10</v>
      </c>
      <c r="J1105">
        <f t="shared" si="53"/>
        <v>279.14400000000001</v>
      </c>
      <c r="K1105" t="s">
        <v>2024</v>
      </c>
      <c r="L1105" t="str">
        <f>_xlfn.XLOOKUP(Orders[[#This Row],[ProductID]],Products!A:A,Products!C:C)</f>
        <v>Clothing</v>
      </c>
    </row>
    <row r="1106" spans="1:12" x14ac:dyDescent="0.3">
      <c r="A1106">
        <v>1105</v>
      </c>
      <c r="B1106">
        <v>943</v>
      </c>
      <c r="C1106">
        <v>53</v>
      </c>
      <c r="D1106" t="s">
        <v>405</v>
      </c>
      <c r="E1106">
        <f t="shared" si="51"/>
        <v>2023</v>
      </c>
      <c r="F1106" t="str">
        <f t="shared" si="52"/>
        <v>Jul</v>
      </c>
      <c r="G1106">
        <v>2</v>
      </c>
      <c r="H1106">
        <f>_xlfn.XLOOKUP(C1106,Products!A:A,Products!D:D)</f>
        <v>194.34</v>
      </c>
      <c r="I1106">
        <v>15</v>
      </c>
      <c r="J1106">
        <f t="shared" si="53"/>
        <v>330.37799999999999</v>
      </c>
      <c r="K1106" t="s">
        <v>2017</v>
      </c>
      <c r="L1106" t="str">
        <f>_xlfn.XLOOKUP(Orders[[#This Row],[ProductID]],Products!A:A,Products!C:C)</f>
        <v>Home</v>
      </c>
    </row>
    <row r="1107" spans="1:12" x14ac:dyDescent="0.3">
      <c r="A1107">
        <v>1106</v>
      </c>
      <c r="B1107">
        <v>943</v>
      </c>
      <c r="C1107">
        <v>34</v>
      </c>
      <c r="D1107" t="s">
        <v>2182</v>
      </c>
      <c r="E1107">
        <f t="shared" si="51"/>
        <v>2024</v>
      </c>
      <c r="F1107" t="str">
        <f t="shared" si="52"/>
        <v>Apr</v>
      </c>
      <c r="G1107">
        <v>1</v>
      </c>
      <c r="H1107">
        <f>_xlfn.XLOOKUP(C1107,Products!A:A,Products!D:D)</f>
        <v>523.98</v>
      </c>
      <c r="I1107">
        <v>10</v>
      </c>
      <c r="J1107">
        <f t="shared" si="53"/>
        <v>471.58200000000005</v>
      </c>
      <c r="K1107" t="s">
        <v>2017</v>
      </c>
      <c r="L1107" t="str">
        <f>_xlfn.XLOOKUP(Orders[[#This Row],[ProductID]],Products!A:A,Products!C:C)</f>
        <v>Home</v>
      </c>
    </row>
    <row r="1108" spans="1:12" x14ac:dyDescent="0.3">
      <c r="A1108">
        <v>1107</v>
      </c>
      <c r="B1108">
        <v>944</v>
      </c>
      <c r="C1108">
        <v>29</v>
      </c>
      <c r="D1108" t="s">
        <v>427</v>
      </c>
      <c r="E1108">
        <f t="shared" si="51"/>
        <v>2023</v>
      </c>
      <c r="F1108" t="str">
        <f t="shared" si="52"/>
        <v>Jun</v>
      </c>
      <c r="G1108">
        <v>3</v>
      </c>
      <c r="H1108">
        <f>_xlfn.XLOOKUP(C1108,Products!A:A,Products!D:D)</f>
        <v>757</v>
      </c>
      <c r="I1108">
        <v>0</v>
      </c>
      <c r="J1108">
        <f t="shared" si="53"/>
        <v>2271</v>
      </c>
      <c r="K1108" t="s">
        <v>2024</v>
      </c>
      <c r="L1108" t="str">
        <f>_xlfn.XLOOKUP(Orders[[#This Row],[ProductID]],Products!A:A,Products!C:C)</f>
        <v>Clothing</v>
      </c>
    </row>
    <row r="1109" spans="1:12" x14ac:dyDescent="0.3">
      <c r="A1109">
        <v>1108</v>
      </c>
      <c r="B1109">
        <v>944</v>
      </c>
      <c r="C1109">
        <v>58</v>
      </c>
      <c r="D1109" t="s">
        <v>2113</v>
      </c>
      <c r="E1109">
        <f t="shared" si="51"/>
        <v>2023</v>
      </c>
      <c r="F1109" t="str">
        <f t="shared" si="52"/>
        <v>Jul</v>
      </c>
      <c r="G1109">
        <v>1</v>
      </c>
      <c r="H1109">
        <f>_xlfn.XLOOKUP(C1109,Products!A:A,Products!D:D)</f>
        <v>334.98</v>
      </c>
      <c r="I1109">
        <v>20</v>
      </c>
      <c r="J1109">
        <f t="shared" si="53"/>
        <v>267.98400000000004</v>
      </c>
      <c r="K1109" t="s">
        <v>2021</v>
      </c>
      <c r="L1109" t="str">
        <f>_xlfn.XLOOKUP(Orders[[#This Row],[ProductID]],Products!A:A,Products!C:C)</f>
        <v>Home</v>
      </c>
    </row>
    <row r="1110" spans="1:12" x14ac:dyDescent="0.3">
      <c r="A1110">
        <v>1109</v>
      </c>
      <c r="B1110">
        <v>945</v>
      </c>
      <c r="C1110">
        <v>69</v>
      </c>
      <c r="D1110" t="s">
        <v>1312</v>
      </c>
      <c r="E1110">
        <f t="shared" si="51"/>
        <v>2023</v>
      </c>
      <c r="F1110" t="str">
        <f t="shared" si="52"/>
        <v>Apr</v>
      </c>
      <c r="G1110">
        <v>3</v>
      </c>
      <c r="H1110">
        <f>_xlfn.XLOOKUP(C1110,Products!A:A,Products!D:D)</f>
        <v>951.81</v>
      </c>
      <c r="I1110">
        <v>0</v>
      </c>
      <c r="J1110">
        <f t="shared" si="53"/>
        <v>2855.43</v>
      </c>
      <c r="K1110" t="s">
        <v>2015</v>
      </c>
      <c r="L1110" t="str">
        <f>_xlfn.XLOOKUP(Orders[[#This Row],[ProductID]],Products!A:A,Products!C:C)</f>
        <v>Clothing</v>
      </c>
    </row>
    <row r="1111" spans="1:12" x14ac:dyDescent="0.3">
      <c r="A1111">
        <v>1110</v>
      </c>
      <c r="B1111">
        <v>945</v>
      </c>
      <c r="C1111">
        <v>79</v>
      </c>
      <c r="D1111" t="s">
        <v>1236</v>
      </c>
      <c r="E1111">
        <f t="shared" si="51"/>
        <v>2023</v>
      </c>
      <c r="F1111" t="str">
        <f t="shared" si="52"/>
        <v>Jun</v>
      </c>
      <c r="G1111">
        <v>1</v>
      </c>
      <c r="H1111">
        <f>_xlfn.XLOOKUP(C1111,Products!A:A,Products!D:D)</f>
        <v>488.34</v>
      </c>
      <c r="I1111">
        <v>20</v>
      </c>
      <c r="J1111">
        <f t="shared" si="53"/>
        <v>390.67200000000003</v>
      </c>
      <c r="K1111" t="s">
        <v>2015</v>
      </c>
      <c r="L1111" t="str">
        <f>_xlfn.XLOOKUP(Orders[[#This Row],[ProductID]],Products!A:A,Products!C:C)</f>
        <v>Electronics</v>
      </c>
    </row>
    <row r="1112" spans="1:12" x14ac:dyDescent="0.3">
      <c r="A1112">
        <v>1111</v>
      </c>
      <c r="B1112">
        <v>946</v>
      </c>
      <c r="C1112">
        <v>3</v>
      </c>
      <c r="D1112" t="s">
        <v>2081</v>
      </c>
      <c r="E1112">
        <f t="shared" si="51"/>
        <v>2024</v>
      </c>
      <c r="F1112" t="str">
        <f t="shared" si="52"/>
        <v>May</v>
      </c>
      <c r="G1112">
        <v>3</v>
      </c>
      <c r="H1112">
        <f>_xlfn.XLOOKUP(C1112,Products!A:A,Products!D:D)</f>
        <v>506.08</v>
      </c>
      <c r="I1112">
        <v>0</v>
      </c>
      <c r="J1112">
        <f t="shared" si="53"/>
        <v>1518.24</v>
      </c>
      <c r="K1112" t="s">
        <v>2017</v>
      </c>
      <c r="L1112" t="str">
        <f>_xlfn.XLOOKUP(Orders[[#This Row],[ProductID]],Products!A:A,Products!C:C)</f>
        <v>Clothing</v>
      </c>
    </row>
    <row r="1113" spans="1:12" x14ac:dyDescent="0.3">
      <c r="A1113">
        <v>1112</v>
      </c>
      <c r="B1113">
        <v>946</v>
      </c>
      <c r="C1113">
        <v>12</v>
      </c>
      <c r="D1113" t="s">
        <v>2180</v>
      </c>
      <c r="E1113">
        <f t="shared" si="51"/>
        <v>2024</v>
      </c>
      <c r="F1113" t="str">
        <f t="shared" si="52"/>
        <v>Feb</v>
      </c>
      <c r="G1113">
        <v>3</v>
      </c>
      <c r="H1113">
        <f>_xlfn.XLOOKUP(C1113,Products!A:A,Products!D:D)</f>
        <v>627.41999999999996</v>
      </c>
      <c r="I1113">
        <v>10</v>
      </c>
      <c r="J1113">
        <f t="shared" si="53"/>
        <v>1694.0339999999999</v>
      </c>
      <c r="K1113" t="s">
        <v>2024</v>
      </c>
      <c r="L1113" t="str">
        <f>_xlfn.XLOOKUP(Orders[[#This Row],[ProductID]],Products!A:A,Products!C:C)</f>
        <v>Beauty</v>
      </c>
    </row>
    <row r="1114" spans="1:12" x14ac:dyDescent="0.3">
      <c r="A1114">
        <v>1113</v>
      </c>
      <c r="B1114">
        <v>947</v>
      </c>
      <c r="C1114">
        <v>71</v>
      </c>
      <c r="D1114" t="s">
        <v>2221</v>
      </c>
      <c r="E1114">
        <f t="shared" si="51"/>
        <v>2023</v>
      </c>
      <c r="F1114" t="str">
        <f t="shared" si="52"/>
        <v>Feb</v>
      </c>
      <c r="G1114">
        <v>3</v>
      </c>
      <c r="H1114">
        <f>_xlfn.XLOOKUP(C1114,Products!A:A,Products!D:D)</f>
        <v>780.27</v>
      </c>
      <c r="I1114">
        <v>0</v>
      </c>
      <c r="J1114">
        <f t="shared" si="53"/>
        <v>2340.81</v>
      </c>
      <c r="K1114" t="s">
        <v>2015</v>
      </c>
      <c r="L1114" t="str">
        <f>_xlfn.XLOOKUP(Orders[[#This Row],[ProductID]],Products!A:A,Products!C:C)</f>
        <v>Electronics</v>
      </c>
    </row>
    <row r="1115" spans="1:12" x14ac:dyDescent="0.3">
      <c r="A1115">
        <v>1114</v>
      </c>
      <c r="B1115">
        <v>947</v>
      </c>
      <c r="C1115">
        <v>27</v>
      </c>
      <c r="D1115" t="s">
        <v>491</v>
      </c>
      <c r="E1115">
        <f t="shared" si="51"/>
        <v>2023</v>
      </c>
      <c r="F1115" t="str">
        <f t="shared" si="52"/>
        <v>Jul</v>
      </c>
      <c r="G1115">
        <v>3</v>
      </c>
      <c r="H1115">
        <f>_xlfn.XLOOKUP(C1115,Products!A:A,Products!D:D)</f>
        <v>76.09</v>
      </c>
      <c r="I1115">
        <v>5</v>
      </c>
      <c r="J1115">
        <f t="shared" si="53"/>
        <v>216.85650000000001</v>
      </c>
      <c r="K1115" t="s">
        <v>2021</v>
      </c>
      <c r="L1115" t="str">
        <f>_xlfn.XLOOKUP(Orders[[#This Row],[ProductID]],Products!A:A,Products!C:C)</f>
        <v>Clothing</v>
      </c>
    </row>
    <row r="1116" spans="1:12" x14ac:dyDescent="0.3">
      <c r="A1116">
        <v>1115</v>
      </c>
      <c r="B1116">
        <v>948</v>
      </c>
      <c r="C1116">
        <v>69</v>
      </c>
      <c r="D1116" t="s">
        <v>101</v>
      </c>
      <c r="E1116">
        <f t="shared" si="51"/>
        <v>2023</v>
      </c>
      <c r="F1116" t="str">
        <f t="shared" si="52"/>
        <v>Jul</v>
      </c>
      <c r="G1116">
        <v>3</v>
      </c>
      <c r="H1116">
        <f>_xlfn.XLOOKUP(C1116,Products!A:A,Products!D:D)</f>
        <v>951.81</v>
      </c>
      <c r="I1116">
        <v>5</v>
      </c>
      <c r="J1116">
        <f t="shared" si="53"/>
        <v>2712.6584999999995</v>
      </c>
      <c r="K1116" t="s">
        <v>2024</v>
      </c>
      <c r="L1116" t="str">
        <f>_xlfn.XLOOKUP(Orders[[#This Row],[ProductID]],Products!A:A,Products!C:C)</f>
        <v>Clothing</v>
      </c>
    </row>
    <row r="1117" spans="1:12" x14ac:dyDescent="0.3">
      <c r="A1117">
        <v>1116</v>
      </c>
      <c r="B1117">
        <v>948</v>
      </c>
      <c r="C1117">
        <v>21</v>
      </c>
      <c r="D1117" t="s">
        <v>2125</v>
      </c>
      <c r="E1117">
        <f t="shared" si="51"/>
        <v>2024</v>
      </c>
      <c r="F1117" t="str">
        <f t="shared" si="52"/>
        <v>Apr</v>
      </c>
      <c r="G1117">
        <v>2</v>
      </c>
      <c r="H1117">
        <f>_xlfn.XLOOKUP(C1117,Products!A:A,Products!D:D)</f>
        <v>420.66</v>
      </c>
      <c r="I1117">
        <v>10</v>
      </c>
      <c r="J1117">
        <f t="shared" si="53"/>
        <v>757.1880000000001</v>
      </c>
      <c r="K1117" t="s">
        <v>2017</v>
      </c>
      <c r="L1117" t="str">
        <f>_xlfn.XLOOKUP(Orders[[#This Row],[ProductID]],Products!A:A,Products!C:C)</f>
        <v>Beauty</v>
      </c>
    </row>
    <row r="1118" spans="1:12" x14ac:dyDescent="0.3">
      <c r="A1118">
        <v>1117</v>
      </c>
      <c r="B1118">
        <v>949</v>
      </c>
      <c r="C1118">
        <v>28</v>
      </c>
      <c r="D1118" t="s">
        <v>555</v>
      </c>
      <c r="E1118">
        <f t="shared" si="51"/>
        <v>2023</v>
      </c>
      <c r="F1118" t="str">
        <f t="shared" si="52"/>
        <v>Oct</v>
      </c>
      <c r="G1118">
        <v>3</v>
      </c>
      <c r="H1118">
        <f>_xlfn.XLOOKUP(C1118,Products!A:A,Products!D:D)</f>
        <v>494.39</v>
      </c>
      <c r="I1118">
        <v>5</v>
      </c>
      <c r="J1118">
        <f t="shared" si="53"/>
        <v>1409.0115000000001</v>
      </c>
      <c r="K1118" t="s">
        <v>2019</v>
      </c>
      <c r="L1118" t="str">
        <f>_xlfn.XLOOKUP(Orders[[#This Row],[ProductID]],Products!A:A,Products!C:C)</f>
        <v>Beauty</v>
      </c>
    </row>
    <row r="1119" spans="1:12" x14ac:dyDescent="0.3">
      <c r="A1119">
        <v>1118</v>
      </c>
      <c r="B1119">
        <v>949</v>
      </c>
      <c r="C1119">
        <v>5</v>
      </c>
      <c r="D1119" t="s">
        <v>2070</v>
      </c>
      <c r="E1119">
        <f t="shared" si="51"/>
        <v>2024</v>
      </c>
      <c r="F1119" t="str">
        <f t="shared" si="52"/>
        <v>Mar</v>
      </c>
      <c r="G1119">
        <v>1</v>
      </c>
      <c r="H1119">
        <f>_xlfn.XLOOKUP(C1119,Products!A:A,Products!D:D)</f>
        <v>296.85000000000002</v>
      </c>
      <c r="I1119">
        <v>20</v>
      </c>
      <c r="J1119">
        <f t="shared" si="53"/>
        <v>237.48000000000002</v>
      </c>
      <c r="K1119" t="s">
        <v>2019</v>
      </c>
      <c r="L1119" t="str">
        <f>_xlfn.XLOOKUP(Orders[[#This Row],[ProductID]],Products!A:A,Products!C:C)</f>
        <v>Clothing</v>
      </c>
    </row>
    <row r="1120" spans="1:12" x14ac:dyDescent="0.3">
      <c r="A1120">
        <v>1119</v>
      </c>
      <c r="B1120">
        <v>950</v>
      </c>
      <c r="C1120">
        <v>65</v>
      </c>
      <c r="D1120" t="s">
        <v>2200</v>
      </c>
      <c r="E1120">
        <f t="shared" si="51"/>
        <v>2023</v>
      </c>
      <c r="F1120" t="str">
        <f t="shared" si="52"/>
        <v>Jul</v>
      </c>
      <c r="G1120">
        <v>2</v>
      </c>
      <c r="H1120">
        <f>_xlfn.XLOOKUP(C1120,Products!A:A,Products!D:D)</f>
        <v>1189.73</v>
      </c>
      <c r="I1120">
        <v>0</v>
      </c>
      <c r="J1120">
        <f t="shared" si="53"/>
        <v>2379.46</v>
      </c>
      <c r="K1120" t="s">
        <v>2021</v>
      </c>
      <c r="L1120" t="str">
        <f>_xlfn.XLOOKUP(Orders[[#This Row],[ProductID]],Products!A:A,Products!C:C)</f>
        <v>Home</v>
      </c>
    </row>
    <row r="1121" spans="1:12" x14ac:dyDescent="0.3">
      <c r="A1121">
        <v>1120</v>
      </c>
      <c r="B1121">
        <v>950</v>
      </c>
      <c r="C1121">
        <v>37</v>
      </c>
      <c r="D1121" t="s">
        <v>542</v>
      </c>
      <c r="E1121">
        <f t="shared" si="51"/>
        <v>2023</v>
      </c>
      <c r="F1121" t="str">
        <f t="shared" si="52"/>
        <v>Jun</v>
      </c>
      <c r="G1121">
        <v>1</v>
      </c>
      <c r="H1121">
        <f>_xlfn.XLOOKUP(C1121,Products!A:A,Products!D:D)</f>
        <v>968.87</v>
      </c>
      <c r="I1121">
        <v>5</v>
      </c>
      <c r="J1121">
        <f t="shared" si="53"/>
        <v>920.42649999999992</v>
      </c>
      <c r="K1121" t="s">
        <v>2021</v>
      </c>
      <c r="L1121" t="str">
        <f>_xlfn.XLOOKUP(Orders[[#This Row],[ProductID]],Products!A:A,Products!C:C)</f>
        <v>Home</v>
      </c>
    </row>
    <row r="1122" spans="1:12" x14ac:dyDescent="0.3">
      <c r="A1122">
        <v>1121</v>
      </c>
      <c r="B1122">
        <v>951</v>
      </c>
      <c r="C1122">
        <v>5</v>
      </c>
      <c r="D1122" t="s">
        <v>1148</v>
      </c>
      <c r="E1122">
        <f t="shared" si="51"/>
        <v>2023</v>
      </c>
      <c r="F1122" t="str">
        <f t="shared" si="52"/>
        <v>May</v>
      </c>
      <c r="G1122">
        <v>3</v>
      </c>
      <c r="H1122">
        <f>_xlfn.XLOOKUP(C1122,Products!A:A,Products!D:D)</f>
        <v>296.85000000000002</v>
      </c>
      <c r="I1122">
        <v>0</v>
      </c>
      <c r="J1122">
        <f t="shared" si="53"/>
        <v>890.55000000000007</v>
      </c>
      <c r="K1122" t="s">
        <v>2017</v>
      </c>
      <c r="L1122" t="str">
        <f>_xlfn.XLOOKUP(Orders[[#This Row],[ProductID]],Products!A:A,Products!C:C)</f>
        <v>Clothing</v>
      </c>
    </row>
    <row r="1123" spans="1:12" x14ac:dyDescent="0.3">
      <c r="A1123">
        <v>1122</v>
      </c>
      <c r="B1123">
        <v>951</v>
      </c>
      <c r="C1123">
        <v>52</v>
      </c>
      <c r="D1123" t="s">
        <v>13</v>
      </c>
      <c r="E1123">
        <f t="shared" si="51"/>
        <v>2023</v>
      </c>
      <c r="F1123" t="str">
        <f t="shared" si="52"/>
        <v>Mar</v>
      </c>
      <c r="G1123">
        <v>3</v>
      </c>
      <c r="H1123">
        <f>_xlfn.XLOOKUP(C1123,Products!A:A,Products!D:D)</f>
        <v>256.76</v>
      </c>
      <c r="I1123">
        <v>10</v>
      </c>
      <c r="J1123">
        <f t="shared" si="53"/>
        <v>693.25199999999995</v>
      </c>
      <c r="K1123" t="s">
        <v>2019</v>
      </c>
      <c r="L1123" t="str">
        <f>_xlfn.XLOOKUP(Orders[[#This Row],[ProductID]],Products!A:A,Products!C:C)</f>
        <v>Home</v>
      </c>
    </row>
    <row r="1124" spans="1:12" x14ac:dyDescent="0.3">
      <c r="A1124">
        <v>1123</v>
      </c>
      <c r="B1124">
        <v>952</v>
      </c>
      <c r="C1124">
        <v>10</v>
      </c>
      <c r="D1124" t="s">
        <v>752</v>
      </c>
      <c r="E1124">
        <f t="shared" si="51"/>
        <v>2023</v>
      </c>
      <c r="F1124" t="str">
        <f t="shared" si="52"/>
        <v>Feb</v>
      </c>
      <c r="G1124">
        <v>3</v>
      </c>
      <c r="H1124">
        <f>_xlfn.XLOOKUP(C1124,Products!A:A,Products!D:D)</f>
        <v>64.11</v>
      </c>
      <c r="I1124">
        <v>15</v>
      </c>
      <c r="J1124">
        <f t="shared" si="53"/>
        <v>163.48049999999998</v>
      </c>
      <c r="K1124" t="s">
        <v>2019</v>
      </c>
      <c r="L1124" t="str">
        <f>_xlfn.XLOOKUP(Orders[[#This Row],[ProductID]],Products!A:A,Products!C:C)</f>
        <v>Clothing</v>
      </c>
    </row>
    <row r="1125" spans="1:12" x14ac:dyDescent="0.3">
      <c r="A1125">
        <v>1124</v>
      </c>
      <c r="B1125">
        <v>952</v>
      </c>
      <c r="C1125">
        <v>2</v>
      </c>
      <c r="D1125" t="s">
        <v>2089</v>
      </c>
      <c r="E1125">
        <f t="shared" si="51"/>
        <v>2024</v>
      </c>
      <c r="F1125" t="str">
        <f t="shared" si="52"/>
        <v>Jan</v>
      </c>
      <c r="G1125">
        <v>3</v>
      </c>
      <c r="H1125">
        <f>_xlfn.XLOOKUP(C1125,Products!A:A,Products!D:D)</f>
        <v>427.27</v>
      </c>
      <c r="I1125">
        <v>20</v>
      </c>
      <c r="J1125">
        <f t="shared" si="53"/>
        <v>1025.4480000000001</v>
      </c>
      <c r="K1125" t="s">
        <v>2021</v>
      </c>
      <c r="L1125" t="str">
        <f>_xlfn.XLOOKUP(Orders[[#This Row],[ProductID]],Products!A:A,Products!C:C)</f>
        <v>Home</v>
      </c>
    </row>
    <row r="1126" spans="1:12" x14ac:dyDescent="0.3">
      <c r="A1126">
        <v>1125</v>
      </c>
      <c r="B1126">
        <v>953</v>
      </c>
      <c r="C1126">
        <v>13</v>
      </c>
      <c r="D1126" t="s">
        <v>2147</v>
      </c>
      <c r="E1126">
        <f t="shared" si="51"/>
        <v>2024</v>
      </c>
      <c r="F1126" t="str">
        <f t="shared" si="52"/>
        <v>Jan</v>
      </c>
      <c r="G1126">
        <v>3</v>
      </c>
      <c r="H1126">
        <f>_xlfn.XLOOKUP(C1126,Products!A:A,Products!D:D)</f>
        <v>334.61</v>
      </c>
      <c r="I1126">
        <v>15</v>
      </c>
      <c r="J1126">
        <f t="shared" si="53"/>
        <v>853.25549999999998</v>
      </c>
      <c r="K1126" t="s">
        <v>2021</v>
      </c>
      <c r="L1126" t="str">
        <f>_xlfn.XLOOKUP(Orders[[#This Row],[ProductID]],Products!A:A,Products!C:C)</f>
        <v>Home</v>
      </c>
    </row>
    <row r="1127" spans="1:12" x14ac:dyDescent="0.3">
      <c r="A1127">
        <v>1126</v>
      </c>
      <c r="B1127">
        <v>953</v>
      </c>
      <c r="C1127">
        <v>78</v>
      </c>
      <c r="D1127" t="s">
        <v>2222</v>
      </c>
      <c r="E1127">
        <f t="shared" si="51"/>
        <v>2024</v>
      </c>
      <c r="F1127" t="str">
        <f t="shared" si="52"/>
        <v>Mar</v>
      </c>
      <c r="G1127">
        <v>2</v>
      </c>
      <c r="H1127">
        <f>_xlfn.XLOOKUP(C1127,Products!A:A,Products!D:D)</f>
        <v>795.77</v>
      </c>
      <c r="I1127">
        <v>10</v>
      </c>
      <c r="J1127">
        <f t="shared" si="53"/>
        <v>1432.386</v>
      </c>
      <c r="K1127" t="s">
        <v>2017</v>
      </c>
      <c r="L1127" t="str">
        <f>_xlfn.XLOOKUP(Orders[[#This Row],[ProductID]],Products!A:A,Products!C:C)</f>
        <v>Beauty</v>
      </c>
    </row>
    <row r="1128" spans="1:12" x14ac:dyDescent="0.3">
      <c r="A1128">
        <v>1127</v>
      </c>
      <c r="B1128">
        <v>954</v>
      </c>
      <c r="C1128">
        <v>66</v>
      </c>
      <c r="D1128" t="s">
        <v>2089</v>
      </c>
      <c r="E1128">
        <f t="shared" si="51"/>
        <v>2024</v>
      </c>
      <c r="F1128" t="str">
        <f t="shared" si="52"/>
        <v>Jan</v>
      </c>
      <c r="G1128">
        <v>1</v>
      </c>
      <c r="H1128">
        <f>_xlfn.XLOOKUP(C1128,Products!A:A,Products!D:D)</f>
        <v>783.37</v>
      </c>
      <c r="I1128">
        <v>10</v>
      </c>
      <c r="J1128">
        <f t="shared" si="53"/>
        <v>705.03300000000002</v>
      </c>
      <c r="K1128" t="s">
        <v>2024</v>
      </c>
      <c r="L1128" t="str">
        <f>_xlfn.XLOOKUP(Orders[[#This Row],[ProductID]],Products!A:A,Products!C:C)</f>
        <v>Home</v>
      </c>
    </row>
    <row r="1129" spans="1:12" x14ac:dyDescent="0.3">
      <c r="A1129">
        <v>1128</v>
      </c>
      <c r="B1129">
        <v>954</v>
      </c>
      <c r="C1129">
        <v>59</v>
      </c>
      <c r="D1129" t="s">
        <v>1630</v>
      </c>
      <c r="E1129">
        <f t="shared" si="51"/>
        <v>2023</v>
      </c>
      <c r="F1129" t="str">
        <f t="shared" si="52"/>
        <v>Apr</v>
      </c>
      <c r="G1129">
        <v>1</v>
      </c>
      <c r="H1129">
        <f>_xlfn.XLOOKUP(C1129,Products!A:A,Products!D:D)</f>
        <v>782.33</v>
      </c>
      <c r="I1129">
        <v>10</v>
      </c>
      <c r="J1129">
        <f t="shared" si="53"/>
        <v>704.09700000000009</v>
      </c>
      <c r="K1129" t="s">
        <v>2015</v>
      </c>
      <c r="L1129" t="str">
        <f>_xlfn.XLOOKUP(Orders[[#This Row],[ProductID]],Products!A:A,Products!C:C)</f>
        <v>Clothing</v>
      </c>
    </row>
    <row r="1130" spans="1:12" x14ac:dyDescent="0.3">
      <c r="A1130">
        <v>1129</v>
      </c>
      <c r="B1130">
        <v>955</v>
      </c>
      <c r="C1130">
        <v>61</v>
      </c>
      <c r="D1130" t="s">
        <v>2197</v>
      </c>
      <c r="E1130">
        <f t="shared" si="51"/>
        <v>2023</v>
      </c>
      <c r="F1130" t="str">
        <f t="shared" si="52"/>
        <v>Jul</v>
      </c>
      <c r="G1130">
        <v>2</v>
      </c>
      <c r="H1130">
        <f>_xlfn.XLOOKUP(C1130,Products!A:A,Products!D:D)</f>
        <v>498.92</v>
      </c>
      <c r="I1130">
        <v>15</v>
      </c>
      <c r="J1130">
        <f t="shared" si="53"/>
        <v>848.16399999999999</v>
      </c>
      <c r="K1130" t="s">
        <v>2019</v>
      </c>
      <c r="L1130" t="str">
        <f>_xlfn.XLOOKUP(Orders[[#This Row],[ProductID]],Products!A:A,Products!C:C)</f>
        <v>Clothing</v>
      </c>
    </row>
    <row r="1131" spans="1:12" x14ac:dyDescent="0.3">
      <c r="A1131">
        <v>1130</v>
      </c>
      <c r="B1131">
        <v>955</v>
      </c>
      <c r="C1131">
        <v>29</v>
      </c>
      <c r="D1131" t="s">
        <v>2014</v>
      </c>
      <c r="E1131">
        <f t="shared" si="51"/>
        <v>2024</v>
      </c>
      <c r="F1131" t="str">
        <f t="shared" si="52"/>
        <v>May</v>
      </c>
      <c r="G1131">
        <v>2</v>
      </c>
      <c r="H1131">
        <f>_xlfn.XLOOKUP(C1131,Products!A:A,Products!D:D)</f>
        <v>757</v>
      </c>
      <c r="I1131">
        <v>20</v>
      </c>
      <c r="J1131">
        <f t="shared" si="53"/>
        <v>1211.2</v>
      </c>
      <c r="K1131" t="s">
        <v>2024</v>
      </c>
      <c r="L1131" t="str">
        <f>_xlfn.XLOOKUP(Orders[[#This Row],[ProductID]],Products!A:A,Products!C:C)</f>
        <v>Clothing</v>
      </c>
    </row>
    <row r="1132" spans="1:12" x14ac:dyDescent="0.3">
      <c r="A1132">
        <v>1131</v>
      </c>
      <c r="B1132">
        <v>956</v>
      </c>
      <c r="C1132">
        <v>62</v>
      </c>
      <c r="D1132" t="s">
        <v>2067</v>
      </c>
      <c r="E1132">
        <f t="shared" si="51"/>
        <v>2023</v>
      </c>
      <c r="F1132" t="str">
        <f t="shared" si="52"/>
        <v>May</v>
      </c>
      <c r="G1132">
        <v>3</v>
      </c>
      <c r="H1132">
        <f>_xlfn.XLOOKUP(C1132,Products!A:A,Products!D:D)</f>
        <v>196.96</v>
      </c>
      <c r="I1132">
        <v>20</v>
      </c>
      <c r="J1132">
        <f t="shared" si="53"/>
        <v>472.70400000000001</v>
      </c>
      <c r="K1132" t="s">
        <v>2015</v>
      </c>
      <c r="L1132" t="str">
        <f>_xlfn.XLOOKUP(Orders[[#This Row],[ProductID]],Products!A:A,Products!C:C)</f>
        <v>Electronics</v>
      </c>
    </row>
    <row r="1133" spans="1:12" x14ac:dyDescent="0.3">
      <c r="A1133">
        <v>1132</v>
      </c>
      <c r="B1133">
        <v>956</v>
      </c>
      <c r="C1133">
        <v>32</v>
      </c>
      <c r="D1133" t="s">
        <v>1339</v>
      </c>
      <c r="E1133">
        <f t="shared" si="51"/>
        <v>2023</v>
      </c>
      <c r="F1133" t="str">
        <f t="shared" si="52"/>
        <v>Jul</v>
      </c>
      <c r="G1133">
        <v>1</v>
      </c>
      <c r="H1133">
        <f>_xlfn.XLOOKUP(C1133,Products!A:A,Products!D:D)</f>
        <v>342.57</v>
      </c>
      <c r="I1133">
        <v>15</v>
      </c>
      <c r="J1133">
        <f t="shared" si="53"/>
        <v>291.18450000000001</v>
      </c>
      <c r="K1133" t="s">
        <v>2017</v>
      </c>
      <c r="L1133" t="str">
        <f>_xlfn.XLOOKUP(Orders[[#This Row],[ProductID]],Products!A:A,Products!C:C)</f>
        <v>Clothing</v>
      </c>
    </row>
    <row r="1134" spans="1:12" x14ac:dyDescent="0.3">
      <c r="A1134">
        <v>1133</v>
      </c>
      <c r="B1134">
        <v>957</v>
      </c>
      <c r="C1134">
        <v>48</v>
      </c>
      <c r="D1134" t="s">
        <v>2127</v>
      </c>
      <c r="E1134">
        <f t="shared" si="51"/>
        <v>2024</v>
      </c>
      <c r="F1134" t="str">
        <f t="shared" si="52"/>
        <v>Jan</v>
      </c>
      <c r="G1134">
        <v>3</v>
      </c>
      <c r="H1134">
        <f>_xlfn.XLOOKUP(C1134,Products!A:A,Products!D:D)</f>
        <v>1125.8499999999999</v>
      </c>
      <c r="I1134">
        <v>0</v>
      </c>
      <c r="J1134">
        <f t="shared" si="53"/>
        <v>3377.5499999999997</v>
      </c>
      <c r="K1134" t="s">
        <v>2017</v>
      </c>
      <c r="L1134" t="str">
        <f>_xlfn.XLOOKUP(Orders[[#This Row],[ProductID]],Products!A:A,Products!C:C)</f>
        <v>Clothing</v>
      </c>
    </row>
    <row r="1135" spans="1:12" x14ac:dyDescent="0.3">
      <c r="A1135">
        <v>1134</v>
      </c>
      <c r="B1135">
        <v>957</v>
      </c>
      <c r="C1135">
        <v>29</v>
      </c>
      <c r="D1135" t="s">
        <v>499</v>
      </c>
      <c r="E1135">
        <f t="shared" si="51"/>
        <v>2023</v>
      </c>
      <c r="F1135" t="str">
        <f t="shared" si="52"/>
        <v>Oct</v>
      </c>
      <c r="G1135">
        <v>1</v>
      </c>
      <c r="H1135">
        <f>_xlfn.XLOOKUP(C1135,Products!A:A,Products!D:D)</f>
        <v>757</v>
      </c>
      <c r="I1135">
        <v>15</v>
      </c>
      <c r="J1135">
        <f t="shared" si="53"/>
        <v>643.44999999999993</v>
      </c>
      <c r="K1135" t="s">
        <v>2021</v>
      </c>
      <c r="L1135" t="str">
        <f>_xlfn.XLOOKUP(Orders[[#This Row],[ProductID]],Products!A:A,Products!C:C)</f>
        <v>Clothing</v>
      </c>
    </row>
    <row r="1136" spans="1:12" x14ac:dyDescent="0.3">
      <c r="A1136">
        <v>1135</v>
      </c>
      <c r="B1136">
        <v>958</v>
      </c>
      <c r="C1136">
        <v>58</v>
      </c>
      <c r="D1136" t="s">
        <v>1347</v>
      </c>
      <c r="E1136">
        <f t="shared" si="51"/>
        <v>2023</v>
      </c>
      <c r="F1136" t="str">
        <f t="shared" si="52"/>
        <v>Jul</v>
      </c>
      <c r="G1136">
        <v>2</v>
      </c>
      <c r="H1136">
        <f>_xlfn.XLOOKUP(C1136,Products!A:A,Products!D:D)</f>
        <v>334.98</v>
      </c>
      <c r="I1136">
        <v>20</v>
      </c>
      <c r="J1136">
        <f t="shared" si="53"/>
        <v>535.96800000000007</v>
      </c>
      <c r="K1136" t="s">
        <v>2019</v>
      </c>
      <c r="L1136" t="str">
        <f>_xlfn.XLOOKUP(Orders[[#This Row],[ProductID]],Products!A:A,Products!C:C)</f>
        <v>Home</v>
      </c>
    </row>
    <row r="1137" spans="1:12" x14ac:dyDescent="0.3">
      <c r="A1137">
        <v>1136</v>
      </c>
      <c r="B1137">
        <v>958</v>
      </c>
      <c r="C1137">
        <v>40</v>
      </c>
      <c r="D1137" t="s">
        <v>150</v>
      </c>
      <c r="E1137">
        <f t="shared" si="51"/>
        <v>2023</v>
      </c>
      <c r="F1137" t="str">
        <f t="shared" si="52"/>
        <v>Jun</v>
      </c>
      <c r="G1137">
        <v>1</v>
      </c>
      <c r="H1137">
        <f>_xlfn.XLOOKUP(C1137,Products!A:A,Products!D:D)</f>
        <v>316.49</v>
      </c>
      <c r="I1137">
        <v>0</v>
      </c>
      <c r="J1137">
        <f t="shared" si="53"/>
        <v>316.49</v>
      </c>
      <c r="K1137" t="s">
        <v>2019</v>
      </c>
      <c r="L1137" t="str">
        <f>_xlfn.XLOOKUP(Orders[[#This Row],[ProductID]],Products!A:A,Products!C:C)</f>
        <v>Home</v>
      </c>
    </row>
    <row r="1138" spans="1:12" x14ac:dyDescent="0.3">
      <c r="A1138">
        <v>1137</v>
      </c>
      <c r="B1138">
        <v>959</v>
      </c>
      <c r="C1138">
        <v>72</v>
      </c>
      <c r="D1138" t="s">
        <v>467</v>
      </c>
      <c r="E1138">
        <f t="shared" si="51"/>
        <v>2023</v>
      </c>
      <c r="F1138" t="str">
        <f t="shared" si="52"/>
        <v>Mar</v>
      </c>
      <c r="G1138">
        <v>1</v>
      </c>
      <c r="H1138">
        <f>_xlfn.XLOOKUP(C1138,Products!A:A,Products!D:D)</f>
        <v>1157.27</v>
      </c>
      <c r="I1138">
        <v>15</v>
      </c>
      <c r="J1138">
        <f t="shared" si="53"/>
        <v>983.67949999999996</v>
      </c>
      <c r="K1138" t="s">
        <v>2015</v>
      </c>
      <c r="L1138" t="str">
        <f>_xlfn.XLOOKUP(Orders[[#This Row],[ProductID]],Products!A:A,Products!C:C)</f>
        <v>Electronics</v>
      </c>
    </row>
    <row r="1139" spans="1:12" x14ac:dyDescent="0.3">
      <c r="A1139">
        <v>1138</v>
      </c>
      <c r="B1139">
        <v>959</v>
      </c>
      <c r="C1139">
        <v>32</v>
      </c>
      <c r="D1139" t="s">
        <v>1658</v>
      </c>
      <c r="E1139">
        <f t="shared" si="51"/>
        <v>2023</v>
      </c>
      <c r="F1139" t="str">
        <f t="shared" si="52"/>
        <v>Feb</v>
      </c>
      <c r="G1139">
        <v>1</v>
      </c>
      <c r="H1139">
        <f>_xlfn.XLOOKUP(C1139,Products!A:A,Products!D:D)</f>
        <v>342.57</v>
      </c>
      <c r="I1139">
        <v>15</v>
      </c>
      <c r="J1139">
        <f t="shared" si="53"/>
        <v>291.18450000000001</v>
      </c>
      <c r="K1139" t="s">
        <v>2015</v>
      </c>
      <c r="L1139" t="str">
        <f>_xlfn.XLOOKUP(Orders[[#This Row],[ProductID]],Products!A:A,Products!C:C)</f>
        <v>Clothing</v>
      </c>
    </row>
    <row r="1140" spans="1:12" x14ac:dyDescent="0.3">
      <c r="A1140">
        <v>1139</v>
      </c>
      <c r="B1140">
        <v>960</v>
      </c>
      <c r="C1140">
        <v>61</v>
      </c>
      <c r="D1140" t="s">
        <v>434</v>
      </c>
      <c r="E1140">
        <f t="shared" si="51"/>
        <v>2023</v>
      </c>
      <c r="F1140" t="str">
        <f t="shared" si="52"/>
        <v>Sep</v>
      </c>
      <c r="G1140">
        <v>3</v>
      </c>
      <c r="H1140">
        <f>_xlfn.XLOOKUP(C1140,Products!A:A,Products!D:D)</f>
        <v>498.92</v>
      </c>
      <c r="I1140">
        <v>20</v>
      </c>
      <c r="J1140">
        <f t="shared" si="53"/>
        <v>1197.4080000000001</v>
      </c>
      <c r="K1140" t="s">
        <v>2021</v>
      </c>
      <c r="L1140" t="str">
        <f>_xlfn.XLOOKUP(Orders[[#This Row],[ProductID]],Products!A:A,Products!C:C)</f>
        <v>Clothing</v>
      </c>
    </row>
    <row r="1141" spans="1:12" x14ac:dyDescent="0.3">
      <c r="A1141">
        <v>1140</v>
      </c>
      <c r="B1141">
        <v>960</v>
      </c>
      <c r="C1141">
        <v>8</v>
      </c>
      <c r="D1141" t="s">
        <v>2177</v>
      </c>
      <c r="E1141">
        <f t="shared" si="51"/>
        <v>2024</v>
      </c>
      <c r="F1141" t="str">
        <f t="shared" si="52"/>
        <v>Jan</v>
      </c>
      <c r="G1141">
        <v>2</v>
      </c>
      <c r="H1141">
        <f>_xlfn.XLOOKUP(C1141,Products!A:A,Products!D:D)</f>
        <v>155.08000000000001</v>
      </c>
      <c r="I1141">
        <v>10</v>
      </c>
      <c r="J1141">
        <f t="shared" si="53"/>
        <v>279.14400000000001</v>
      </c>
      <c r="K1141" t="s">
        <v>2017</v>
      </c>
      <c r="L1141" t="str">
        <f>_xlfn.XLOOKUP(Orders[[#This Row],[ProductID]],Products!A:A,Products!C:C)</f>
        <v>Clothing</v>
      </c>
    </row>
    <row r="1142" spans="1:12" x14ac:dyDescent="0.3">
      <c r="A1142">
        <v>1141</v>
      </c>
      <c r="B1142">
        <v>961</v>
      </c>
      <c r="C1142">
        <v>40</v>
      </c>
      <c r="D1142" t="s">
        <v>2189</v>
      </c>
      <c r="E1142">
        <f t="shared" si="51"/>
        <v>2024</v>
      </c>
      <c r="F1142" t="str">
        <f t="shared" si="52"/>
        <v>Jan</v>
      </c>
      <c r="G1142">
        <v>2</v>
      </c>
      <c r="H1142">
        <f>_xlfn.XLOOKUP(C1142,Products!A:A,Products!D:D)</f>
        <v>316.49</v>
      </c>
      <c r="I1142">
        <v>5</v>
      </c>
      <c r="J1142">
        <f t="shared" si="53"/>
        <v>601.33100000000002</v>
      </c>
      <c r="K1142" t="s">
        <v>2019</v>
      </c>
      <c r="L1142" t="str">
        <f>_xlfn.XLOOKUP(Orders[[#This Row],[ProductID]],Products!A:A,Products!C:C)</f>
        <v>Home</v>
      </c>
    </row>
    <row r="1143" spans="1:12" x14ac:dyDescent="0.3">
      <c r="A1143">
        <v>1142</v>
      </c>
      <c r="B1143">
        <v>961</v>
      </c>
      <c r="C1143">
        <v>42</v>
      </c>
      <c r="D1143" t="s">
        <v>2165</v>
      </c>
      <c r="E1143">
        <f t="shared" si="51"/>
        <v>2023</v>
      </c>
      <c r="F1143" t="str">
        <f t="shared" si="52"/>
        <v>Dec</v>
      </c>
      <c r="G1143">
        <v>3</v>
      </c>
      <c r="H1143">
        <f>_xlfn.XLOOKUP(C1143,Products!A:A,Products!D:D)</f>
        <v>233.11</v>
      </c>
      <c r="I1143">
        <v>20</v>
      </c>
      <c r="J1143">
        <f t="shared" si="53"/>
        <v>559.46400000000006</v>
      </c>
      <c r="K1143" t="s">
        <v>2017</v>
      </c>
      <c r="L1143" t="str">
        <f>_xlfn.XLOOKUP(Orders[[#This Row],[ProductID]],Products!A:A,Products!C:C)</f>
        <v>Home</v>
      </c>
    </row>
    <row r="1144" spans="1:12" x14ac:dyDescent="0.3">
      <c r="A1144">
        <v>1143</v>
      </c>
      <c r="B1144">
        <v>962</v>
      </c>
      <c r="C1144">
        <v>1</v>
      </c>
      <c r="D1144" t="s">
        <v>1803</v>
      </c>
      <c r="E1144">
        <f t="shared" si="51"/>
        <v>2023</v>
      </c>
      <c r="F1144" t="str">
        <f t="shared" si="52"/>
        <v>May</v>
      </c>
      <c r="G1144">
        <v>3</v>
      </c>
      <c r="H1144">
        <f>_xlfn.XLOOKUP(C1144,Products!A:A,Products!D:D)</f>
        <v>469.08</v>
      </c>
      <c r="I1144">
        <v>5</v>
      </c>
      <c r="J1144">
        <f t="shared" si="53"/>
        <v>1336.8779999999999</v>
      </c>
      <c r="K1144" t="s">
        <v>2015</v>
      </c>
      <c r="L1144" t="str">
        <f>_xlfn.XLOOKUP(Orders[[#This Row],[ProductID]],Products!A:A,Products!C:C)</f>
        <v>Clothing</v>
      </c>
    </row>
    <row r="1145" spans="1:12" x14ac:dyDescent="0.3">
      <c r="A1145">
        <v>1144</v>
      </c>
      <c r="B1145">
        <v>962</v>
      </c>
      <c r="C1145">
        <v>63</v>
      </c>
      <c r="D1145" t="s">
        <v>778</v>
      </c>
      <c r="E1145">
        <f t="shared" si="51"/>
        <v>2023</v>
      </c>
      <c r="F1145" t="str">
        <f t="shared" si="52"/>
        <v>Oct</v>
      </c>
      <c r="G1145">
        <v>2</v>
      </c>
      <c r="H1145">
        <f>_xlfn.XLOOKUP(C1145,Products!A:A,Products!D:D)</f>
        <v>309.79000000000002</v>
      </c>
      <c r="I1145">
        <v>10</v>
      </c>
      <c r="J1145">
        <f t="shared" si="53"/>
        <v>557.62200000000007</v>
      </c>
      <c r="K1145" t="s">
        <v>2021</v>
      </c>
      <c r="L1145" t="str">
        <f>_xlfn.XLOOKUP(Orders[[#This Row],[ProductID]],Products!A:A,Products!C:C)</f>
        <v>Electronics</v>
      </c>
    </row>
    <row r="1146" spans="1:12" x14ac:dyDescent="0.3">
      <c r="A1146">
        <v>1145</v>
      </c>
      <c r="B1146">
        <v>963</v>
      </c>
      <c r="C1146">
        <v>42</v>
      </c>
      <c r="D1146" t="s">
        <v>453</v>
      </c>
      <c r="E1146">
        <f t="shared" si="51"/>
        <v>2023</v>
      </c>
      <c r="F1146" t="str">
        <f t="shared" si="52"/>
        <v>Aug</v>
      </c>
      <c r="G1146">
        <v>3</v>
      </c>
      <c r="H1146">
        <f>_xlfn.XLOOKUP(C1146,Products!A:A,Products!D:D)</f>
        <v>233.11</v>
      </c>
      <c r="I1146">
        <v>15</v>
      </c>
      <c r="J1146">
        <f t="shared" si="53"/>
        <v>594.43050000000005</v>
      </c>
      <c r="K1146" t="s">
        <v>2015</v>
      </c>
      <c r="L1146" t="str">
        <f>_xlfn.XLOOKUP(Orders[[#This Row],[ProductID]],Products!A:A,Products!C:C)</f>
        <v>Home</v>
      </c>
    </row>
    <row r="1147" spans="1:12" x14ac:dyDescent="0.3">
      <c r="A1147">
        <v>1146</v>
      </c>
      <c r="B1147">
        <v>963</v>
      </c>
      <c r="C1147">
        <v>72</v>
      </c>
      <c r="D1147" t="s">
        <v>2222</v>
      </c>
      <c r="E1147">
        <f t="shared" si="51"/>
        <v>2024</v>
      </c>
      <c r="F1147" t="str">
        <f t="shared" si="52"/>
        <v>Mar</v>
      </c>
      <c r="G1147">
        <v>3</v>
      </c>
      <c r="H1147">
        <f>_xlfn.XLOOKUP(C1147,Products!A:A,Products!D:D)</f>
        <v>1157.27</v>
      </c>
      <c r="I1147">
        <v>0</v>
      </c>
      <c r="J1147">
        <f t="shared" si="53"/>
        <v>3471.81</v>
      </c>
      <c r="K1147" t="s">
        <v>2019</v>
      </c>
      <c r="L1147" t="str">
        <f>_xlfn.XLOOKUP(Orders[[#This Row],[ProductID]],Products!A:A,Products!C:C)</f>
        <v>Electronics</v>
      </c>
    </row>
    <row r="1148" spans="1:12" x14ac:dyDescent="0.3">
      <c r="A1148">
        <v>1147</v>
      </c>
      <c r="B1148">
        <v>964</v>
      </c>
      <c r="C1148">
        <v>55</v>
      </c>
      <c r="D1148" t="s">
        <v>2218</v>
      </c>
      <c r="E1148">
        <f t="shared" si="51"/>
        <v>2023</v>
      </c>
      <c r="F1148" t="str">
        <f t="shared" si="52"/>
        <v>Dec</v>
      </c>
      <c r="G1148">
        <v>1</v>
      </c>
      <c r="H1148">
        <f>_xlfn.XLOOKUP(C1148,Products!A:A,Products!D:D)</f>
        <v>1016.06</v>
      </c>
      <c r="I1148">
        <v>15</v>
      </c>
      <c r="J1148">
        <f t="shared" si="53"/>
        <v>863.65099999999995</v>
      </c>
      <c r="K1148" t="s">
        <v>2021</v>
      </c>
      <c r="L1148" t="str">
        <f>_xlfn.XLOOKUP(Orders[[#This Row],[ProductID]],Products!A:A,Products!C:C)</f>
        <v>Clothing</v>
      </c>
    </row>
    <row r="1149" spans="1:12" x14ac:dyDescent="0.3">
      <c r="A1149">
        <v>1148</v>
      </c>
      <c r="B1149">
        <v>964</v>
      </c>
      <c r="C1149">
        <v>2</v>
      </c>
      <c r="D1149" t="s">
        <v>648</v>
      </c>
      <c r="E1149">
        <f t="shared" si="51"/>
        <v>2023</v>
      </c>
      <c r="F1149" t="str">
        <f t="shared" si="52"/>
        <v>Mar</v>
      </c>
      <c r="G1149">
        <v>3</v>
      </c>
      <c r="H1149">
        <f>_xlfn.XLOOKUP(C1149,Products!A:A,Products!D:D)</f>
        <v>427.27</v>
      </c>
      <c r="I1149">
        <v>0</v>
      </c>
      <c r="J1149">
        <f t="shared" si="53"/>
        <v>1281.81</v>
      </c>
      <c r="K1149" t="s">
        <v>2021</v>
      </c>
      <c r="L1149" t="str">
        <f>_xlfn.XLOOKUP(Orders[[#This Row],[ProductID]],Products!A:A,Products!C:C)</f>
        <v>Home</v>
      </c>
    </row>
    <row r="1150" spans="1:12" x14ac:dyDescent="0.3">
      <c r="A1150">
        <v>1149</v>
      </c>
      <c r="B1150">
        <v>965</v>
      </c>
      <c r="C1150">
        <v>26</v>
      </c>
      <c r="D1150" t="s">
        <v>871</v>
      </c>
      <c r="E1150">
        <f t="shared" si="51"/>
        <v>2023</v>
      </c>
      <c r="F1150" t="str">
        <f t="shared" si="52"/>
        <v>Aug</v>
      </c>
      <c r="G1150">
        <v>1</v>
      </c>
      <c r="H1150">
        <f>_xlfn.XLOOKUP(C1150,Products!A:A,Products!D:D)</f>
        <v>272.61</v>
      </c>
      <c r="I1150">
        <v>0</v>
      </c>
      <c r="J1150">
        <f t="shared" si="53"/>
        <v>272.61</v>
      </c>
      <c r="K1150" t="s">
        <v>2017</v>
      </c>
      <c r="L1150" t="str">
        <f>_xlfn.XLOOKUP(Orders[[#This Row],[ProductID]],Products!A:A,Products!C:C)</f>
        <v>Home</v>
      </c>
    </row>
    <row r="1151" spans="1:12" x14ac:dyDescent="0.3">
      <c r="A1151">
        <v>1150</v>
      </c>
      <c r="B1151">
        <v>965</v>
      </c>
      <c r="C1151">
        <v>64</v>
      </c>
      <c r="D1151" t="s">
        <v>2123</v>
      </c>
      <c r="E1151">
        <f t="shared" si="51"/>
        <v>2023</v>
      </c>
      <c r="F1151" t="str">
        <f t="shared" si="52"/>
        <v>Mar</v>
      </c>
      <c r="G1151">
        <v>3</v>
      </c>
      <c r="H1151">
        <f>_xlfn.XLOOKUP(C1151,Products!A:A,Products!D:D)</f>
        <v>567.71</v>
      </c>
      <c r="I1151">
        <v>20</v>
      </c>
      <c r="J1151">
        <f t="shared" si="53"/>
        <v>1362.5040000000001</v>
      </c>
      <c r="K1151" t="s">
        <v>2017</v>
      </c>
      <c r="L1151" t="str">
        <f>_xlfn.XLOOKUP(Orders[[#This Row],[ProductID]],Products!A:A,Products!C:C)</f>
        <v>Clothing</v>
      </c>
    </row>
    <row r="1152" spans="1:12" x14ac:dyDescent="0.3">
      <c r="A1152">
        <v>1151</v>
      </c>
      <c r="B1152">
        <v>966</v>
      </c>
      <c r="C1152">
        <v>18</v>
      </c>
      <c r="D1152" t="s">
        <v>2027</v>
      </c>
      <c r="E1152">
        <f t="shared" si="51"/>
        <v>2024</v>
      </c>
      <c r="F1152" t="str">
        <f t="shared" si="52"/>
        <v>Jan</v>
      </c>
      <c r="G1152">
        <v>3</v>
      </c>
      <c r="H1152">
        <f>_xlfn.XLOOKUP(C1152,Products!A:A,Products!D:D)</f>
        <v>138.07</v>
      </c>
      <c r="I1152">
        <v>15</v>
      </c>
      <c r="J1152">
        <f t="shared" si="53"/>
        <v>352.07849999999996</v>
      </c>
      <c r="K1152" t="s">
        <v>2017</v>
      </c>
      <c r="L1152" t="str">
        <f>_xlfn.XLOOKUP(Orders[[#This Row],[ProductID]],Products!A:A,Products!C:C)</f>
        <v>Home</v>
      </c>
    </row>
    <row r="1153" spans="1:12" x14ac:dyDescent="0.3">
      <c r="A1153">
        <v>1152</v>
      </c>
      <c r="B1153">
        <v>966</v>
      </c>
      <c r="C1153">
        <v>2</v>
      </c>
      <c r="D1153" t="s">
        <v>246</v>
      </c>
      <c r="E1153">
        <f t="shared" si="51"/>
        <v>2023</v>
      </c>
      <c r="F1153" t="str">
        <f t="shared" si="52"/>
        <v>Jun</v>
      </c>
      <c r="G1153">
        <v>1</v>
      </c>
      <c r="H1153">
        <f>_xlfn.XLOOKUP(C1153,Products!A:A,Products!D:D)</f>
        <v>427.27</v>
      </c>
      <c r="I1153">
        <v>15</v>
      </c>
      <c r="J1153">
        <f t="shared" si="53"/>
        <v>363.17949999999996</v>
      </c>
      <c r="K1153" t="s">
        <v>2024</v>
      </c>
      <c r="L1153" t="str">
        <f>_xlfn.XLOOKUP(Orders[[#This Row],[ProductID]],Products!A:A,Products!C:C)</f>
        <v>Home</v>
      </c>
    </row>
    <row r="1154" spans="1:12" x14ac:dyDescent="0.3">
      <c r="A1154">
        <v>1153</v>
      </c>
      <c r="B1154">
        <v>967</v>
      </c>
      <c r="C1154">
        <v>35</v>
      </c>
      <c r="D1154" t="s">
        <v>434</v>
      </c>
      <c r="E1154">
        <f t="shared" si="51"/>
        <v>2023</v>
      </c>
      <c r="F1154" t="str">
        <f t="shared" si="52"/>
        <v>Sep</v>
      </c>
      <c r="G1154">
        <v>2</v>
      </c>
      <c r="H1154">
        <f>_xlfn.XLOOKUP(C1154,Products!A:A,Products!D:D)</f>
        <v>958.87</v>
      </c>
      <c r="I1154">
        <v>20</v>
      </c>
      <c r="J1154">
        <f t="shared" si="53"/>
        <v>1534.192</v>
      </c>
      <c r="K1154" t="s">
        <v>2024</v>
      </c>
      <c r="L1154" t="str">
        <f>_xlfn.XLOOKUP(Orders[[#This Row],[ProductID]],Products!A:A,Products!C:C)</f>
        <v>Clothing</v>
      </c>
    </row>
    <row r="1155" spans="1:12" x14ac:dyDescent="0.3">
      <c r="A1155">
        <v>1154</v>
      </c>
      <c r="B1155">
        <v>967</v>
      </c>
      <c r="C1155">
        <v>73</v>
      </c>
      <c r="D1155" t="s">
        <v>2112</v>
      </c>
      <c r="E1155">
        <f t="shared" ref="E1155:E1218" si="54">YEAR(D1155)</f>
        <v>2023</v>
      </c>
      <c r="F1155" t="str">
        <f t="shared" ref="F1155:F1218" si="55">TEXT(D1155,"mmm")</f>
        <v>Nov</v>
      </c>
      <c r="G1155">
        <v>1</v>
      </c>
      <c r="H1155">
        <f>_xlfn.XLOOKUP(C1155,Products!A:A,Products!D:D)</f>
        <v>943.04</v>
      </c>
      <c r="I1155">
        <v>5</v>
      </c>
      <c r="J1155">
        <f t="shared" ref="J1155:J1218" si="56">G1155*H1155*(1-I1155/100)</f>
        <v>895.88799999999992</v>
      </c>
      <c r="K1155" t="s">
        <v>2024</v>
      </c>
      <c r="L1155" t="str">
        <f>_xlfn.XLOOKUP(Orders[[#This Row],[ProductID]],Products!A:A,Products!C:C)</f>
        <v>Home</v>
      </c>
    </row>
    <row r="1156" spans="1:12" x14ac:dyDescent="0.3">
      <c r="A1156">
        <v>1155</v>
      </c>
      <c r="B1156">
        <v>968</v>
      </c>
      <c r="C1156">
        <v>67</v>
      </c>
      <c r="D1156" t="s">
        <v>2223</v>
      </c>
      <c r="E1156">
        <f t="shared" si="54"/>
        <v>2023</v>
      </c>
      <c r="F1156" t="str">
        <f t="shared" si="55"/>
        <v>Dec</v>
      </c>
      <c r="G1156">
        <v>1</v>
      </c>
      <c r="H1156">
        <f>_xlfn.XLOOKUP(C1156,Products!A:A,Products!D:D)</f>
        <v>258.35000000000002</v>
      </c>
      <c r="I1156">
        <v>20</v>
      </c>
      <c r="J1156">
        <f t="shared" si="56"/>
        <v>206.68000000000004</v>
      </c>
      <c r="K1156" t="s">
        <v>2024</v>
      </c>
      <c r="L1156" t="str">
        <f>_xlfn.XLOOKUP(Orders[[#This Row],[ProductID]],Products!A:A,Products!C:C)</f>
        <v>Electronics</v>
      </c>
    </row>
    <row r="1157" spans="1:12" x14ac:dyDescent="0.3">
      <c r="A1157">
        <v>1156</v>
      </c>
      <c r="B1157">
        <v>968</v>
      </c>
      <c r="C1157">
        <v>67</v>
      </c>
      <c r="D1157" t="s">
        <v>460</v>
      </c>
      <c r="E1157">
        <f t="shared" si="54"/>
        <v>2023</v>
      </c>
      <c r="F1157" t="str">
        <f t="shared" si="55"/>
        <v>Nov</v>
      </c>
      <c r="G1157">
        <v>2</v>
      </c>
      <c r="H1157">
        <f>_xlfn.XLOOKUP(C1157,Products!A:A,Products!D:D)</f>
        <v>258.35000000000002</v>
      </c>
      <c r="I1157">
        <v>15</v>
      </c>
      <c r="J1157">
        <f t="shared" si="56"/>
        <v>439.19500000000005</v>
      </c>
      <c r="K1157" t="s">
        <v>2017</v>
      </c>
      <c r="L1157" t="str">
        <f>_xlfn.XLOOKUP(Orders[[#This Row],[ProductID]],Products!A:A,Products!C:C)</f>
        <v>Electronics</v>
      </c>
    </row>
    <row r="1158" spans="1:12" x14ac:dyDescent="0.3">
      <c r="A1158">
        <v>1157</v>
      </c>
      <c r="B1158">
        <v>969</v>
      </c>
      <c r="C1158">
        <v>27</v>
      </c>
      <c r="D1158" t="s">
        <v>2191</v>
      </c>
      <c r="E1158">
        <f t="shared" si="54"/>
        <v>2024</v>
      </c>
      <c r="F1158" t="str">
        <f t="shared" si="55"/>
        <v>Apr</v>
      </c>
      <c r="G1158">
        <v>2</v>
      </c>
      <c r="H1158">
        <f>_xlfn.XLOOKUP(C1158,Products!A:A,Products!D:D)</f>
        <v>76.09</v>
      </c>
      <c r="I1158">
        <v>5</v>
      </c>
      <c r="J1158">
        <f t="shared" si="56"/>
        <v>144.571</v>
      </c>
      <c r="K1158" t="s">
        <v>2021</v>
      </c>
      <c r="L1158" t="str">
        <f>_xlfn.XLOOKUP(Orders[[#This Row],[ProductID]],Products!A:A,Products!C:C)</f>
        <v>Clothing</v>
      </c>
    </row>
    <row r="1159" spans="1:12" x14ac:dyDescent="0.3">
      <c r="A1159">
        <v>1158</v>
      </c>
      <c r="B1159">
        <v>969</v>
      </c>
      <c r="C1159">
        <v>68</v>
      </c>
      <c r="D1159" t="s">
        <v>2211</v>
      </c>
      <c r="E1159">
        <f t="shared" si="54"/>
        <v>2024</v>
      </c>
      <c r="F1159" t="str">
        <f t="shared" si="55"/>
        <v>Jan</v>
      </c>
      <c r="G1159">
        <v>2</v>
      </c>
      <c r="H1159">
        <f>_xlfn.XLOOKUP(C1159,Products!A:A,Products!D:D)</f>
        <v>180.99</v>
      </c>
      <c r="I1159">
        <v>0</v>
      </c>
      <c r="J1159">
        <f t="shared" si="56"/>
        <v>361.98</v>
      </c>
      <c r="K1159" t="s">
        <v>2024</v>
      </c>
      <c r="L1159" t="str">
        <f>_xlfn.XLOOKUP(Orders[[#This Row],[ProductID]],Products!A:A,Products!C:C)</f>
        <v>Clothing</v>
      </c>
    </row>
    <row r="1160" spans="1:12" x14ac:dyDescent="0.3">
      <c r="A1160">
        <v>1159</v>
      </c>
      <c r="B1160">
        <v>970</v>
      </c>
      <c r="C1160">
        <v>54</v>
      </c>
      <c r="D1160" t="s">
        <v>1133</v>
      </c>
      <c r="E1160">
        <f t="shared" si="54"/>
        <v>2023</v>
      </c>
      <c r="F1160" t="str">
        <f t="shared" si="55"/>
        <v>Apr</v>
      </c>
      <c r="G1160">
        <v>1</v>
      </c>
      <c r="H1160">
        <f>_xlfn.XLOOKUP(C1160,Products!A:A,Products!D:D)</f>
        <v>900.79</v>
      </c>
      <c r="I1160">
        <v>15</v>
      </c>
      <c r="J1160">
        <f t="shared" si="56"/>
        <v>765.67149999999992</v>
      </c>
      <c r="K1160" t="s">
        <v>2019</v>
      </c>
      <c r="L1160" t="str">
        <f>_xlfn.XLOOKUP(Orders[[#This Row],[ProductID]],Products!A:A,Products!C:C)</f>
        <v>Electronics</v>
      </c>
    </row>
    <row r="1161" spans="1:12" x14ac:dyDescent="0.3">
      <c r="A1161">
        <v>1160</v>
      </c>
      <c r="B1161">
        <v>970</v>
      </c>
      <c r="C1161">
        <v>1</v>
      </c>
      <c r="D1161" t="s">
        <v>948</v>
      </c>
      <c r="E1161">
        <f t="shared" si="54"/>
        <v>2023</v>
      </c>
      <c r="F1161" t="str">
        <f t="shared" si="55"/>
        <v>Jun</v>
      </c>
      <c r="G1161">
        <v>3</v>
      </c>
      <c r="H1161">
        <f>_xlfn.XLOOKUP(C1161,Products!A:A,Products!D:D)</f>
        <v>469.08</v>
      </c>
      <c r="I1161">
        <v>5</v>
      </c>
      <c r="J1161">
        <f t="shared" si="56"/>
        <v>1336.8779999999999</v>
      </c>
      <c r="K1161" t="s">
        <v>2021</v>
      </c>
      <c r="L1161" t="str">
        <f>_xlfn.XLOOKUP(Orders[[#This Row],[ProductID]],Products!A:A,Products!C:C)</f>
        <v>Clothing</v>
      </c>
    </row>
    <row r="1162" spans="1:12" x14ac:dyDescent="0.3">
      <c r="A1162">
        <v>1161</v>
      </c>
      <c r="B1162">
        <v>971</v>
      </c>
      <c r="C1162">
        <v>13</v>
      </c>
      <c r="D1162" t="s">
        <v>1047</v>
      </c>
      <c r="E1162">
        <f t="shared" si="54"/>
        <v>2023</v>
      </c>
      <c r="F1162" t="str">
        <f t="shared" si="55"/>
        <v>Oct</v>
      </c>
      <c r="G1162">
        <v>2</v>
      </c>
      <c r="H1162">
        <f>_xlfn.XLOOKUP(C1162,Products!A:A,Products!D:D)</f>
        <v>334.61</v>
      </c>
      <c r="I1162">
        <v>10</v>
      </c>
      <c r="J1162">
        <f t="shared" si="56"/>
        <v>602.298</v>
      </c>
      <c r="K1162" t="s">
        <v>2019</v>
      </c>
      <c r="L1162" t="str">
        <f>_xlfn.XLOOKUP(Orders[[#This Row],[ProductID]],Products!A:A,Products!C:C)</f>
        <v>Home</v>
      </c>
    </row>
    <row r="1163" spans="1:12" x14ac:dyDescent="0.3">
      <c r="A1163">
        <v>1162</v>
      </c>
      <c r="B1163">
        <v>971</v>
      </c>
      <c r="C1163">
        <v>8</v>
      </c>
      <c r="D1163" t="s">
        <v>314</v>
      </c>
      <c r="E1163">
        <f t="shared" si="54"/>
        <v>2023</v>
      </c>
      <c r="F1163" t="str">
        <f t="shared" si="55"/>
        <v>Nov</v>
      </c>
      <c r="G1163">
        <v>2</v>
      </c>
      <c r="H1163">
        <f>_xlfn.XLOOKUP(C1163,Products!A:A,Products!D:D)</f>
        <v>155.08000000000001</v>
      </c>
      <c r="I1163">
        <v>20</v>
      </c>
      <c r="J1163">
        <f t="shared" si="56"/>
        <v>248.12800000000004</v>
      </c>
      <c r="K1163" t="s">
        <v>2021</v>
      </c>
      <c r="L1163" t="str">
        <f>_xlfn.XLOOKUP(Orders[[#This Row],[ProductID]],Products!A:A,Products!C:C)</f>
        <v>Clothing</v>
      </c>
    </row>
    <row r="1164" spans="1:12" x14ac:dyDescent="0.3">
      <c r="A1164">
        <v>1163</v>
      </c>
      <c r="B1164">
        <v>972</v>
      </c>
      <c r="C1164">
        <v>9</v>
      </c>
      <c r="D1164" t="s">
        <v>1745</v>
      </c>
      <c r="E1164">
        <f t="shared" si="54"/>
        <v>2023</v>
      </c>
      <c r="F1164" t="str">
        <f t="shared" si="55"/>
        <v>Jun</v>
      </c>
      <c r="G1164">
        <v>3</v>
      </c>
      <c r="H1164">
        <f>_xlfn.XLOOKUP(C1164,Products!A:A,Products!D:D)</f>
        <v>43.26</v>
      </c>
      <c r="I1164">
        <v>20</v>
      </c>
      <c r="J1164">
        <f t="shared" si="56"/>
        <v>103.82400000000001</v>
      </c>
      <c r="K1164" t="s">
        <v>2021</v>
      </c>
      <c r="L1164" t="str">
        <f>_xlfn.XLOOKUP(Orders[[#This Row],[ProductID]],Products!A:A,Products!C:C)</f>
        <v>Electronics</v>
      </c>
    </row>
    <row r="1165" spans="1:12" x14ac:dyDescent="0.3">
      <c r="A1165">
        <v>1164</v>
      </c>
      <c r="B1165">
        <v>972</v>
      </c>
      <c r="C1165">
        <v>45</v>
      </c>
      <c r="D1165" t="s">
        <v>390</v>
      </c>
      <c r="E1165">
        <f t="shared" si="54"/>
        <v>2023</v>
      </c>
      <c r="F1165" t="str">
        <f t="shared" si="55"/>
        <v>Nov</v>
      </c>
      <c r="G1165">
        <v>1</v>
      </c>
      <c r="H1165">
        <f>_xlfn.XLOOKUP(C1165,Products!A:A,Products!D:D)</f>
        <v>609.05999999999995</v>
      </c>
      <c r="I1165">
        <v>5</v>
      </c>
      <c r="J1165">
        <f t="shared" si="56"/>
        <v>578.60699999999997</v>
      </c>
      <c r="K1165" t="s">
        <v>2024</v>
      </c>
      <c r="L1165" t="str">
        <f>_xlfn.XLOOKUP(Orders[[#This Row],[ProductID]],Products!A:A,Products!C:C)</f>
        <v>Beauty</v>
      </c>
    </row>
    <row r="1166" spans="1:12" x14ac:dyDescent="0.3">
      <c r="A1166">
        <v>1165</v>
      </c>
      <c r="B1166">
        <v>973</v>
      </c>
      <c r="C1166">
        <v>37</v>
      </c>
      <c r="D1166" t="s">
        <v>2224</v>
      </c>
      <c r="E1166">
        <f t="shared" si="54"/>
        <v>2024</v>
      </c>
      <c r="F1166" t="str">
        <f t="shared" si="55"/>
        <v>Feb</v>
      </c>
      <c r="G1166">
        <v>2</v>
      </c>
      <c r="H1166">
        <f>_xlfn.XLOOKUP(C1166,Products!A:A,Products!D:D)</f>
        <v>968.87</v>
      </c>
      <c r="I1166">
        <v>20</v>
      </c>
      <c r="J1166">
        <f t="shared" si="56"/>
        <v>1550.192</v>
      </c>
      <c r="K1166" t="s">
        <v>2024</v>
      </c>
      <c r="L1166" t="str">
        <f>_xlfn.XLOOKUP(Orders[[#This Row],[ProductID]],Products!A:A,Products!C:C)</f>
        <v>Home</v>
      </c>
    </row>
    <row r="1167" spans="1:12" x14ac:dyDescent="0.3">
      <c r="A1167">
        <v>1166</v>
      </c>
      <c r="B1167">
        <v>973</v>
      </c>
      <c r="C1167">
        <v>48</v>
      </c>
      <c r="D1167" t="s">
        <v>314</v>
      </c>
      <c r="E1167">
        <f t="shared" si="54"/>
        <v>2023</v>
      </c>
      <c r="F1167" t="str">
        <f t="shared" si="55"/>
        <v>Nov</v>
      </c>
      <c r="G1167">
        <v>2</v>
      </c>
      <c r="H1167">
        <f>_xlfn.XLOOKUP(C1167,Products!A:A,Products!D:D)</f>
        <v>1125.8499999999999</v>
      </c>
      <c r="I1167">
        <v>10</v>
      </c>
      <c r="J1167">
        <f t="shared" si="56"/>
        <v>2026.53</v>
      </c>
      <c r="K1167" t="s">
        <v>2015</v>
      </c>
      <c r="L1167" t="str">
        <f>_xlfn.XLOOKUP(Orders[[#This Row],[ProductID]],Products!A:A,Products!C:C)</f>
        <v>Clothing</v>
      </c>
    </row>
    <row r="1168" spans="1:12" x14ac:dyDescent="0.3">
      <c r="A1168">
        <v>1167</v>
      </c>
      <c r="B1168">
        <v>974</v>
      </c>
      <c r="C1168">
        <v>70</v>
      </c>
      <c r="D1168" t="s">
        <v>2225</v>
      </c>
      <c r="E1168">
        <f t="shared" si="54"/>
        <v>2023</v>
      </c>
      <c r="F1168" t="str">
        <f t="shared" si="55"/>
        <v>Nov</v>
      </c>
      <c r="G1168">
        <v>3</v>
      </c>
      <c r="H1168">
        <f>_xlfn.XLOOKUP(C1168,Products!A:A,Products!D:D)</f>
        <v>797.23</v>
      </c>
      <c r="I1168">
        <v>5</v>
      </c>
      <c r="J1168">
        <f t="shared" si="56"/>
        <v>2272.1055000000001</v>
      </c>
      <c r="K1168" t="s">
        <v>2019</v>
      </c>
      <c r="L1168" t="str">
        <f>_xlfn.XLOOKUP(Orders[[#This Row],[ProductID]],Products!A:A,Products!C:C)</f>
        <v>Clothing</v>
      </c>
    </row>
    <row r="1169" spans="1:12" x14ac:dyDescent="0.3">
      <c r="A1169">
        <v>1168</v>
      </c>
      <c r="B1169">
        <v>974</v>
      </c>
      <c r="C1169">
        <v>76</v>
      </c>
      <c r="D1169" t="s">
        <v>1129</v>
      </c>
      <c r="E1169">
        <f t="shared" si="54"/>
        <v>2023</v>
      </c>
      <c r="F1169" t="str">
        <f t="shared" si="55"/>
        <v>Mar</v>
      </c>
      <c r="G1169">
        <v>1</v>
      </c>
      <c r="H1169">
        <f>_xlfn.XLOOKUP(C1169,Products!A:A,Products!D:D)</f>
        <v>1043.26</v>
      </c>
      <c r="I1169">
        <v>5</v>
      </c>
      <c r="J1169">
        <f t="shared" si="56"/>
        <v>991.09699999999998</v>
      </c>
      <c r="K1169" t="s">
        <v>2024</v>
      </c>
      <c r="L1169" t="str">
        <f>_xlfn.XLOOKUP(Orders[[#This Row],[ProductID]],Products!A:A,Products!C:C)</f>
        <v>Clothing</v>
      </c>
    </row>
    <row r="1170" spans="1:12" x14ac:dyDescent="0.3">
      <c r="A1170">
        <v>1169</v>
      </c>
      <c r="B1170">
        <v>975</v>
      </c>
      <c r="C1170">
        <v>23</v>
      </c>
      <c r="D1170" t="s">
        <v>317</v>
      </c>
      <c r="E1170">
        <f t="shared" si="54"/>
        <v>2023</v>
      </c>
      <c r="F1170" t="str">
        <f t="shared" si="55"/>
        <v>May</v>
      </c>
      <c r="G1170">
        <v>3</v>
      </c>
      <c r="H1170">
        <f>_xlfn.XLOOKUP(C1170,Products!A:A,Products!D:D)</f>
        <v>258.08</v>
      </c>
      <c r="I1170">
        <v>0</v>
      </c>
      <c r="J1170">
        <f t="shared" si="56"/>
        <v>774.24</v>
      </c>
      <c r="K1170" t="s">
        <v>2021</v>
      </c>
      <c r="L1170" t="str">
        <f>_xlfn.XLOOKUP(Orders[[#This Row],[ProductID]],Products!A:A,Products!C:C)</f>
        <v>Home</v>
      </c>
    </row>
    <row r="1171" spans="1:12" x14ac:dyDescent="0.3">
      <c r="A1171">
        <v>1170</v>
      </c>
      <c r="B1171">
        <v>975</v>
      </c>
      <c r="C1171">
        <v>67</v>
      </c>
      <c r="D1171" t="s">
        <v>924</v>
      </c>
      <c r="E1171">
        <f t="shared" si="54"/>
        <v>2023</v>
      </c>
      <c r="F1171" t="str">
        <f t="shared" si="55"/>
        <v>Oct</v>
      </c>
      <c r="G1171">
        <v>3</v>
      </c>
      <c r="H1171">
        <f>_xlfn.XLOOKUP(C1171,Products!A:A,Products!D:D)</f>
        <v>258.35000000000002</v>
      </c>
      <c r="I1171">
        <v>15</v>
      </c>
      <c r="J1171">
        <f t="shared" si="56"/>
        <v>658.79250000000002</v>
      </c>
      <c r="K1171" t="s">
        <v>2024</v>
      </c>
      <c r="L1171" t="str">
        <f>_xlfn.XLOOKUP(Orders[[#This Row],[ProductID]],Products!A:A,Products!C:C)</f>
        <v>Electronics</v>
      </c>
    </row>
    <row r="1172" spans="1:12" x14ac:dyDescent="0.3">
      <c r="A1172">
        <v>1171</v>
      </c>
      <c r="B1172">
        <v>976</v>
      </c>
      <c r="C1172">
        <v>74</v>
      </c>
      <c r="D1172" t="s">
        <v>2226</v>
      </c>
      <c r="E1172">
        <f t="shared" si="54"/>
        <v>2024</v>
      </c>
      <c r="F1172" t="str">
        <f t="shared" si="55"/>
        <v>Jan</v>
      </c>
      <c r="G1172">
        <v>3</v>
      </c>
      <c r="H1172">
        <f>_xlfn.XLOOKUP(C1172,Products!A:A,Products!D:D)</f>
        <v>1034.31</v>
      </c>
      <c r="I1172">
        <v>20</v>
      </c>
      <c r="J1172">
        <f t="shared" si="56"/>
        <v>2482.3440000000001</v>
      </c>
      <c r="K1172" t="s">
        <v>2024</v>
      </c>
      <c r="L1172" t="str">
        <f>_xlfn.XLOOKUP(Orders[[#This Row],[ProductID]],Products!A:A,Products!C:C)</f>
        <v>Electronics</v>
      </c>
    </row>
    <row r="1173" spans="1:12" x14ac:dyDescent="0.3">
      <c r="A1173">
        <v>1172</v>
      </c>
      <c r="B1173">
        <v>976</v>
      </c>
      <c r="C1173">
        <v>79</v>
      </c>
      <c r="D1173" t="s">
        <v>2220</v>
      </c>
      <c r="E1173">
        <f t="shared" si="54"/>
        <v>2023</v>
      </c>
      <c r="F1173" t="str">
        <f t="shared" si="55"/>
        <v>Dec</v>
      </c>
      <c r="G1173">
        <v>2</v>
      </c>
      <c r="H1173">
        <f>_xlfn.XLOOKUP(C1173,Products!A:A,Products!D:D)</f>
        <v>488.34</v>
      </c>
      <c r="I1173">
        <v>5</v>
      </c>
      <c r="J1173">
        <f t="shared" si="56"/>
        <v>927.84599999999989</v>
      </c>
      <c r="K1173" t="s">
        <v>2021</v>
      </c>
      <c r="L1173" t="str">
        <f>_xlfn.XLOOKUP(Orders[[#This Row],[ProductID]],Products!A:A,Products!C:C)</f>
        <v>Electronics</v>
      </c>
    </row>
    <row r="1174" spans="1:12" x14ac:dyDescent="0.3">
      <c r="A1174">
        <v>1173</v>
      </c>
      <c r="B1174">
        <v>977</v>
      </c>
      <c r="C1174">
        <v>1</v>
      </c>
      <c r="D1174" t="s">
        <v>2053</v>
      </c>
      <c r="E1174">
        <f t="shared" si="54"/>
        <v>2024</v>
      </c>
      <c r="F1174" t="str">
        <f t="shared" si="55"/>
        <v>Feb</v>
      </c>
      <c r="G1174">
        <v>1</v>
      </c>
      <c r="H1174">
        <f>_xlfn.XLOOKUP(C1174,Products!A:A,Products!D:D)</f>
        <v>469.08</v>
      </c>
      <c r="I1174">
        <v>5</v>
      </c>
      <c r="J1174">
        <f t="shared" si="56"/>
        <v>445.62599999999998</v>
      </c>
      <c r="K1174" t="s">
        <v>2019</v>
      </c>
      <c r="L1174" t="str">
        <f>_xlfn.XLOOKUP(Orders[[#This Row],[ProductID]],Products!A:A,Products!C:C)</f>
        <v>Clothing</v>
      </c>
    </row>
    <row r="1175" spans="1:12" x14ac:dyDescent="0.3">
      <c r="A1175">
        <v>1174</v>
      </c>
      <c r="B1175">
        <v>977</v>
      </c>
      <c r="C1175">
        <v>79</v>
      </c>
      <c r="D1175" t="s">
        <v>224</v>
      </c>
      <c r="E1175">
        <f t="shared" si="54"/>
        <v>2023</v>
      </c>
      <c r="F1175" t="str">
        <f t="shared" si="55"/>
        <v>Mar</v>
      </c>
      <c r="G1175">
        <v>1</v>
      </c>
      <c r="H1175">
        <f>_xlfn.XLOOKUP(C1175,Products!A:A,Products!D:D)</f>
        <v>488.34</v>
      </c>
      <c r="I1175">
        <v>5</v>
      </c>
      <c r="J1175">
        <f t="shared" si="56"/>
        <v>463.92299999999994</v>
      </c>
      <c r="K1175" t="s">
        <v>2017</v>
      </c>
      <c r="L1175" t="str">
        <f>_xlfn.XLOOKUP(Orders[[#This Row],[ProductID]],Products!A:A,Products!C:C)</f>
        <v>Electronics</v>
      </c>
    </row>
    <row r="1176" spans="1:12" x14ac:dyDescent="0.3">
      <c r="A1176">
        <v>1175</v>
      </c>
      <c r="B1176">
        <v>978</v>
      </c>
      <c r="C1176">
        <v>1</v>
      </c>
      <c r="D1176" t="s">
        <v>1061</v>
      </c>
      <c r="E1176">
        <f t="shared" si="54"/>
        <v>2023</v>
      </c>
      <c r="F1176" t="str">
        <f t="shared" si="55"/>
        <v>Jun</v>
      </c>
      <c r="G1176">
        <v>1</v>
      </c>
      <c r="H1176">
        <f>_xlfn.XLOOKUP(C1176,Products!A:A,Products!D:D)</f>
        <v>469.08</v>
      </c>
      <c r="I1176">
        <v>0</v>
      </c>
      <c r="J1176">
        <f t="shared" si="56"/>
        <v>469.08</v>
      </c>
      <c r="K1176" t="s">
        <v>2021</v>
      </c>
      <c r="L1176" t="str">
        <f>_xlfn.XLOOKUP(Orders[[#This Row],[ProductID]],Products!A:A,Products!C:C)</f>
        <v>Clothing</v>
      </c>
    </row>
    <row r="1177" spans="1:12" x14ac:dyDescent="0.3">
      <c r="A1177">
        <v>1176</v>
      </c>
      <c r="B1177">
        <v>978</v>
      </c>
      <c r="C1177">
        <v>66</v>
      </c>
      <c r="D1177" t="s">
        <v>2078</v>
      </c>
      <c r="E1177">
        <f t="shared" si="54"/>
        <v>2024</v>
      </c>
      <c r="F1177" t="str">
        <f t="shared" si="55"/>
        <v>Feb</v>
      </c>
      <c r="G1177">
        <v>2</v>
      </c>
      <c r="H1177">
        <f>_xlfn.XLOOKUP(C1177,Products!A:A,Products!D:D)</f>
        <v>783.37</v>
      </c>
      <c r="I1177">
        <v>15</v>
      </c>
      <c r="J1177">
        <f t="shared" si="56"/>
        <v>1331.729</v>
      </c>
      <c r="K1177" t="s">
        <v>2017</v>
      </c>
      <c r="L1177" t="str">
        <f>_xlfn.XLOOKUP(Orders[[#This Row],[ProductID]],Products!A:A,Products!C:C)</f>
        <v>Home</v>
      </c>
    </row>
    <row r="1178" spans="1:12" x14ac:dyDescent="0.3">
      <c r="A1178">
        <v>1177</v>
      </c>
      <c r="B1178">
        <v>979</v>
      </c>
      <c r="C1178">
        <v>42</v>
      </c>
      <c r="D1178" t="s">
        <v>542</v>
      </c>
      <c r="E1178">
        <f t="shared" si="54"/>
        <v>2023</v>
      </c>
      <c r="F1178" t="str">
        <f t="shared" si="55"/>
        <v>Jun</v>
      </c>
      <c r="G1178">
        <v>3</v>
      </c>
      <c r="H1178">
        <f>_xlfn.XLOOKUP(C1178,Products!A:A,Products!D:D)</f>
        <v>233.11</v>
      </c>
      <c r="I1178">
        <v>0</v>
      </c>
      <c r="J1178">
        <f t="shared" si="56"/>
        <v>699.33</v>
      </c>
      <c r="K1178" t="s">
        <v>2021</v>
      </c>
      <c r="L1178" t="str">
        <f>_xlfn.XLOOKUP(Orders[[#This Row],[ProductID]],Products!A:A,Products!C:C)</f>
        <v>Home</v>
      </c>
    </row>
    <row r="1179" spans="1:12" x14ac:dyDescent="0.3">
      <c r="A1179">
        <v>1178</v>
      </c>
      <c r="B1179">
        <v>979</v>
      </c>
      <c r="C1179">
        <v>72</v>
      </c>
      <c r="D1179" t="s">
        <v>2126</v>
      </c>
      <c r="E1179">
        <f t="shared" si="54"/>
        <v>2023</v>
      </c>
      <c r="F1179" t="str">
        <f t="shared" si="55"/>
        <v>Jul</v>
      </c>
      <c r="G1179">
        <v>2</v>
      </c>
      <c r="H1179">
        <f>_xlfn.XLOOKUP(C1179,Products!A:A,Products!D:D)</f>
        <v>1157.27</v>
      </c>
      <c r="I1179">
        <v>15</v>
      </c>
      <c r="J1179">
        <f t="shared" si="56"/>
        <v>1967.3589999999999</v>
      </c>
      <c r="K1179" t="s">
        <v>2017</v>
      </c>
      <c r="L1179" t="str">
        <f>_xlfn.XLOOKUP(Orders[[#This Row],[ProductID]],Products!A:A,Products!C:C)</f>
        <v>Electronics</v>
      </c>
    </row>
    <row r="1180" spans="1:12" x14ac:dyDescent="0.3">
      <c r="A1180">
        <v>1179</v>
      </c>
      <c r="B1180">
        <v>980</v>
      </c>
      <c r="C1180">
        <v>46</v>
      </c>
      <c r="D1180" t="s">
        <v>948</v>
      </c>
      <c r="E1180">
        <f t="shared" si="54"/>
        <v>2023</v>
      </c>
      <c r="F1180" t="str">
        <f t="shared" si="55"/>
        <v>Jun</v>
      </c>
      <c r="G1180">
        <v>3</v>
      </c>
      <c r="H1180">
        <f>_xlfn.XLOOKUP(C1180,Products!A:A,Products!D:D)</f>
        <v>1155.3</v>
      </c>
      <c r="I1180">
        <v>10</v>
      </c>
      <c r="J1180">
        <f t="shared" si="56"/>
        <v>3119.31</v>
      </c>
      <c r="K1180" t="s">
        <v>2015</v>
      </c>
      <c r="L1180" t="str">
        <f>_xlfn.XLOOKUP(Orders[[#This Row],[ProductID]],Products!A:A,Products!C:C)</f>
        <v>Beauty</v>
      </c>
    </row>
    <row r="1181" spans="1:12" x14ac:dyDescent="0.3">
      <c r="A1181">
        <v>1180</v>
      </c>
      <c r="B1181">
        <v>980</v>
      </c>
      <c r="C1181">
        <v>11</v>
      </c>
      <c r="D1181" t="s">
        <v>2095</v>
      </c>
      <c r="E1181">
        <f t="shared" si="54"/>
        <v>2024</v>
      </c>
      <c r="F1181" t="str">
        <f t="shared" si="55"/>
        <v>Mar</v>
      </c>
      <c r="G1181">
        <v>3</v>
      </c>
      <c r="H1181">
        <f>_xlfn.XLOOKUP(C1181,Products!A:A,Products!D:D)</f>
        <v>1038.77</v>
      </c>
      <c r="I1181">
        <v>5</v>
      </c>
      <c r="J1181">
        <f t="shared" si="56"/>
        <v>2960.4944999999998</v>
      </c>
      <c r="K1181" t="s">
        <v>2021</v>
      </c>
      <c r="L1181" t="str">
        <f>_xlfn.XLOOKUP(Orders[[#This Row],[ProductID]],Products!A:A,Products!C:C)</f>
        <v>Beauty</v>
      </c>
    </row>
    <row r="1182" spans="1:12" x14ac:dyDescent="0.3">
      <c r="A1182">
        <v>1181</v>
      </c>
      <c r="B1182">
        <v>981</v>
      </c>
      <c r="C1182">
        <v>36</v>
      </c>
      <c r="D1182" t="s">
        <v>2111</v>
      </c>
      <c r="E1182">
        <f t="shared" si="54"/>
        <v>2023</v>
      </c>
      <c r="F1182" t="str">
        <f t="shared" si="55"/>
        <v>Dec</v>
      </c>
      <c r="G1182">
        <v>1</v>
      </c>
      <c r="H1182">
        <f>_xlfn.XLOOKUP(C1182,Products!A:A,Products!D:D)</f>
        <v>992.01</v>
      </c>
      <c r="I1182">
        <v>15</v>
      </c>
      <c r="J1182">
        <f t="shared" si="56"/>
        <v>843.20849999999996</v>
      </c>
      <c r="K1182" t="s">
        <v>2015</v>
      </c>
      <c r="L1182" t="str">
        <f>_xlfn.XLOOKUP(Orders[[#This Row],[ProductID]],Products!A:A,Products!C:C)</f>
        <v>Beauty</v>
      </c>
    </row>
    <row r="1183" spans="1:12" x14ac:dyDescent="0.3">
      <c r="A1183">
        <v>1182</v>
      </c>
      <c r="B1183">
        <v>981</v>
      </c>
      <c r="C1183">
        <v>57</v>
      </c>
      <c r="D1183" t="s">
        <v>2034</v>
      </c>
      <c r="E1183">
        <f t="shared" si="54"/>
        <v>2023</v>
      </c>
      <c r="F1183" t="str">
        <f t="shared" si="55"/>
        <v>Sep</v>
      </c>
      <c r="G1183">
        <v>3</v>
      </c>
      <c r="H1183">
        <f>_xlfn.XLOOKUP(C1183,Products!A:A,Products!D:D)</f>
        <v>768.03</v>
      </c>
      <c r="I1183">
        <v>10</v>
      </c>
      <c r="J1183">
        <f t="shared" si="56"/>
        <v>2073.681</v>
      </c>
      <c r="K1183" t="s">
        <v>2019</v>
      </c>
      <c r="L1183" t="str">
        <f>_xlfn.XLOOKUP(Orders[[#This Row],[ProductID]],Products!A:A,Products!C:C)</f>
        <v>Electronics</v>
      </c>
    </row>
    <row r="1184" spans="1:12" x14ac:dyDescent="0.3">
      <c r="A1184">
        <v>1183</v>
      </c>
      <c r="B1184">
        <v>982</v>
      </c>
      <c r="C1184">
        <v>72</v>
      </c>
      <c r="D1184" t="s">
        <v>2074</v>
      </c>
      <c r="E1184">
        <f t="shared" si="54"/>
        <v>2024</v>
      </c>
      <c r="F1184" t="str">
        <f t="shared" si="55"/>
        <v>Apr</v>
      </c>
      <c r="G1184">
        <v>2</v>
      </c>
      <c r="H1184">
        <f>_xlfn.XLOOKUP(C1184,Products!A:A,Products!D:D)</f>
        <v>1157.27</v>
      </c>
      <c r="I1184">
        <v>10</v>
      </c>
      <c r="J1184">
        <f t="shared" si="56"/>
        <v>2083.0860000000002</v>
      </c>
      <c r="K1184" t="s">
        <v>2021</v>
      </c>
      <c r="L1184" t="str">
        <f>_xlfn.XLOOKUP(Orders[[#This Row],[ProductID]],Products!A:A,Products!C:C)</f>
        <v>Electronics</v>
      </c>
    </row>
    <row r="1185" spans="1:12" x14ac:dyDescent="0.3">
      <c r="A1185">
        <v>1184</v>
      </c>
      <c r="B1185">
        <v>982</v>
      </c>
      <c r="C1185">
        <v>4</v>
      </c>
      <c r="D1185" t="s">
        <v>2076</v>
      </c>
      <c r="E1185">
        <f t="shared" si="54"/>
        <v>2024</v>
      </c>
      <c r="F1185" t="str">
        <f t="shared" si="55"/>
        <v>Mar</v>
      </c>
      <c r="G1185">
        <v>2</v>
      </c>
      <c r="H1185">
        <f>_xlfn.XLOOKUP(C1185,Products!A:A,Products!D:D)</f>
        <v>800.26</v>
      </c>
      <c r="I1185">
        <v>15</v>
      </c>
      <c r="J1185">
        <f t="shared" si="56"/>
        <v>1360.442</v>
      </c>
      <c r="K1185" t="s">
        <v>2024</v>
      </c>
      <c r="L1185" t="str">
        <f>_xlfn.XLOOKUP(Orders[[#This Row],[ProductID]],Products!A:A,Products!C:C)</f>
        <v>Electronics</v>
      </c>
    </row>
    <row r="1186" spans="1:12" x14ac:dyDescent="0.3">
      <c r="A1186">
        <v>1185</v>
      </c>
      <c r="B1186">
        <v>983</v>
      </c>
      <c r="C1186">
        <v>55</v>
      </c>
      <c r="D1186" t="s">
        <v>878</v>
      </c>
      <c r="E1186">
        <f t="shared" si="54"/>
        <v>2023</v>
      </c>
      <c r="F1186" t="str">
        <f t="shared" si="55"/>
        <v>Apr</v>
      </c>
      <c r="G1186">
        <v>3</v>
      </c>
      <c r="H1186">
        <f>_xlfn.XLOOKUP(C1186,Products!A:A,Products!D:D)</f>
        <v>1016.06</v>
      </c>
      <c r="I1186">
        <v>20</v>
      </c>
      <c r="J1186">
        <f t="shared" si="56"/>
        <v>2438.5439999999999</v>
      </c>
      <c r="K1186" t="s">
        <v>2021</v>
      </c>
      <c r="L1186" t="str">
        <f>_xlfn.XLOOKUP(Orders[[#This Row],[ProductID]],Products!A:A,Products!C:C)</f>
        <v>Clothing</v>
      </c>
    </row>
    <row r="1187" spans="1:12" x14ac:dyDescent="0.3">
      <c r="A1187">
        <v>1186</v>
      </c>
      <c r="B1187">
        <v>983</v>
      </c>
      <c r="C1187">
        <v>49</v>
      </c>
      <c r="D1187" t="s">
        <v>802</v>
      </c>
      <c r="E1187">
        <f t="shared" si="54"/>
        <v>2023</v>
      </c>
      <c r="F1187" t="str">
        <f t="shared" si="55"/>
        <v>Jul</v>
      </c>
      <c r="G1187">
        <v>1</v>
      </c>
      <c r="H1187">
        <f>_xlfn.XLOOKUP(C1187,Products!A:A,Products!D:D)</f>
        <v>974.54</v>
      </c>
      <c r="I1187">
        <v>0</v>
      </c>
      <c r="J1187">
        <f t="shared" si="56"/>
        <v>974.54</v>
      </c>
      <c r="K1187" t="s">
        <v>2021</v>
      </c>
      <c r="L1187" t="str">
        <f>_xlfn.XLOOKUP(Orders[[#This Row],[ProductID]],Products!A:A,Products!C:C)</f>
        <v>Home</v>
      </c>
    </row>
    <row r="1188" spans="1:12" x14ac:dyDescent="0.3">
      <c r="A1188">
        <v>1187</v>
      </c>
      <c r="B1188">
        <v>984</v>
      </c>
      <c r="C1188">
        <v>57</v>
      </c>
      <c r="D1188" t="s">
        <v>757</v>
      </c>
      <c r="E1188">
        <f t="shared" si="54"/>
        <v>2023</v>
      </c>
      <c r="F1188" t="str">
        <f t="shared" si="55"/>
        <v>Jul</v>
      </c>
      <c r="G1188">
        <v>3</v>
      </c>
      <c r="H1188">
        <f>_xlfn.XLOOKUP(C1188,Products!A:A,Products!D:D)</f>
        <v>768.03</v>
      </c>
      <c r="I1188">
        <v>5</v>
      </c>
      <c r="J1188">
        <f t="shared" si="56"/>
        <v>2188.8854999999999</v>
      </c>
      <c r="K1188" t="s">
        <v>2019</v>
      </c>
      <c r="L1188" t="str">
        <f>_xlfn.XLOOKUP(Orders[[#This Row],[ProductID]],Products!A:A,Products!C:C)</f>
        <v>Electronics</v>
      </c>
    </row>
    <row r="1189" spans="1:12" x14ac:dyDescent="0.3">
      <c r="A1189">
        <v>1188</v>
      </c>
      <c r="B1189">
        <v>984</v>
      </c>
      <c r="C1189">
        <v>76</v>
      </c>
      <c r="D1189" t="s">
        <v>1350</v>
      </c>
      <c r="E1189">
        <f t="shared" si="54"/>
        <v>2023</v>
      </c>
      <c r="F1189" t="str">
        <f t="shared" si="55"/>
        <v>Jun</v>
      </c>
      <c r="G1189">
        <v>2</v>
      </c>
      <c r="H1189">
        <f>_xlfn.XLOOKUP(C1189,Products!A:A,Products!D:D)</f>
        <v>1043.26</v>
      </c>
      <c r="I1189">
        <v>0</v>
      </c>
      <c r="J1189">
        <f t="shared" si="56"/>
        <v>2086.52</v>
      </c>
      <c r="K1189" t="s">
        <v>2024</v>
      </c>
      <c r="L1189" t="str">
        <f>_xlfn.XLOOKUP(Orders[[#This Row],[ProductID]],Products!A:A,Products!C:C)</f>
        <v>Clothing</v>
      </c>
    </row>
    <row r="1190" spans="1:12" x14ac:dyDescent="0.3">
      <c r="A1190">
        <v>1189</v>
      </c>
      <c r="B1190">
        <v>985</v>
      </c>
      <c r="C1190">
        <v>33</v>
      </c>
      <c r="D1190" t="s">
        <v>1900</v>
      </c>
      <c r="E1190">
        <f t="shared" si="54"/>
        <v>2023</v>
      </c>
      <c r="F1190" t="str">
        <f t="shared" si="55"/>
        <v>Sep</v>
      </c>
      <c r="G1190">
        <v>1</v>
      </c>
      <c r="H1190">
        <f>_xlfn.XLOOKUP(C1190,Products!A:A,Products!D:D)</f>
        <v>965.4</v>
      </c>
      <c r="I1190">
        <v>20</v>
      </c>
      <c r="J1190">
        <f t="shared" si="56"/>
        <v>772.32</v>
      </c>
      <c r="K1190" t="s">
        <v>2024</v>
      </c>
      <c r="L1190" t="str">
        <f>_xlfn.XLOOKUP(Orders[[#This Row],[ProductID]],Products!A:A,Products!C:C)</f>
        <v>Beauty</v>
      </c>
    </row>
    <row r="1191" spans="1:12" x14ac:dyDescent="0.3">
      <c r="A1191">
        <v>1190</v>
      </c>
      <c r="B1191">
        <v>985</v>
      </c>
      <c r="C1191">
        <v>5</v>
      </c>
      <c r="D1191" t="s">
        <v>2227</v>
      </c>
      <c r="E1191">
        <f t="shared" si="54"/>
        <v>2023</v>
      </c>
      <c r="F1191" t="str">
        <f t="shared" si="55"/>
        <v>Nov</v>
      </c>
      <c r="G1191">
        <v>2</v>
      </c>
      <c r="H1191">
        <f>_xlfn.XLOOKUP(C1191,Products!A:A,Products!D:D)</f>
        <v>296.85000000000002</v>
      </c>
      <c r="I1191">
        <v>15</v>
      </c>
      <c r="J1191">
        <f t="shared" si="56"/>
        <v>504.64500000000004</v>
      </c>
      <c r="K1191" t="s">
        <v>2017</v>
      </c>
      <c r="L1191" t="str">
        <f>_xlfn.XLOOKUP(Orders[[#This Row],[ProductID]],Products!A:A,Products!C:C)</f>
        <v>Clothing</v>
      </c>
    </row>
    <row r="1192" spans="1:12" x14ac:dyDescent="0.3">
      <c r="A1192">
        <v>1191</v>
      </c>
      <c r="B1192">
        <v>986</v>
      </c>
      <c r="C1192">
        <v>6</v>
      </c>
      <c r="D1192" t="s">
        <v>2132</v>
      </c>
      <c r="E1192">
        <f t="shared" si="54"/>
        <v>2023</v>
      </c>
      <c r="F1192" t="str">
        <f t="shared" si="55"/>
        <v>Dec</v>
      </c>
      <c r="G1192">
        <v>3</v>
      </c>
      <c r="H1192">
        <f>_xlfn.XLOOKUP(C1192,Products!A:A,Products!D:D)</f>
        <v>719.19</v>
      </c>
      <c r="I1192">
        <v>10</v>
      </c>
      <c r="J1192">
        <f t="shared" si="56"/>
        <v>1941.8130000000001</v>
      </c>
      <c r="K1192" t="s">
        <v>2024</v>
      </c>
      <c r="L1192" t="str">
        <f>_xlfn.XLOOKUP(Orders[[#This Row],[ProductID]],Products!A:A,Products!C:C)</f>
        <v>Clothing</v>
      </c>
    </row>
    <row r="1193" spans="1:12" x14ac:dyDescent="0.3">
      <c r="A1193">
        <v>1192</v>
      </c>
      <c r="B1193">
        <v>986</v>
      </c>
      <c r="C1193">
        <v>8</v>
      </c>
      <c r="D1193" t="s">
        <v>2087</v>
      </c>
      <c r="E1193">
        <f t="shared" si="54"/>
        <v>2024</v>
      </c>
      <c r="F1193" t="str">
        <f t="shared" si="55"/>
        <v>May</v>
      </c>
      <c r="G1193">
        <v>3</v>
      </c>
      <c r="H1193">
        <f>_xlfn.XLOOKUP(C1193,Products!A:A,Products!D:D)</f>
        <v>155.08000000000001</v>
      </c>
      <c r="I1193">
        <v>0</v>
      </c>
      <c r="J1193">
        <f t="shared" si="56"/>
        <v>465.24</v>
      </c>
      <c r="K1193" t="s">
        <v>2017</v>
      </c>
      <c r="L1193" t="str">
        <f>_xlfn.XLOOKUP(Orders[[#This Row],[ProductID]],Products!A:A,Products!C:C)</f>
        <v>Clothing</v>
      </c>
    </row>
    <row r="1194" spans="1:12" x14ac:dyDescent="0.3">
      <c r="A1194">
        <v>1193</v>
      </c>
      <c r="B1194">
        <v>987</v>
      </c>
      <c r="C1194">
        <v>78</v>
      </c>
      <c r="D1194" t="s">
        <v>384</v>
      </c>
      <c r="E1194">
        <f t="shared" si="54"/>
        <v>2023</v>
      </c>
      <c r="F1194" t="str">
        <f t="shared" si="55"/>
        <v>Nov</v>
      </c>
      <c r="G1194">
        <v>2</v>
      </c>
      <c r="H1194">
        <f>_xlfn.XLOOKUP(C1194,Products!A:A,Products!D:D)</f>
        <v>795.77</v>
      </c>
      <c r="I1194">
        <v>15</v>
      </c>
      <c r="J1194">
        <f t="shared" si="56"/>
        <v>1352.809</v>
      </c>
      <c r="K1194" t="s">
        <v>2021</v>
      </c>
      <c r="L1194" t="str">
        <f>_xlfn.XLOOKUP(Orders[[#This Row],[ProductID]],Products!A:A,Products!C:C)</f>
        <v>Beauty</v>
      </c>
    </row>
    <row r="1195" spans="1:12" x14ac:dyDescent="0.3">
      <c r="A1195">
        <v>1194</v>
      </c>
      <c r="B1195">
        <v>987</v>
      </c>
      <c r="C1195">
        <v>61</v>
      </c>
      <c r="D1195" t="s">
        <v>2027</v>
      </c>
      <c r="E1195">
        <f t="shared" si="54"/>
        <v>2024</v>
      </c>
      <c r="F1195" t="str">
        <f t="shared" si="55"/>
        <v>Jan</v>
      </c>
      <c r="G1195">
        <v>3</v>
      </c>
      <c r="H1195">
        <f>_xlfn.XLOOKUP(C1195,Products!A:A,Products!D:D)</f>
        <v>498.92</v>
      </c>
      <c r="I1195">
        <v>20</v>
      </c>
      <c r="J1195">
        <f t="shared" si="56"/>
        <v>1197.4080000000001</v>
      </c>
      <c r="K1195" t="s">
        <v>2019</v>
      </c>
      <c r="L1195" t="str">
        <f>_xlfn.XLOOKUP(Orders[[#This Row],[ProductID]],Products!A:A,Products!C:C)</f>
        <v>Clothing</v>
      </c>
    </row>
    <row r="1196" spans="1:12" x14ac:dyDescent="0.3">
      <c r="A1196">
        <v>1195</v>
      </c>
      <c r="B1196">
        <v>988</v>
      </c>
      <c r="C1196">
        <v>5</v>
      </c>
      <c r="D1196" t="s">
        <v>1347</v>
      </c>
      <c r="E1196">
        <f t="shared" si="54"/>
        <v>2023</v>
      </c>
      <c r="F1196" t="str">
        <f t="shared" si="55"/>
        <v>Jul</v>
      </c>
      <c r="G1196">
        <v>1</v>
      </c>
      <c r="H1196">
        <f>_xlfn.XLOOKUP(C1196,Products!A:A,Products!D:D)</f>
        <v>296.85000000000002</v>
      </c>
      <c r="I1196">
        <v>20</v>
      </c>
      <c r="J1196">
        <f t="shared" si="56"/>
        <v>237.48000000000002</v>
      </c>
      <c r="K1196" t="s">
        <v>2021</v>
      </c>
      <c r="L1196" t="str">
        <f>_xlfn.XLOOKUP(Orders[[#This Row],[ProductID]],Products!A:A,Products!C:C)</f>
        <v>Clothing</v>
      </c>
    </row>
    <row r="1197" spans="1:12" x14ac:dyDescent="0.3">
      <c r="A1197">
        <v>1196</v>
      </c>
      <c r="B1197">
        <v>988</v>
      </c>
      <c r="C1197">
        <v>23</v>
      </c>
      <c r="D1197" t="s">
        <v>2073</v>
      </c>
      <c r="E1197">
        <f t="shared" si="54"/>
        <v>2024</v>
      </c>
      <c r="F1197" t="str">
        <f t="shared" si="55"/>
        <v>Mar</v>
      </c>
      <c r="G1197">
        <v>1</v>
      </c>
      <c r="H1197">
        <f>_xlfn.XLOOKUP(C1197,Products!A:A,Products!D:D)</f>
        <v>258.08</v>
      </c>
      <c r="I1197">
        <v>0</v>
      </c>
      <c r="J1197">
        <f t="shared" si="56"/>
        <v>258.08</v>
      </c>
      <c r="K1197" t="s">
        <v>2017</v>
      </c>
      <c r="L1197" t="str">
        <f>_xlfn.XLOOKUP(Orders[[#This Row],[ProductID]],Products!A:A,Products!C:C)</f>
        <v>Home</v>
      </c>
    </row>
    <row r="1198" spans="1:12" x14ac:dyDescent="0.3">
      <c r="A1198">
        <v>1197</v>
      </c>
      <c r="B1198">
        <v>989</v>
      </c>
      <c r="C1198">
        <v>16</v>
      </c>
      <c r="D1198" t="s">
        <v>237</v>
      </c>
      <c r="E1198">
        <f t="shared" si="54"/>
        <v>2023</v>
      </c>
      <c r="F1198" t="str">
        <f t="shared" si="55"/>
        <v>Jan</v>
      </c>
      <c r="G1198">
        <v>2</v>
      </c>
      <c r="H1198">
        <f>_xlfn.XLOOKUP(C1198,Products!A:A,Products!D:D)</f>
        <v>693.02</v>
      </c>
      <c r="I1198">
        <v>0</v>
      </c>
      <c r="J1198">
        <f t="shared" si="56"/>
        <v>1386.04</v>
      </c>
      <c r="K1198" t="s">
        <v>2024</v>
      </c>
      <c r="L1198" t="str">
        <f>_xlfn.XLOOKUP(Orders[[#This Row],[ProductID]],Products!A:A,Products!C:C)</f>
        <v>Home</v>
      </c>
    </row>
    <row r="1199" spans="1:12" x14ac:dyDescent="0.3">
      <c r="A1199">
        <v>1198</v>
      </c>
      <c r="B1199">
        <v>989</v>
      </c>
      <c r="C1199">
        <v>13</v>
      </c>
      <c r="D1199" t="s">
        <v>2222</v>
      </c>
      <c r="E1199">
        <f t="shared" si="54"/>
        <v>2024</v>
      </c>
      <c r="F1199" t="str">
        <f t="shared" si="55"/>
        <v>Mar</v>
      </c>
      <c r="G1199">
        <v>3</v>
      </c>
      <c r="H1199">
        <f>_xlfn.XLOOKUP(C1199,Products!A:A,Products!D:D)</f>
        <v>334.61</v>
      </c>
      <c r="I1199">
        <v>10</v>
      </c>
      <c r="J1199">
        <f t="shared" si="56"/>
        <v>903.447</v>
      </c>
      <c r="K1199" t="s">
        <v>2021</v>
      </c>
      <c r="L1199" t="str">
        <f>_xlfn.XLOOKUP(Orders[[#This Row],[ProductID]],Products!A:A,Products!C:C)</f>
        <v>Home</v>
      </c>
    </row>
    <row r="1200" spans="1:12" x14ac:dyDescent="0.3">
      <c r="A1200">
        <v>1199</v>
      </c>
      <c r="B1200">
        <v>990</v>
      </c>
      <c r="C1200">
        <v>79</v>
      </c>
      <c r="D1200" t="s">
        <v>2045</v>
      </c>
      <c r="E1200">
        <f t="shared" si="54"/>
        <v>2024</v>
      </c>
      <c r="F1200" t="str">
        <f t="shared" si="55"/>
        <v>Jan</v>
      </c>
      <c r="G1200">
        <v>1</v>
      </c>
      <c r="H1200">
        <f>_xlfn.XLOOKUP(C1200,Products!A:A,Products!D:D)</f>
        <v>488.34</v>
      </c>
      <c r="I1200">
        <v>10</v>
      </c>
      <c r="J1200">
        <f t="shared" si="56"/>
        <v>439.50599999999997</v>
      </c>
      <c r="K1200" t="s">
        <v>2024</v>
      </c>
      <c r="L1200" t="str">
        <f>_xlfn.XLOOKUP(Orders[[#This Row],[ProductID]],Products!A:A,Products!C:C)</f>
        <v>Electronics</v>
      </c>
    </row>
    <row r="1201" spans="1:12" x14ac:dyDescent="0.3">
      <c r="A1201">
        <v>1200</v>
      </c>
      <c r="B1201">
        <v>990</v>
      </c>
      <c r="C1201">
        <v>22</v>
      </c>
      <c r="D1201" t="s">
        <v>2090</v>
      </c>
      <c r="E1201">
        <f t="shared" si="54"/>
        <v>2024</v>
      </c>
      <c r="F1201" t="str">
        <f t="shared" si="55"/>
        <v>Apr</v>
      </c>
      <c r="G1201">
        <v>3</v>
      </c>
      <c r="H1201">
        <f>_xlfn.XLOOKUP(C1201,Products!A:A,Products!D:D)</f>
        <v>373.43</v>
      </c>
      <c r="I1201">
        <v>10</v>
      </c>
      <c r="J1201">
        <f t="shared" si="56"/>
        <v>1008.261</v>
      </c>
      <c r="K1201" t="s">
        <v>2015</v>
      </c>
      <c r="L1201" t="str">
        <f>_xlfn.XLOOKUP(Orders[[#This Row],[ProductID]],Products!A:A,Products!C:C)</f>
        <v>Beauty</v>
      </c>
    </row>
    <row r="1202" spans="1:12" x14ac:dyDescent="0.3">
      <c r="A1202">
        <v>1201</v>
      </c>
      <c r="B1202">
        <v>991</v>
      </c>
      <c r="C1202">
        <v>2</v>
      </c>
      <c r="D1202" t="s">
        <v>2156</v>
      </c>
      <c r="E1202">
        <f t="shared" si="54"/>
        <v>2024</v>
      </c>
      <c r="F1202" t="str">
        <f t="shared" si="55"/>
        <v>Apr</v>
      </c>
      <c r="G1202">
        <v>3</v>
      </c>
      <c r="H1202">
        <f>_xlfn.XLOOKUP(C1202,Products!A:A,Products!D:D)</f>
        <v>427.27</v>
      </c>
      <c r="I1202">
        <v>15</v>
      </c>
      <c r="J1202">
        <f t="shared" si="56"/>
        <v>1089.5384999999999</v>
      </c>
      <c r="K1202" t="s">
        <v>2017</v>
      </c>
      <c r="L1202" t="str">
        <f>_xlfn.XLOOKUP(Orders[[#This Row],[ProductID]],Products!A:A,Products!C:C)</f>
        <v>Home</v>
      </c>
    </row>
    <row r="1203" spans="1:12" x14ac:dyDescent="0.3">
      <c r="A1203">
        <v>1202</v>
      </c>
      <c r="B1203">
        <v>991</v>
      </c>
      <c r="C1203">
        <v>8</v>
      </c>
      <c r="D1203" t="s">
        <v>1384</v>
      </c>
      <c r="E1203">
        <f t="shared" si="54"/>
        <v>2023</v>
      </c>
      <c r="F1203" t="str">
        <f t="shared" si="55"/>
        <v>Feb</v>
      </c>
      <c r="G1203">
        <v>1</v>
      </c>
      <c r="H1203">
        <f>_xlfn.XLOOKUP(C1203,Products!A:A,Products!D:D)</f>
        <v>155.08000000000001</v>
      </c>
      <c r="I1203">
        <v>20</v>
      </c>
      <c r="J1203">
        <f t="shared" si="56"/>
        <v>124.06400000000002</v>
      </c>
      <c r="K1203" t="s">
        <v>2021</v>
      </c>
      <c r="L1203" t="str">
        <f>_xlfn.XLOOKUP(Orders[[#This Row],[ProductID]],Products!A:A,Products!C:C)</f>
        <v>Clothing</v>
      </c>
    </row>
    <row r="1204" spans="1:12" x14ac:dyDescent="0.3">
      <c r="A1204">
        <v>1203</v>
      </c>
      <c r="B1204">
        <v>992</v>
      </c>
      <c r="C1204">
        <v>35</v>
      </c>
      <c r="D1204" t="s">
        <v>1658</v>
      </c>
      <c r="E1204">
        <f t="shared" si="54"/>
        <v>2023</v>
      </c>
      <c r="F1204" t="str">
        <f t="shared" si="55"/>
        <v>Feb</v>
      </c>
      <c r="G1204">
        <v>1</v>
      </c>
      <c r="H1204">
        <f>_xlfn.XLOOKUP(C1204,Products!A:A,Products!D:D)</f>
        <v>958.87</v>
      </c>
      <c r="I1204">
        <v>15</v>
      </c>
      <c r="J1204">
        <f t="shared" si="56"/>
        <v>815.03949999999998</v>
      </c>
      <c r="K1204" t="s">
        <v>2019</v>
      </c>
      <c r="L1204" t="str">
        <f>_xlfn.XLOOKUP(Orders[[#This Row],[ProductID]],Products!A:A,Products!C:C)</f>
        <v>Clothing</v>
      </c>
    </row>
    <row r="1205" spans="1:12" x14ac:dyDescent="0.3">
      <c r="A1205">
        <v>1204</v>
      </c>
      <c r="B1205">
        <v>992</v>
      </c>
      <c r="C1205">
        <v>36</v>
      </c>
      <c r="D1205" t="s">
        <v>360</v>
      </c>
      <c r="E1205">
        <f t="shared" si="54"/>
        <v>2023</v>
      </c>
      <c r="F1205" t="str">
        <f t="shared" si="55"/>
        <v>Nov</v>
      </c>
      <c r="G1205">
        <v>1</v>
      </c>
      <c r="H1205">
        <f>_xlfn.XLOOKUP(C1205,Products!A:A,Products!D:D)</f>
        <v>992.01</v>
      </c>
      <c r="I1205">
        <v>20</v>
      </c>
      <c r="J1205">
        <f t="shared" si="56"/>
        <v>793.60800000000006</v>
      </c>
      <c r="K1205" t="s">
        <v>2017</v>
      </c>
      <c r="L1205" t="str">
        <f>_xlfn.XLOOKUP(Orders[[#This Row],[ProductID]],Products!A:A,Products!C:C)</f>
        <v>Beauty</v>
      </c>
    </row>
    <row r="1206" spans="1:12" x14ac:dyDescent="0.3">
      <c r="A1206">
        <v>1205</v>
      </c>
      <c r="B1206">
        <v>993</v>
      </c>
      <c r="C1206">
        <v>23</v>
      </c>
      <c r="D1206" t="s">
        <v>432</v>
      </c>
      <c r="E1206">
        <f t="shared" si="54"/>
        <v>2023</v>
      </c>
      <c r="F1206" t="str">
        <f t="shared" si="55"/>
        <v>Nov</v>
      </c>
      <c r="G1206">
        <v>3</v>
      </c>
      <c r="H1206">
        <f>_xlfn.XLOOKUP(C1206,Products!A:A,Products!D:D)</f>
        <v>258.08</v>
      </c>
      <c r="I1206">
        <v>0</v>
      </c>
      <c r="J1206">
        <f t="shared" si="56"/>
        <v>774.24</v>
      </c>
      <c r="K1206" t="s">
        <v>2024</v>
      </c>
      <c r="L1206" t="str">
        <f>_xlfn.XLOOKUP(Orders[[#This Row],[ProductID]],Products!A:A,Products!C:C)</f>
        <v>Home</v>
      </c>
    </row>
    <row r="1207" spans="1:12" x14ac:dyDescent="0.3">
      <c r="A1207">
        <v>1206</v>
      </c>
      <c r="B1207">
        <v>993</v>
      </c>
      <c r="C1207">
        <v>36</v>
      </c>
      <c r="D1207" t="s">
        <v>1317</v>
      </c>
      <c r="E1207">
        <f t="shared" si="54"/>
        <v>2023</v>
      </c>
      <c r="F1207" t="str">
        <f t="shared" si="55"/>
        <v>Oct</v>
      </c>
      <c r="G1207">
        <v>2</v>
      </c>
      <c r="H1207">
        <f>_xlfn.XLOOKUP(C1207,Products!A:A,Products!D:D)</f>
        <v>992.01</v>
      </c>
      <c r="I1207">
        <v>0</v>
      </c>
      <c r="J1207">
        <f t="shared" si="56"/>
        <v>1984.02</v>
      </c>
      <c r="K1207" t="s">
        <v>2024</v>
      </c>
      <c r="L1207" t="str">
        <f>_xlfn.XLOOKUP(Orders[[#This Row],[ProductID]],Products!A:A,Products!C:C)</f>
        <v>Beauty</v>
      </c>
    </row>
    <row r="1208" spans="1:12" x14ac:dyDescent="0.3">
      <c r="A1208">
        <v>1207</v>
      </c>
      <c r="B1208">
        <v>994</v>
      </c>
      <c r="C1208">
        <v>60</v>
      </c>
      <c r="D1208" t="s">
        <v>993</v>
      </c>
      <c r="E1208">
        <f t="shared" si="54"/>
        <v>2023</v>
      </c>
      <c r="F1208" t="str">
        <f t="shared" si="55"/>
        <v>Oct</v>
      </c>
      <c r="G1208">
        <v>3</v>
      </c>
      <c r="H1208">
        <f>_xlfn.XLOOKUP(C1208,Products!A:A,Products!D:D)</f>
        <v>830.49</v>
      </c>
      <c r="I1208">
        <v>0</v>
      </c>
      <c r="J1208">
        <f t="shared" si="56"/>
        <v>2491.4700000000003</v>
      </c>
      <c r="K1208" t="s">
        <v>2015</v>
      </c>
      <c r="L1208" t="str">
        <f>_xlfn.XLOOKUP(Orders[[#This Row],[ProductID]],Products!A:A,Products!C:C)</f>
        <v>Clothing</v>
      </c>
    </row>
    <row r="1209" spans="1:12" x14ac:dyDescent="0.3">
      <c r="A1209">
        <v>1208</v>
      </c>
      <c r="B1209">
        <v>994</v>
      </c>
      <c r="C1209">
        <v>60</v>
      </c>
      <c r="D1209" t="s">
        <v>1123</v>
      </c>
      <c r="E1209">
        <f t="shared" si="54"/>
        <v>2023</v>
      </c>
      <c r="F1209" t="str">
        <f t="shared" si="55"/>
        <v>Feb</v>
      </c>
      <c r="G1209">
        <v>1</v>
      </c>
      <c r="H1209">
        <f>_xlfn.XLOOKUP(C1209,Products!A:A,Products!D:D)</f>
        <v>830.49</v>
      </c>
      <c r="I1209">
        <v>0</v>
      </c>
      <c r="J1209">
        <f t="shared" si="56"/>
        <v>830.49</v>
      </c>
      <c r="K1209" t="s">
        <v>2021</v>
      </c>
      <c r="L1209" t="str">
        <f>_xlfn.XLOOKUP(Orders[[#This Row],[ProductID]],Products!A:A,Products!C:C)</f>
        <v>Clothing</v>
      </c>
    </row>
    <row r="1210" spans="1:12" x14ac:dyDescent="0.3">
      <c r="A1210">
        <v>1209</v>
      </c>
      <c r="B1210">
        <v>995</v>
      </c>
      <c r="C1210">
        <v>12</v>
      </c>
      <c r="D1210" t="s">
        <v>996</v>
      </c>
      <c r="E1210">
        <f t="shared" si="54"/>
        <v>2023</v>
      </c>
      <c r="F1210" t="str">
        <f t="shared" si="55"/>
        <v>Apr</v>
      </c>
      <c r="G1210">
        <v>2</v>
      </c>
      <c r="H1210">
        <f>_xlfn.XLOOKUP(C1210,Products!A:A,Products!D:D)</f>
        <v>627.41999999999996</v>
      </c>
      <c r="I1210">
        <v>20</v>
      </c>
      <c r="J1210">
        <f t="shared" si="56"/>
        <v>1003.872</v>
      </c>
      <c r="K1210" t="s">
        <v>2019</v>
      </c>
      <c r="L1210" t="str">
        <f>_xlfn.XLOOKUP(Orders[[#This Row],[ProductID]],Products!A:A,Products!C:C)</f>
        <v>Beauty</v>
      </c>
    </row>
    <row r="1211" spans="1:12" x14ac:dyDescent="0.3">
      <c r="A1211">
        <v>1210</v>
      </c>
      <c r="B1211">
        <v>995</v>
      </c>
      <c r="C1211">
        <v>22</v>
      </c>
      <c r="D1211" t="s">
        <v>2102</v>
      </c>
      <c r="E1211">
        <f t="shared" si="54"/>
        <v>2024</v>
      </c>
      <c r="F1211" t="str">
        <f t="shared" si="55"/>
        <v>Feb</v>
      </c>
      <c r="G1211">
        <v>1</v>
      </c>
      <c r="H1211">
        <f>_xlfn.XLOOKUP(C1211,Products!A:A,Products!D:D)</f>
        <v>373.43</v>
      </c>
      <c r="I1211">
        <v>5</v>
      </c>
      <c r="J1211">
        <f t="shared" si="56"/>
        <v>354.75849999999997</v>
      </c>
      <c r="K1211" t="s">
        <v>2024</v>
      </c>
      <c r="L1211" t="str">
        <f>_xlfn.XLOOKUP(Orders[[#This Row],[ProductID]],Products!A:A,Products!C:C)</f>
        <v>Beauty</v>
      </c>
    </row>
    <row r="1212" spans="1:12" x14ac:dyDescent="0.3">
      <c r="A1212">
        <v>1211</v>
      </c>
      <c r="B1212">
        <v>996</v>
      </c>
      <c r="C1212">
        <v>59</v>
      </c>
      <c r="D1212" t="s">
        <v>1457</v>
      </c>
      <c r="E1212">
        <f t="shared" si="54"/>
        <v>2023</v>
      </c>
      <c r="F1212" t="str">
        <f t="shared" si="55"/>
        <v>Feb</v>
      </c>
      <c r="G1212">
        <v>3</v>
      </c>
      <c r="H1212">
        <f>_xlfn.XLOOKUP(C1212,Products!A:A,Products!D:D)</f>
        <v>782.33</v>
      </c>
      <c r="I1212">
        <v>5</v>
      </c>
      <c r="J1212">
        <f t="shared" si="56"/>
        <v>2229.6405</v>
      </c>
      <c r="K1212" t="s">
        <v>2024</v>
      </c>
      <c r="L1212" t="str">
        <f>_xlfn.XLOOKUP(Orders[[#This Row],[ProductID]],Products!A:A,Products!C:C)</f>
        <v>Clothing</v>
      </c>
    </row>
    <row r="1213" spans="1:12" x14ac:dyDescent="0.3">
      <c r="A1213">
        <v>1212</v>
      </c>
      <c r="B1213">
        <v>996</v>
      </c>
      <c r="C1213">
        <v>25</v>
      </c>
      <c r="D1213" t="s">
        <v>2038</v>
      </c>
      <c r="E1213">
        <f t="shared" si="54"/>
        <v>2024</v>
      </c>
      <c r="F1213" t="str">
        <f t="shared" si="55"/>
        <v>Jan</v>
      </c>
      <c r="G1213">
        <v>3</v>
      </c>
      <c r="H1213">
        <f>_xlfn.XLOOKUP(C1213,Products!A:A,Products!D:D)</f>
        <v>1011.65</v>
      </c>
      <c r="I1213">
        <v>5</v>
      </c>
      <c r="J1213">
        <f t="shared" si="56"/>
        <v>2883.2024999999999</v>
      </c>
      <c r="K1213" t="s">
        <v>2024</v>
      </c>
      <c r="L1213" t="str">
        <f>_xlfn.XLOOKUP(Orders[[#This Row],[ProductID]],Products!A:A,Products!C:C)</f>
        <v>Electronics</v>
      </c>
    </row>
    <row r="1214" spans="1:12" x14ac:dyDescent="0.3">
      <c r="A1214">
        <v>1213</v>
      </c>
      <c r="B1214">
        <v>997</v>
      </c>
      <c r="C1214">
        <v>7</v>
      </c>
      <c r="D1214" t="s">
        <v>268</v>
      </c>
      <c r="E1214">
        <f t="shared" si="54"/>
        <v>2023</v>
      </c>
      <c r="F1214" t="str">
        <f t="shared" si="55"/>
        <v>Jul</v>
      </c>
      <c r="G1214">
        <v>3</v>
      </c>
      <c r="H1214">
        <f>_xlfn.XLOOKUP(C1214,Products!A:A,Products!D:D)</f>
        <v>97.29</v>
      </c>
      <c r="I1214">
        <v>10</v>
      </c>
      <c r="J1214">
        <f t="shared" si="56"/>
        <v>262.68299999999999</v>
      </c>
      <c r="K1214" t="s">
        <v>2021</v>
      </c>
      <c r="L1214" t="str">
        <f>_xlfn.XLOOKUP(Orders[[#This Row],[ProductID]],Products!A:A,Products!C:C)</f>
        <v>Beauty</v>
      </c>
    </row>
    <row r="1215" spans="1:12" x14ac:dyDescent="0.3">
      <c r="A1215">
        <v>1214</v>
      </c>
      <c r="B1215">
        <v>997</v>
      </c>
      <c r="C1215">
        <v>36</v>
      </c>
      <c r="D1215" t="s">
        <v>1131</v>
      </c>
      <c r="E1215">
        <f t="shared" si="54"/>
        <v>2023</v>
      </c>
      <c r="F1215" t="str">
        <f t="shared" si="55"/>
        <v>Mar</v>
      </c>
      <c r="G1215">
        <v>3</v>
      </c>
      <c r="H1215">
        <f>_xlfn.XLOOKUP(C1215,Products!A:A,Products!D:D)</f>
        <v>992.01</v>
      </c>
      <c r="I1215">
        <v>10</v>
      </c>
      <c r="J1215">
        <f t="shared" si="56"/>
        <v>2678.4269999999997</v>
      </c>
      <c r="K1215" t="s">
        <v>2017</v>
      </c>
      <c r="L1215" t="str">
        <f>_xlfn.XLOOKUP(Orders[[#This Row],[ProductID]],Products!A:A,Products!C:C)</f>
        <v>Beauty</v>
      </c>
    </row>
    <row r="1216" spans="1:12" x14ac:dyDescent="0.3">
      <c r="A1216">
        <v>1215</v>
      </c>
      <c r="B1216">
        <v>998</v>
      </c>
      <c r="C1216">
        <v>29</v>
      </c>
      <c r="D1216" t="s">
        <v>2228</v>
      </c>
      <c r="E1216">
        <f t="shared" si="54"/>
        <v>2024</v>
      </c>
      <c r="F1216" t="str">
        <f t="shared" si="55"/>
        <v>Mar</v>
      </c>
      <c r="G1216">
        <v>1</v>
      </c>
      <c r="H1216">
        <f>_xlfn.XLOOKUP(C1216,Products!A:A,Products!D:D)</f>
        <v>757</v>
      </c>
      <c r="I1216">
        <v>10</v>
      </c>
      <c r="J1216">
        <f t="shared" si="56"/>
        <v>681.30000000000007</v>
      </c>
      <c r="K1216" t="s">
        <v>2021</v>
      </c>
      <c r="L1216" t="str">
        <f>_xlfn.XLOOKUP(Orders[[#This Row],[ProductID]],Products!A:A,Products!C:C)</f>
        <v>Clothing</v>
      </c>
    </row>
    <row r="1217" spans="1:12" x14ac:dyDescent="0.3">
      <c r="A1217">
        <v>1216</v>
      </c>
      <c r="B1217">
        <v>998</v>
      </c>
      <c r="C1217">
        <v>23</v>
      </c>
      <c r="D1217" t="s">
        <v>246</v>
      </c>
      <c r="E1217">
        <f t="shared" si="54"/>
        <v>2023</v>
      </c>
      <c r="F1217" t="str">
        <f t="shared" si="55"/>
        <v>Jun</v>
      </c>
      <c r="G1217">
        <v>2</v>
      </c>
      <c r="H1217">
        <f>_xlfn.XLOOKUP(C1217,Products!A:A,Products!D:D)</f>
        <v>258.08</v>
      </c>
      <c r="I1217">
        <v>15</v>
      </c>
      <c r="J1217">
        <f t="shared" si="56"/>
        <v>438.73599999999993</v>
      </c>
      <c r="K1217" t="s">
        <v>2024</v>
      </c>
      <c r="L1217" t="str">
        <f>_xlfn.XLOOKUP(Orders[[#This Row],[ProductID]],Products!A:A,Products!C:C)</f>
        <v>Home</v>
      </c>
    </row>
    <row r="1218" spans="1:12" x14ac:dyDescent="0.3">
      <c r="A1218">
        <v>1217</v>
      </c>
      <c r="B1218">
        <v>999</v>
      </c>
      <c r="C1218">
        <v>12</v>
      </c>
      <c r="D1218" t="s">
        <v>2034</v>
      </c>
      <c r="E1218">
        <f t="shared" si="54"/>
        <v>2023</v>
      </c>
      <c r="F1218" t="str">
        <f t="shared" si="55"/>
        <v>Sep</v>
      </c>
      <c r="G1218">
        <v>2</v>
      </c>
      <c r="H1218">
        <f>_xlfn.XLOOKUP(C1218,Products!A:A,Products!D:D)</f>
        <v>627.41999999999996</v>
      </c>
      <c r="I1218">
        <v>20</v>
      </c>
      <c r="J1218">
        <f t="shared" si="56"/>
        <v>1003.872</v>
      </c>
      <c r="K1218" t="s">
        <v>2024</v>
      </c>
      <c r="L1218" t="str">
        <f>_xlfn.XLOOKUP(Orders[[#This Row],[ProductID]],Products!A:A,Products!C:C)</f>
        <v>Beauty</v>
      </c>
    </row>
    <row r="1219" spans="1:12" x14ac:dyDescent="0.3">
      <c r="A1219">
        <v>1218</v>
      </c>
      <c r="B1219">
        <v>999</v>
      </c>
      <c r="C1219">
        <v>45</v>
      </c>
      <c r="D1219" t="s">
        <v>2226</v>
      </c>
      <c r="E1219">
        <f t="shared" ref="E1219:E1282" si="57">YEAR(D1219)</f>
        <v>2024</v>
      </c>
      <c r="F1219" t="str">
        <f t="shared" ref="F1219:F1282" si="58">TEXT(D1219,"mmm")</f>
        <v>Jan</v>
      </c>
      <c r="G1219">
        <v>3</v>
      </c>
      <c r="H1219">
        <f>_xlfn.XLOOKUP(C1219,Products!A:A,Products!D:D)</f>
        <v>609.05999999999995</v>
      </c>
      <c r="I1219">
        <v>20</v>
      </c>
      <c r="J1219">
        <f t="shared" ref="J1219:J1282" si="59">G1219*H1219*(1-I1219/100)</f>
        <v>1461.7439999999999</v>
      </c>
      <c r="K1219" t="s">
        <v>2017</v>
      </c>
      <c r="L1219" t="str">
        <f>_xlfn.XLOOKUP(Orders[[#This Row],[ProductID]],Products!A:A,Products!C:C)</f>
        <v>Beauty</v>
      </c>
    </row>
    <row r="1220" spans="1:12" x14ac:dyDescent="0.3">
      <c r="A1220">
        <v>1219</v>
      </c>
      <c r="B1220">
        <v>1000</v>
      </c>
      <c r="C1220">
        <v>22</v>
      </c>
      <c r="D1220" t="s">
        <v>442</v>
      </c>
      <c r="E1220">
        <f t="shared" si="57"/>
        <v>2023</v>
      </c>
      <c r="F1220" t="str">
        <f t="shared" si="58"/>
        <v>Jan</v>
      </c>
      <c r="G1220">
        <v>3</v>
      </c>
      <c r="H1220">
        <f>_xlfn.XLOOKUP(C1220,Products!A:A,Products!D:D)</f>
        <v>373.43</v>
      </c>
      <c r="I1220">
        <v>15</v>
      </c>
      <c r="J1220">
        <f t="shared" si="59"/>
        <v>952.24649999999997</v>
      </c>
      <c r="K1220" t="s">
        <v>2021</v>
      </c>
      <c r="L1220" t="str">
        <f>_xlfn.XLOOKUP(Orders[[#This Row],[ProductID]],Products!A:A,Products!C:C)</f>
        <v>Beauty</v>
      </c>
    </row>
    <row r="1221" spans="1:12" x14ac:dyDescent="0.3">
      <c r="A1221">
        <v>1220</v>
      </c>
      <c r="B1221">
        <v>1000</v>
      </c>
      <c r="C1221">
        <v>69</v>
      </c>
      <c r="D1221" t="s">
        <v>73</v>
      </c>
      <c r="E1221">
        <f t="shared" si="57"/>
        <v>2023</v>
      </c>
      <c r="F1221" t="str">
        <f t="shared" si="58"/>
        <v>Oct</v>
      </c>
      <c r="G1221">
        <v>1</v>
      </c>
      <c r="H1221">
        <f>_xlfn.XLOOKUP(C1221,Products!A:A,Products!D:D)</f>
        <v>951.81</v>
      </c>
      <c r="I1221">
        <v>15</v>
      </c>
      <c r="J1221">
        <f t="shared" si="59"/>
        <v>809.03849999999989</v>
      </c>
      <c r="K1221" t="s">
        <v>2024</v>
      </c>
      <c r="L1221" t="str">
        <f>_xlfn.XLOOKUP(Orders[[#This Row],[ProductID]],Products!A:A,Products!C:C)</f>
        <v>Clothing</v>
      </c>
    </row>
    <row r="1222" spans="1:12" x14ac:dyDescent="0.3">
      <c r="A1222">
        <v>1221</v>
      </c>
      <c r="B1222">
        <v>1001</v>
      </c>
      <c r="C1222">
        <v>37</v>
      </c>
      <c r="D1222" t="s">
        <v>197</v>
      </c>
      <c r="E1222">
        <f t="shared" si="57"/>
        <v>2023</v>
      </c>
      <c r="F1222" t="str">
        <f t="shared" si="58"/>
        <v>Apr</v>
      </c>
      <c r="G1222">
        <v>2</v>
      </c>
      <c r="H1222">
        <f>_xlfn.XLOOKUP(C1222,Products!A:A,Products!D:D)</f>
        <v>968.87</v>
      </c>
      <c r="I1222">
        <v>20</v>
      </c>
      <c r="J1222">
        <f t="shared" si="59"/>
        <v>1550.192</v>
      </c>
      <c r="K1222" t="s">
        <v>2015</v>
      </c>
      <c r="L1222" t="str">
        <f>_xlfn.XLOOKUP(Orders[[#This Row],[ProductID]],Products!A:A,Products!C:C)</f>
        <v>Home</v>
      </c>
    </row>
    <row r="1223" spans="1:12" x14ac:dyDescent="0.3">
      <c r="A1223">
        <v>1222</v>
      </c>
      <c r="B1223">
        <v>1001</v>
      </c>
      <c r="C1223">
        <v>35</v>
      </c>
      <c r="D1223" t="s">
        <v>520</v>
      </c>
      <c r="E1223">
        <f t="shared" si="57"/>
        <v>2023</v>
      </c>
      <c r="F1223" t="str">
        <f t="shared" si="58"/>
        <v>Feb</v>
      </c>
      <c r="G1223">
        <v>3</v>
      </c>
      <c r="H1223">
        <f>_xlfn.XLOOKUP(C1223,Products!A:A,Products!D:D)</f>
        <v>958.87</v>
      </c>
      <c r="I1223">
        <v>5</v>
      </c>
      <c r="J1223">
        <f t="shared" si="59"/>
        <v>2732.7795000000001</v>
      </c>
      <c r="K1223" t="s">
        <v>2024</v>
      </c>
      <c r="L1223" t="str">
        <f>_xlfn.XLOOKUP(Orders[[#This Row],[ProductID]],Products!A:A,Products!C:C)</f>
        <v>Clothing</v>
      </c>
    </row>
    <row r="1224" spans="1:12" x14ac:dyDescent="0.3">
      <c r="A1224">
        <v>1223</v>
      </c>
      <c r="B1224">
        <v>1002</v>
      </c>
      <c r="C1224">
        <v>28</v>
      </c>
      <c r="D1224" t="s">
        <v>1411</v>
      </c>
      <c r="E1224">
        <f t="shared" si="57"/>
        <v>2023</v>
      </c>
      <c r="F1224" t="str">
        <f t="shared" si="58"/>
        <v>Aug</v>
      </c>
      <c r="G1224">
        <v>2</v>
      </c>
      <c r="H1224">
        <f>_xlfn.XLOOKUP(C1224,Products!A:A,Products!D:D)</f>
        <v>494.39</v>
      </c>
      <c r="I1224">
        <v>0</v>
      </c>
      <c r="J1224">
        <f t="shared" si="59"/>
        <v>988.78</v>
      </c>
      <c r="K1224" t="s">
        <v>2019</v>
      </c>
      <c r="L1224" t="str">
        <f>_xlfn.XLOOKUP(Orders[[#This Row],[ProductID]],Products!A:A,Products!C:C)</f>
        <v>Beauty</v>
      </c>
    </row>
    <row r="1225" spans="1:12" x14ac:dyDescent="0.3">
      <c r="A1225">
        <v>1224</v>
      </c>
      <c r="B1225">
        <v>1002</v>
      </c>
      <c r="C1225">
        <v>67</v>
      </c>
      <c r="D1225" t="s">
        <v>2229</v>
      </c>
      <c r="E1225">
        <f t="shared" si="57"/>
        <v>2023</v>
      </c>
      <c r="F1225" t="str">
        <f t="shared" si="58"/>
        <v>Dec</v>
      </c>
      <c r="G1225">
        <v>3</v>
      </c>
      <c r="H1225">
        <f>_xlfn.XLOOKUP(C1225,Products!A:A,Products!D:D)</f>
        <v>258.35000000000002</v>
      </c>
      <c r="I1225">
        <v>5</v>
      </c>
      <c r="J1225">
        <f t="shared" si="59"/>
        <v>736.29750000000001</v>
      </c>
      <c r="K1225" t="s">
        <v>2017</v>
      </c>
      <c r="L1225" t="str">
        <f>_xlfn.XLOOKUP(Orders[[#This Row],[ProductID]],Products!A:A,Products!C:C)</f>
        <v>Electronics</v>
      </c>
    </row>
    <row r="1226" spans="1:12" x14ac:dyDescent="0.3">
      <c r="A1226">
        <v>1225</v>
      </c>
      <c r="B1226">
        <v>1003</v>
      </c>
      <c r="C1226">
        <v>18</v>
      </c>
      <c r="D1226" t="s">
        <v>1411</v>
      </c>
      <c r="E1226">
        <f t="shared" si="57"/>
        <v>2023</v>
      </c>
      <c r="F1226" t="str">
        <f t="shared" si="58"/>
        <v>Aug</v>
      </c>
      <c r="G1226">
        <v>3</v>
      </c>
      <c r="H1226">
        <f>_xlfn.XLOOKUP(C1226,Products!A:A,Products!D:D)</f>
        <v>138.07</v>
      </c>
      <c r="I1226">
        <v>10</v>
      </c>
      <c r="J1226">
        <f t="shared" si="59"/>
        <v>372.78899999999999</v>
      </c>
      <c r="K1226" t="s">
        <v>2024</v>
      </c>
      <c r="L1226" t="str">
        <f>_xlfn.XLOOKUP(Orders[[#This Row],[ProductID]],Products!A:A,Products!C:C)</f>
        <v>Home</v>
      </c>
    </row>
    <row r="1227" spans="1:12" x14ac:dyDescent="0.3">
      <c r="A1227">
        <v>1226</v>
      </c>
      <c r="B1227">
        <v>1003</v>
      </c>
      <c r="C1227">
        <v>73</v>
      </c>
      <c r="D1227" t="s">
        <v>1593</v>
      </c>
      <c r="E1227">
        <f t="shared" si="57"/>
        <v>2023</v>
      </c>
      <c r="F1227" t="str">
        <f t="shared" si="58"/>
        <v>Jul</v>
      </c>
      <c r="G1227">
        <v>3</v>
      </c>
      <c r="H1227">
        <f>_xlfn.XLOOKUP(C1227,Products!A:A,Products!D:D)</f>
        <v>943.04</v>
      </c>
      <c r="I1227">
        <v>20</v>
      </c>
      <c r="J1227">
        <f t="shared" si="59"/>
        <v>2263.2959999999998</v>
      </c>
      <c r="K1227" t="s">
        <v>2019</v>
      </c>
      <c r="L1227" t="str">
        <f>_xlfn.XLOOKUP(Orders[[#This Row],[ProductID]],Products!A:A,Products!C:C)</f>
        <v>Home</v>
      </c>
    </row>
    <row r="1228" spans="1:12" x14ac:dyDescent="0.3">
      <c r="A1228">
        <v>1227</v>
      </c>
      <c r="B1228">
        <v>1004</v>
      </c>
      <c r="C1228">
        <v>42</v>
      </c>
      <c r="D1228" t="s">
        <v>2214</v>
      </c>
      <c r="E1228">
        <f t="shared" si="57"/>
        <v>2023</v>
      </c>
      <c r="F1228" t="str">
        <f t="shared" si="58"/>
        <v>Dec</v>
      </c>
      <c r="G1228">
        <v>1</v>
      </c>
      <c r="H1228">
        <f>_xlfn.XLOOKUP(C1228,Products!A:A,Products!D:D)</f>
        <v>233.11</v>
      </c>
      <c r="I1228">
        <v>10</v>
      </c>
      <c r="J1228">
        <f t="shared" si="59"/>
        <v>209.79900000000001</v>
      </c>
      <c r="K1228" t="s">
        <v>2019</v>
      </c>
      <c r="L1228" t="str">
        <f>_xlfn.XLOOKUP(Orders[[#This Row],[ProductID]],Products!A:A,Products!C:C)</f>
        <v>Home</v>
      </c>
    </row>
    <row r="1229" spans="1:12" x14ac:dyDescent="0.3">
      <c r="A1229">
        <v>1228</v>
      </c>
      <c r="B1229">
        <v>1004</v>
      </c>
      <c r="C1229">
        <v>21</v>
      </c>
      <c r="D1229" t="s">
        <v>88</v>
      </c>
      <c r="E1229">
        <f t="shared" si="57"/>
        <v>2023</v>
      </c>
      <c r="F1229" t="str">
        <f t="shared" si="58"/>
        <v>Aug</v>
      </c>
      <c r="G1229">
        <v>2</v>
      </c>
      <c r="H1229">
        <f>_xlfn.XLOOKUP(C1229,Products!A:A,Products!D:D)</f>
        <v>420.66</v>
      </c>
      <c r="I1229">
        <v>10</v>
      </c>
      <c r="J1229">
        <f t="shared" si="59"/>
        <v>757.1880000000001</v>
      </c>
      <c r="K1229" t="s">
        <v>2024</v>
      </c>
      <c r="L1229" t="str">
        <f>_xlfn.XLOOKUP(Orders[[#This Row],[ProductID]],Products!A:A,Products!C:C)</f>
        <v>Beauty</v>
      </c>
    </row>
    <row r="1230" spans="1:12" x14ac:dyDescent="0.3">
      <c r="A1230">
        <v>1229</v>
      </c>
      <c r="B1230">
        <v>1005</v>
      </c>
      <c r="C1230">
        <v>13</v>
      </c>
      <c r="D1230" t="s">
        <v>996</v>
      </c>
      <c r="E1230">
        <f t="shared" si="57"/>
        <v>2023</v>
      </c>
      <c r="F1230" t="str">
        <f t="shared" si="58"/>
        <v>Apr</v>
      </c>
      <c r="G1230">
        <v>2</v>
      </c>
      <c r="H1230">
        <f>_xlfn.XLOOKUP(C1230,Products!A:A,Products!D:D)</f>
        <v>334.61</v>
      </c>
      <c r="I1230">
        <v>10</v>
      </c>
      <c r="J1230">
        <f t="shared" si="59"/>
        <v>602.298</v>
      </c>
      <c r="K1230" t="s">
        <v>2021</v>
      </c>
      <c r="L1230" t="str">
        <f>_xlfn.XLOOKUP(Orders[[#This Row],[ProductID]],Products!A:A,Products!C:C)</f>
        <v>Home</v>
      </c>
    </row>
    <row r="1231" spans="1:12" x14ac:dyDescent="0.3">
      <c r="A1231">
        <v>1230</v>
      </c>
      <c r="B1231">
        <v>1005</v>
      </c>
      <c r="C1231">
        <v>60</v>
      </c>
      <c r="D1231" t="s">
        <v>778</v>
      </c>
      <c r="E1231">
        <f t="shared" si="57"/>
        <v>2023</v>
      </c>
      <c r="F1231" t="str">
        <f t="shared" si="58"/>
        <v>Oct</v>
      </c>
      <c r="G1231">
        <v>1</v>
      </c>
      <c r="H1231">
        <f>_xlfn.XLOOKUP(C1231,Products!A:A,Products!D:D)</f>
        <v>830.49</v>
      </c>
      <c r="I1231">
        <v>0</v>
      </c>
      <c r="J1231">
        <f t="shared" si="59"/>
        <v>830.49</v>
      </c>
      <c r="K1231" t="s">
        <v>2017</v>
      </c>
      <c r="L1231" t="str">
        <f>_xlfn.XLOOKUP(Orders[[#This Row],[ProductID]],Products!A:A,Products!C:C)</f>
        <v>Clothing</v>
      </c>
    </row>
    <row r="1232" spans="1:12" x14ac:dyDescent="0.3">
      <c r="A1232">
        <v>1231</v>
      </c>
      <c r="B1232">
        <v>1006</v>
      </c>
      <c r="C1232">
        <v>79</v>
      </c>
      <c r="D1232" t="s">
        <v>899</v>
      </c>
      <c r="E1232">
        <f t="shared" si="57"/>
        <v>2023</v>
      </c>
      <c r="F1232" t="str">
        <f t="shared" si="58"/>
        <v>Aug</v>
      </c>
      <c r="G1232">
        <v>3</v>
      </c>
      <c r="H1232">
        <f>_xlfn.XLOOKUP(C1232,Products!A:A,Products!D:D)</f>
        <v>488.34</v>
      </c>
      <c r="I1232">
        <v>20</v>
      </c>
      <c r="J1232">
        <f t="shared" si="59"/>
        <v>1172.0160000000001</v>
      </c>
      <c r="K1232" t="s">
        <v>2017</v>
      </c>
      <c r="L1232" t="str">
        <f>_xlfn.XLOOKUP(Orders[[#This Row],[ProductID]],Products!A:A,Products!C:C)</f>
        <v>Electronics</v>
      </c>
    </row>
    <row r="1233" spans="1:12" x14ac:dyDescent="0.3">
      <c r="A1233">
        <v>1232</v>
      </c>
      <c r="B1233">
        <v>1006</v>
      </c>
      <c r="C1233">
        <v>52</v>
      </c>
      <c r="D1233" t="s">
        <v>516</v>
      </c>
      <c r="E1233">
        <f t="shared" si="57"/>
        <v>2023</v>
      </c>
      <c r="F1233" t="str">
        <f t="shared" si="58"/>
        <v>Aug</v>
      </c>
      <c r="G1233">
        <v>1</v>
      </c>
      <c r="H1233">
        <f>_xlfn.XLOOKUP(C1233,Products!A:A,Products!D:D)</f>
        <v>256.76</v>
      </c>
      <c r="I1233">
        <v>10</v>
      </c>
      <c r="J1233">
        <f t="shared" si="59"/>
        <v>231.084</v>
      </c>
      <c r="K1233" t="s">
        <v>2024</v>
      </c>
      <c r="L1233" t="str">
        <f>_xlfn.XLOOKUP(Orders[[#This Row],[ProductID]],Products!A:A,Products!C:C)</f>
        <v>Home</v>
      </c>
    </row>
    <row r="1234" spans="1:12" x14ac:dyDescent="0.3">
      <c r="A1234">
        <v>1233</v>
      </c>
      <c r="B1234">
        <v>1007</v>
      </c>
      <c r="C1234">
        <v>77</v>
      </c>
      <c r="D1234" t="s">
        <v>1909</v>
      </c>
      <c r="E1234">
        <f t="shared" si="57"/>
        <v>2023</v>
      </c>
      <c r="F1234" t="str">
        <f t="shared" si="58"/>
        <v>Jun</v>
      </c>
      <c r="G1234">
        <v>2</v>
      </c>
      <c r="H1234">
        <f>_xlfn.XLOOKUP(C1234,Products!A:A,Products!D:D)</f>
        <v>1078.19</v>
      </c>
      <c r="I1234">
        <v>15</v>
      </c>
      <c r="J1234">
        <f t="shared" si="59"/>
        <v>1832.923</v>
      </c>
      <c r="K1234" t="s">
        <v>2024</v>
      </c>
      <c r="L1234" t="str">
        <f>_xlfn.XLOOKUP(Orders[[#This Row],[ProductID]],Products!A:A,Products!C:C)</f>
        <v>Home</v>
      </c>
    </row>
    <row r="1235" spans="1:12" x14ac:dyDescent="0.3">
      <c r="A1235">
        <v>1234</v>
      </c>
      <c r="B1235">
        <v>1007</v>
      </c>
      <c r="C1235">
        <v>6</v>
      </c>
      <c r="D1235" t="s">
        <v>2087</v>
      </c>
      <c r="E1235">
        <f t="shared" si="57"/>
        <v>2024</v>
      </c>
      <c r="F1235" t="str">
        <f t="shared" si="58"/>
        <v>May</v>
      </c>
      <c r="G1235">
        <v>1</v>
      </c>
      <c r="H1235">
        <f>_xlfn.XLOOKUP(C1235,Products!A:A,Products!D:D)</f>
        <v>719.19</v>
      </c>
      <c r="I1235">
        <v>20</v>
      </c>
      <c r="J1235">
        <f t="shared" si="59"/>
        <v>575.35200000000009</v>
      </c>
      <c r="K1235" t="s">
        <v>2019</v>
      </c>
      <c r="L1235" t="str">
        <f>_xlfn.XLOOKUP(Orders[[#This Row],[ProductID]],Products!A:A,Products!C:C)</f>
        <v>Clothing</v>
      </c>
    </row>
    <row r="1236" spans="1:12" x14ac:dyDescent="0.3">
      <c r="A1236">
        <v>1235</v>
      </c>
      <c r="B1236">
        <v>1008</v>
      </c>
      <c r="C1236">
        <v>54</v>
      </c>
      <c r="D1236" t="s">
        <v>761</v>
      </c>
      <c r="E1236">
        <f t="shared" si="57"/>
        <v>2023</v>
      </c>
      <c r="F1236" t="str">
        <f t="shared" si="58"/>
        <v>Aug</v>
      </c>
      <c r="G1236">
        <v>2</v>
      </c>
      <c r="H1236">
        <f>_xlfn.XLOOKUP(C1236,Products!A:A,Products!D:D)</f>
        <v>900.79</v>
      </c>
      <c r="I1236">
        <v>20</v>
      </c>
      <c r="J1236">
        <f t="shared" si="59"/>
        <v>1441.2640000000001</v>
      </c>
      <c r="K1236" t="s">
        <v>2017</v>
      </c>
      <c r="L1236" t="str">
        <f>_xlfn.XLOOKUP(Orders[[#This Row],[ProductID]],Products!A:A,Products!C:C)</f>
        <v>Electronics</v>
      </c>
    </row>
    <row r="1237" spans="1:12" x14ac:dyDescent="0.3">
      <c r="A1237">
        <v>1236</v>
      </c>
      <c r="B1237">
        <v>1008</v>
      </c>
      <c r="C1237">
        <v>76</v>
      </c>
      <c r="D1237" t="s">
        <v>41</v>
      </c>
      <c r="E1237">
        <f t="shared" si="57"/>
        <v>2023</v>
      </c>
      <c r="F1237" t="str">
        <f t="shared" si="58"/>
        <v>Jan</v>
      </c>
      <c r="G1237">
        <v>1</v>
      </c>
      <c r="H1237">
        <f>_xlfn.XLOOKUP(C1237,Products!A:A,Products!D:D)</f>
        <v>1043.26</v>
      </c>
      <c r="I1237">
        <v>20</v>
      </c>
      <c r="J1237">
        <f t="shared" si="59"/>
        <v>834.60800000000006</v>
      </c>
      <c r="K1237" t="s">
        <v>2021</v>
      </c>
      <c r="L1237" t="str">
        <f>_xlfn.XLOOKUP(Orders[[#This Row],[ProductID]],Products!A:A,Products!C:C)</f>
        <v>Clothing</v>
      </c>
    </row>
    <row r="1238" spans="1:12" x14ac:dyDescent="0.3">
      <c r="A1238">
        <v>1237</v>
      </c>
      <c r="B1238">
        <v>1009</v>
      </c>
      <c r="C1238">
        <v>39</v>
      </c>
      <c r="D1238" t="s">
        <v>2104</v>
      </c>
      <c r="E1238">
        <f t="shared" si="57"/>
        <v>2024</v>
      </c>
      <c r="F1238" t="str">
        <f t="shared" si="58"/>
        <v>Mar</v>
      </c>
      <c r="G1238">
        <v>3</v>
      </c>
      <c r="H1238">
        <f>_xlfn.XLOOKUP(C1238,Products!A:A,Products!D:D)</f>
        <v>256.08999999999997</v>
      </c>
      <c r="I1238">
        <v>20</v>
      </c>
      <c r="J1238">
        <f t="shared" si="59"/>
        <v>614.61599999999999</v>
      </c>
      <c r="K1238" t="s">
        <v>2021</v>
      </c>
      <c r="L1238" t="str">
        <f>_xlfn.XLOOKUP(Orders[[#This Row],[ProductID]],Products!A:A,Products!C:C)</f>
        <v>Clothing</v>
      </c>
    </row>
    <row r="1239" spans="1:12" x14ac:dyDescent="0.3">
      <c r="A1239">
        <v>1238</v>
      </c>
      <c r="B1239">
        <v>1009</v>
      </c>
      <c r="C1239">
        <v>73</v>
      </c>
      <c r="D1239" t="s">
        <v>2176</v>
      </c>
      <c r="E1239">
        <f t="shared" si="57"/>
        <v>2024</v>
      </c>
      <c r="F1239" t="str">
        <f t="shared" si="58"/>
        <v>Jan</v>
      </c>
      <c r="G1239">
        <v>1</v>
      </c>
      <c r="H1239">
        <f>_xlfn.XLOOKUP(C1239,Products!A:A,Products!D:D)</f>
        <v>943.04</v>
      </c>
      <c r="I1239">
        <v>5</v>
      </c>
      <c r="J1239">
        <f t="shared" si="59"/>
        <v>895.88799999999992</v>
      </c>
      <c r="K1239" t="s">
        <v>2024</v>
      </c>
      <c r="L1239" t="str">
        <f>_xlfn.XLOOKUP(Orders[[#This Row],[ProductID]],Products!A:A,Products!C:C)</f>
        <v>Home</v>
      </c>
    </row>
    <row r="1240" spans="1:12" x14ac:dyDescent="0.3">
      <c r="A1240">
        <v>1239</v>
      </c>
      <c r="B1240">
        <v>1010</v>
      </c>
      <c r="C1240">
        <v>7</v>
      </c>
      <c r="D1240" t="s">
        <v>2059</v>
      </c>
      <c r="E1240">
        <f t="shared" si="57"/>
        <v>2024</v>
      </c>
      <c r="F1240" t="str">
        <f t="shared" si="58"/>
        <v>May</v>
      </c>
      <c r="G1240">
        <v>1</v>
      </c>
      <c r="H1240">
        <f>_xlfn.XLOOKUP(C1240,Products!A:A,Products!D:D)</f>
        <v>97.29</v>
      </c>
      <c r="I1240">
        <v>10</v>
      </c>
      <c r="J1240">
        <f t="shared" si="59"/>
        <v>87.561000000000007</v>
      </c>
      <c r="K1240" t="s">
        <v>2021</v>
      </c>
      <c r="L1240" t="str">
        <f>_xlfn.XLOOKUP(Orders[[#This Row],[ProductID]],Products!A:A,Products!C:C)</f>
        <v>Beauty</v>
      </c>
    </row>
    <row r="1241" spans="1:12" x14ac:dyDescent="0.3">
      <c r="A1241">
        <v>1240</v>
      </c>
      <c r="B1241">
        <v>1010</v>
      </c>
      <c r="C1241">
        <v>45</v>
      </c>
      <c r="D1241" t="s">
        <v>1332</v>
      </c>
      <c r="E1241">
        <f t="shared" si="57"/>
        <v>2023</v>
      </c>
      <c r="F1241" t="str">
        <f t="shared" si="58"/>
        <v>Aug</v>
      </c>
      <c r="G1241">
        <v>2</v>
      </c>
      <c r="H1241">
        <f>_xlfn.XLOOKUP(C1241,Products!A:A,Products!D:D)</f>
        <v>609.05999999999995</v>
      </c>
      <c r="I1241">
        <v>5</v>
      </c>
      <c r="J1241">
        <f t="shared" si="59"/>
        <v>1157.2139999999999</v>
      </c>
      <c r="K1241" t="s">
        <v>2017</v>
      </c>
      <c r="L1241" t="str">
        <f>_xlfn.XLOOKUP(Orders[[#This Row],[ProductID]],Products!A:A,Products!C:C)</f>
        <v>Beauty</v>
      </c>
    </row>
    <row r="1242" spans="1:12" x14ac:dyDescent="0.3">
      <c r="A1242">
        <v>1241</v>
      </c>
      <c r="B1242">
        <v>1011</v>
      </c>
      <c r="C1242">
        <v>1</v>
      </c>
      <c r="D1242" t="s">
        <v>2229</v>
      </c>
      <c r="E1242">
        <f t="shared" si="57"/>
        <v>2023</v>
      </c>
      <c r="F1242" t="str">
        <f t="shared" si="58"/>
        <v>Dec</v>
      </c>
      <c r="G1242">
        <v>1</v>
      </c>
      <c r="H1242">
        <f>_xlfn.XLOOKUP(C1242,Products!A:A,Products!D:D)</f>
        <v>469.08</v>
      </c>
      <c r="I1242">
        <v>5</v>
      </c>
      <c r="J1242">
        <f t="shared" si="59"/>
        <v>445.62599999999998</v>
      </c>
      <c r="K1242" t="s">
        <v>2021</v>
      </c>
      <c r="L1242" t="str">
        <f>_xlfn.XLOOKUP(Orders[[#This Row],[ProductID]],Products!A:A,Products!C:C)</f>
        <v>Clothing</v>
      </c>
    </row>
    <row r="1243" spans="1:12" x14ac:dyDescent="0.3">
      <c r="A1243">
        <v>1242</v>
      </c>
      <c r="B1243">
        <v>1011</v>
      </c>
      <c r="C1243">
        <v>39</v>
      </c>
      <c r="D1243" t="s">
        <v>588</v>
      </c>
      <c r="E1243">
        <f t="shared" si="57"/>
        <v>2023</v>
      </c>
      <c r="F1243" t="str">
        <f t="shared" si="58"/>
        <v>Jun</v>
      </c>
      <c r="G1243">
        <v>1</v>
      </c>
      <c r="H1243">
        <f>_xlfn.XLOOKUP(C1243,Products!A:A,Products!D:D)</f>
        <v>256.08999999999997</v>
      </c>
      <c r="I1243">
        <v>5</v>
      </c>
      <c r="J1243">
        <f t="shared" si="59"/>
        <v>243.28549999999996</v>
      </c>
      <c r="K1243" t="s">
        <v>2021</v>
      </c>
      <c r="L1243" t="str">
        <f>_xlfn.XLOOKUP(Orders[[#This Row],[ProductID]],Products!A:A,Products!C:C)</f>
        <v>Clothing</v>
      </c>
    </row>
    <row r="1244" spans="1:12" x14ac:dyDescent="0.3">
      <c r="A1244">
        <v>1243</v>
      </c>
      <c r="B1244">
        <v>1012</v>
      </c>
      <c r="C1244">
        <v>27</v>
      </c>
      <c r="D1244" t="s">
        <v>1495</v>
      </c>
      <c r="E1244">
        <f t="shared" si="57"/>
        <v>2023</v>
      </c>
      <c r="F1244" t="str">
        <f t="shared" si="58"/>
        <v>Aug</v>
      </c>
      <c r="G1244">
        <v>1</v>
      </c>
      <c r="H1244">
        <f>_xlfn.XLOOKUP(C1244,Products!A:A,Products!D:D)</f>
        <v>76.09</v>
      </c>
      <c r="I1244">
        <v>5</v>
      </c>
      <c r="J1244">
        <f t="shared" si="59"/>
        <v>72.285499999999999</v>
      </c>
      <c r="K1244" t="s">
        <v>2021</v>
      </c>
      <c r="L1244" t="str">
        <f>_xlfn.XLOOKUP(Orders[[#This Row],[ProductID]],Products!A:A,Products!C:C)</f>
        <v>Clothing</v>
      </c>
    </row>
    <row r="1245" spans="1:12" x14ac:dyDescent="0.3">
      <c r="A1245">
        <v>1244</v>
      </c>
      <c r="B1245">
        <v>1012</v>
      </c>
      <c r="C1245">
        <v>72</v>
      </c>
      <c r="D1245" t="s">
        <v>2070</v>
      </c>
      <c r="E1245">
        <f t="shared" si="57"/>
        <v>2024</v>
      </c>
      <c r="F1245" t="str">
        <f t="shared" si="58"/>
        <v>Mar</v>
      </c>
      <c r="G1245">
        <v>2</v>
      </c>
      <c r="H1245">
        <f>_xlfn.XLOOKUP(C1245,Products!A:A,Products!D:D)</f>
        <v>1157.27</v>
      </c>
      <c r="I1245">
        <v>0</v>
      </c>
      <c r="J1245">
        <f t="shared" si="59"/>
        <v>2314.54</v>
      </c>
      <c r="K1245" t="s">
        <v>2017</v>
      </c>
      <c r="L1245" t="str">
        <f>_xlfn.XLOOKUP(Orders[[#This Row],[ProductID]],Products!A:A,Products!C:C)</f>
        <v>Electronics</v>
      </c>
    </row>
    <row r="1246" spans="1:12" x14ac:dyDescent="0.3">
      <c r="A1246">
        <v>1245</v>
      </c>
      <c r="B1246">
        <v>1013</v>
      </c>
      <c r="C1246">
        <v>21</v>
      </c>
      <c r="D1246" t="s">
        <v>2049</v>
      </c>
      <c r="E1246">
        <f t="shared" si="57"/>
        <v>2023</v>
      </c>
      <c r="F1246" t="str">
        <f t="shared" si="58"/>
        <v>Jun</v>
      </c>
      <c r="G1246">
        <v>1</v>
      </c>
      <c r="H1246">
        <f>_xlfn.XLOOKUP(C1246,Products!A:A,Products!D:D)</f>
        <v>420.66</v>
      </c>
      <c r="I1246">
        <v>15</v>
      </c>
      <c r="J1246">
        <f t="shared" si="59"/>
        <v>357.56100000000004</v>
      </c>
      <c r="K1246" t="s">
        <v>2015</v>
      </c>
      <c r="L1246" t="str">
        <f>_xlfn.XLOOKUP(Orders[[#This Row],[ProductID]],Products!A:A,Products!C:C)</f>
        <v>Beauty</v>
      </c>
    </row>
    <row r="1247" spans="1:12" x14ac:dyDescent="0.3">
      <c r="A1247">
        <v>1246</v>
      </c>
      <c r="B1247">
        <v>1013</v>
      </c>
      <c r="C1247">
        <v>51</v>
      </c>
      <c r="D1247" t="s">
        <v>2065</v>
      </c>
      <c r="E1247">
        <f t="shared" si="57"/>
        <v>2023</v>
      </c>
      <c r="F1247" t="str">
        <f t="shared" si="58"/>
        <v>Dec</v>
      </c>
      <c r="G1247">
        <v>1</v>
      </c>
      <c r="H1247">
        <f>_xlfn.XLOOKUP(C1247,Products!A:A,Products!D:D)</f>
        <v>759.57</v>
      </c>
      <c r="I1247">
        <v>15</v>
      </c>
      <c r="J1247">
        <f t="shared" si="59"/>
        <v>645.6345</v>
      </c>
      <c r="K1247" t="s">
        <v>2017</v>
      </c>
      <c r="L1247" t="str">
        <f>_xlfn.XLOOKUP(Orders[[#This Row],[ProductID]],Products!A:A,Products!C:C)</f>
        <v>Beauty</v>
      </c>
    </row>
    <row r="1248" spans="1:12" x14ac:dyDescent="0.3">
      <c r="A1248">
        <v>1247</v>
      </c>
      <c r="B1248">
        <v>1014</v>
      </c>
      <c r="C1248">
        <v>60</v>
      </c>
      <c r="D1248" t="s">
        <v>2055</v>
      </c>
      <c r="E1248">
        <f t="shared" si="57"/>
        <v>2023</v>
      </c>
      <c r="F1248" t="str">
        <f t="shared" si="58"/>
        <v>Dec</v>
      </c>
      <c r="G1248">
        <v>1</v>
      </c>
      <c r="H1248">
        <f>_xlfn.XLOOKUP(C1248,Products!A:A,Products!D:D)</f>
        <v>830.49</v>
      </c>
      <c r="I1248">
        <v>0</v>
      </c>
      <c r="J1248">
        <f t="shared" si="59"/>
        <v>830.49</v>
      </c>
      <c r="K1248" t="s">
        <v>2017</v>
      </c>
      <c r="L1248" t="str">
        <f>_xlfn.XLOOKUP(Orders[[#This Row],[ProductID]],Products!A:A,Products!C:C)</f>
        <v>Clothing</v>
      </c>
    </row>
    <row r="1249" spans="1:12" x14ac:dyDescent="0.3">
      <c r="A1249">
        <v>1248</v>
      </c>
      <c r="B1249">
        <v>1014</v>
      </c>
      <c r="C1249">
        <v>17</v>
      </c>
      <c r="D1249" t="s">
        <v>229</v>
      </c>
      <c r="E1249">
        <f t="shared" si="57"/>
        <v>2023</v>
      </c>
      <c r="F1249" t="str">
        <f t="shared" si="58"/>
        <v>Jun</v>
      </c>
      <c r="G1249">
        <v>1</v>
      </c>
      <c r="H1249">
        <f>_xlfn.XLOOKUP(C1249,Products!A:A,Products!D:D)</f>
        <v>695.6</v>
      </c>
      <c r="I1249">
        <v>15</v>
      </c>
      <c r="J1249">
        <f t="shared" si="59"/>
        <v>591.26</v>
      </c>
      <c r="K1249" t="s">
        <v>2024</v>
      </c>
      <c r="L1249" t="str">
        <f>_xlfn.XLOOKUP(Orders[[#This Row],[ProductID]],Products!A:A,Products!C:C)</f>
        <v>Clothing</v>
      </c>
    </row>
    <row r="1250" spans="1:12" x14ac:dyDescent="0.3">
      <c r="A1250">
        <v>1249</v>
      </c>
      <c r="B1250">
        <v>1015</v>
      </c>
      <c r="C1250">
        <v>37</v>
      </c>
      <c r="D1250" t="s">
        <v>2196</v>
      </c>
      <c r="E1250">
        <f t="shared" si="57"/>
        <v>2024</v>
      </c>
      <c r="F1250" t="str">
        <f t="shared" si="58"/>
        <v>Feb</v>
      </c>
      <c r="G1250">
        <v>3</v>
      </c>
      <c r="H1250">
        <f>_xlfn.XLOOKUP(C1250,Products!A:A,Products!D:D)</f>
        <v>968.87</v>
      </c>
      <c r="I1250">
        <v>15</v>
      </c>
      <c r="J1250">
        <f t="shared" si="59"/>
        <v>2470.6185</v>
      </c>
      <c r="K1250" t="s">
        <v>2015</v>
      </c>
      <c r="L1250" t="str">
        <f>_xlfn.XLOOKUP(Orders[[#This Row],[ProductID]],Products!A:A,Products!C:C)</f>
        <v>Home</v>
      </c>
    </row>
    <row r="1251" spans="1:12" x14ac:dyDescent="0.3">
      <c r="A1251">
        <v>1250</v>
      </c>
      <c r="B1251">
        <v>1015</v>
      </c>
      <c r="C1251">
        <v>51</v>
      </c>
      <c r="D1251" t="s">
        <v>2039</v>
      </c>
      <c r="E1251">
        <f t="shared" si="57"/>
        <v>2023</v>
      </c>
      <c r="F1251" t="str">
        <f t="shared" si="58"/>
        <v>Oct</v>
      </c>
      <c r="G1251">
        <v>1</v>
      </c>
      <c r="H1251">
        <f>_xlfn.XLOOKUP(C1251,Products!A:A,Products!D:D)</f>
        <v>759.57</v>
      </c>
      <c r="I1251">
        <v>10</v>
      </c>
      <c r="J1251">
        <f t="shared" si="59"/>
        <v>683.61300000000006</v>
      </c>
      <c r="K1251" t="s">
        <v>2017</v>
      </c>
      <c r="L1251" t="str">
        <f>_xlfn.XLOOKUP(Orders[[#This Row],[ProductID]],Products!A:A,Products!C:C)</f>
        <v>Beauty</v>
      </c>
    </row>
    <row r="1252" spans="1:12" x14ac:dyDescent="0.3">
      <c r="A1252">
        <v>1251</v>
      </c>
      <c r="B1252">
        <v>1016</v>
      </c>
      <c r="C1252">
        <v>76</v>
      </c>
      <c r="D1252" t="s">
        <v>1750</v>
      </c>
      <c r="E1252">
        <f t="shared" si="57"/>
        <v>2023</v>
      </c>
      <c r="F1252" t="str">
        <f t="shared" si="58"/>
        <v>Jan</v>
      </c>
      <c r="G1252">
        <v>1</v>
      </c>
      <c r="H1252">
        <f>_xlfn.XLOOKUP(C1252,Products!A:A,Products!D:D)</f>
        <v>1043.26</v>
      </c>
      <c r="I1252">
        <v>20</v>
      </c>
      <c r="J1252">
        <f t="shared" si="59"/>
        <v>834.60800000000006</v>
      </c>
      <c r="K1252" t="s">
        <v>2021</v>
      </c>
      <c r="L1252" t="str">
        <f>_xlfn.XLOOKUP(Orders[[#This Row],[ProductID]],Products!A:A,Products!C:C)</f>
        <v>Clothing</v>
      </c>
    </row>
    <row r="1253" spans="1:12" x14ac:dyDescent="0.3">
      <c r="A1253">
        <v>1252</v>
      </c>
      <c r="B1253">
        <v>1016</v>
      </c>
      <c r="C1253">
        <v>31</v>
      </c>
      <c r="D1253" t="s">
        <v>1371</v>
      </c>
      <c r="E1253">
        <f t="shared" si="57"/>
        <v>2023</v>
      </c>
      <c r="F1253" t="str">
        <f t="shared" si="58"/>
        <v>Jul</v>
      </c>
      <c r="G1253">
        <v>2</v>
      </c>
      <c r="H1253">
        <f>_xlfn.XLOOKUP(C1253,Products!A:A,Products!D:D)</f>
        <v>131.79</v>
      </c>
      <c r="I1253">
        <v>10</v>
      </c>
      <c r="J1253">
        <f t="shared" si="59"/>
        <v>237.22199999999998</v>
      </c>
      <c r="K1253" t="s">
        <v>2015</v>
      </c>
      <c r="L1253" t="str">
        <f>_xlfn.XLOOKUP(Orders[[#This Row],[ProductID]],Products!A:A,Products!C:C)</f>
        <v>Beauty</v>
      </c>
    </row>
    <row r="1254" spans="1:12" x14ac:dyDescent="0.3">
      <c r="A1254">
        <v>1253</v>
      </c>
      <c r="B1254">
        <v>1017</v>
      </c>
      <c r="C1254">
        <v>1</v>
      </c>
      <c r="D1254" t="s">
        <v>301</v>
      </c>
      <c r="E1254">
        <f t="shared" si="57"/>
        <v>2023</v>
      </c>
      <c r="F1254" t="str">
        <f t="shared" si="58"/>
        <v>Nov</v>
      </c>
      <c r="G1254">
        <v>3</v>
      </c>
      <c r="H1254">
        <f>_xlfn.XLOOKUP(C1254,Products!A:A,Products!D:D)</f>
        <v>469.08</v>
      </c>
      <c r="I1254">
        <v>15</v>
      </c>
      <c r="J1254">
        <f t="shared" si="59"/>
        <v>1196.154</v>
      </c>
      <c r="K1254" t="s">
        <v>2019</v>
      </c>
      <c r="L1254" t="str">
        <f>_xlfn.XLOOKUP(Orders[[#This Row],[ProductID]],Products!A:A,Products!C:C)</f>
        <v>Clothing</v>
      </c>
    </row>
    <row r="1255" spans="1:12" x14ac:dyDescent="0.3">
      <c r="A1255">
        <v>1254</v>
      </c>
      <c r="B1255">
        <v>1017</v>
      </c>
      <c r="C1255">
        <v>30</v>
      </c>
      <c r="D1255" t="s">
        <v>331</v>
      </c>
      <c r="E1255">
        <f t="shared" si="57"/>
        <v>2023</v>
      </c>
      <c r="F1255" t="str">
        <f t="shared" si="58"/>
        <v>Mar</v>
      </c>
      <c r="G1255">
        <v>2</v>
      </c>
      <c r="H1255">
        <f>_xlfn.XLOOKUP(C1255,Products!A:A,Products!D:D)</f>
        <v>866.89</v>
      </c>
      <c r="I1255">
        <v>5</v>
      </c>
      <c r="J1255">
        <f t="shared" si="59"/>
        <v>1647.0909999999999</v>
      </c>
      <c r="K1255" t="s">
        <v>2019</v>
      </c>
      <c r="L1255" t="str">
        <f>_xlfn.XLOOKUP(Orders[[#This Row],[ProductID]],Products!A:A,Products!C:C)</f>
        <v>Electronics</v>
      </c>
    </row>
    <row r="1256" spans="1:12" x14ac:dyDescent="0.3">
      <c r="A1256">
        <v>1255</v>
      </c>
      <c r="B1256">
        <v>1018</v>
      </c>
      <c r="C1256">
        <v>28</v>
      </c>
      <c r="D1256" t="s">
        <v>542</v>
      </c>
      <c r="E1256">
        <f t="shared" si="57"/>
        <v>2023</v>
      </c>
      <c r="F1256" t="str">
        <f t="shared" si="58"/>
        <v>Jun</v>
      </c>
      <c r="G1256">
        <v>2</v>
      </c>
      <c r="H1256">
        <f>_xlfn.XLOOKUP(C1256,Products!A:A,Products!D:D)</f>
        <v>494.39</v>
      </c>
      <c r="I1256">
        <v>0</v>
      </c>
      <c r="J1256">
        <f t="shared" si="59"/>
        <v>988.78</v>
      </c>
      <c r="K1256" t="s">
        <v>2024</v>
      </c>
      <c r="L1256" t="str">
        <f>_xlfn.XLOOKUP(Orders[[#This Row],[ProductID]],Products!A:A,Products!C:C)</f>
        <v>Beauty</v>
      </c>
    </row>
    <row r="1257" spans="1:12" x14ac:dyDescent="0.3">
      <c r="A1257">
        <v>1256</v>
      </c>
      <c r="B1257">
        <v>1018</v>
      </c>
      <c r="C1257">
        <v>50</v>
      </c>
      <c r="D1257" t="s">
        <v>1201</v>
      </c>
      <c r="E1257">
        <f t="shared" si="57"/>
        <v>2023</v>
      </c>
      <c r="F1257" t="str">
        <f t="shared" si="58"/>
        <v>Dec</v>
      </c>
      <c r="G1257">
        <v>1</v>
      </c>
      <c r="H1257">
        <f>_xlfn.XLOOKUP(C1257,Products!A:A,Products!D:D)</f>
        <v>1122.8699999999999</v>
      </c>
      <c r="I1257">
        <v>15</v>
      </c>
      <c r="J1257">
        <f t="shared" si="59"/>
        <v>954.43949999999984</v>
      </c>
      <c r="K1257" t="s">
        <v>2021</v>
      </c>
      <c r="L1257" t="str">
        <f>_xlfn.XLOOKUP(Orders[[#This Row],[ProductID]],Products!A:A,Products!C:C)</f>
        <v>Home</v>
      </c>
    </row>
    <row r="1258" spans="1:12" x14ac:dyDescent="0.3">
      <c r="A1258">
        <v>1257</v>
      </c>
      <c r="B1258">
        <v>1019</v>
      </c>
      <c r="C1258">
        <v>37</v>
      </c>
      <c r="D1258" t="s">
        <v>948</v>
      </c>
      <c r="E1258">
        <f t="shared" si="57"/>
        <v>2023</v>
      </c>
      <c r="F1258" t="str">
        <f t="shared" si="58"/>
        <v>Jun</v>
      </c>
      <c r="G1258">
        <v>2</v>
      </c>
      <c r="H1258">
        <f>_xlfn.XLOOKUP(C1258,Products!A:A,Products!D:D)</f>
        <v>968.87</v>
      </c>
      <c r="I1258">
        <v>15</v>
      </c>
      <c r="J1258">
        <f t="shared" si="59"/>
        <v>1647.079</v>
      </c>
      <c r="K1258" t="s">
        <v>2019</v>
      </c>
      <c r="L1258" t="str">
        <f>_xlfn.XLOOKUP(Orders[[#This Row],[ProductID]],Products!A:A,Products!C:C)</f>
        <v>Home</v>
      </c>
    </row>
    <row r="1259" spans="1:12" x14ac:dyDescent="0.3">
      <c r="A1259">
        <v>1258</v>
      </c>
      <c r="B1259">
        <v>1019</v>
      </c>
      <c r="C1259">
        <v>34</v>
      </c>
      <c r="D1259" t="s">
        <v>2075</v>
      </c>
      <c r="E1259">
        <f t="shared" si="57"/>
        <v>2024</v>
      </c>
      <c r="F1259" t="str">
        <f t="shared" si="58"/>
        <v>May</v>
      </c>
      <c r="G1259">
        <v>2</v>
      </c>
      <c r="H1259">
        <f>_xlfn.XLOOKUP(C1259,Products!A:A,Products!D:D)</f>
        <v>523.98</v>
      </c>
      <c r="I1259">
        <v>5</v>
      </c>
      <c r="J1259">
        <f t="shared" si="59"/>
        <v>995.56200000000001</v>
      </c>
      <c r="K1259" t="s">
        <v>2021</v>
      </c>
      <c r="L1259" t="str">
        <f>_xlfn.XLOOKUP(Orders[[#This Row],[ProductID]],Products!A:A,Products!C:C)</f>
        <v>Home</v>
      </c>
    </row>
    <row r="1260" spans="1:12" x14ac:dyDescent="0.3">
      <c r="A1260">
        <v>1259</v>
      </c>
      <c r="B1260">
        <v>1020</v>
      </c>
      <c r="C1260">
        <v>51</v>
      </c>
      <c r="D1260" t="s">
        <v>2188</v>
      </c>
      <c r="E1260">
        <f t="shared" si="57"/>
        <v>2023</v>
      </c>
      <c r="F1260" t="str">
        <f t="shared" si="58"/>
        <v>Dec</v>
      </c>
      <c r="G1260">
        <v>3</v>
      </c>
      <c r="H1260">
        <f>_xlfn.XLOOKUP(C1260,Products!A:A,Products!D:D)</f>
        <v>759.57</v>
      </c>
      <c r="I1260">
        <v>0</v>
      </c>
      <c r="J1260">
        <f t="shared" si="59"/>
        <v>2278.71</v>
      </c>
      <c r="K1260" t="s">
        <v>2017</v>
      </c>
      <c r="L1260" t="str">
        <f>_xlfn.XLOOKUP(Orders[[#This Row],[ProductID]],Products!A:A,Products!C:C)</f>
        <v>Beauty</v>
      </c>
    </row>
    <row r="1261" spans="1:12" x14ac:dyDescent="0.3">
      <c r="A1261">
        <v>1260</v>
      </c>
      <c r="B1261">
        <v>1020</v>
      </c>
      <c r="C1261">
        <v>11</v>
      </c>
      <c r="D1261" t="s">
        <v>1925</v>
      </c>
      <c r="E1261">
        <f t="shared" si="57"/>
        <v>2023</v>
      </c>
      <c r="F1261" t="str">
        <f t="shared" si="58"/>
        <v>Jun</v>
      </c>
      <c r="G1261">
        <v>3</v>
      </c>
      <c r="H1261">
        <f>_xlfn.XLOOKUP(C1261,Products!A:A,Products!D:D)</f>
        <v>1038.77</v>
      </c>
      <c r="I1261">
        <v>0</v>
      </c>
      <c r="J1261">
        <f t="shared" si="59"/>
        <v>3116.31</v>
      </c>
      <c r="K1261" t="s">
        <v>2017</v>
      </c>
      <c r="L1261" t="str">
        <f>_xlfn.XLOOKUP(Orders[[#This Row],[ProductID]],Products!A:A,Products!C:C)</f>
        <v>Beauty</v>
      </c>
    </row>
    <row r="1262" spans="1:12" x14ac:dyDescent="0.3">
      <c r="A1262">
        <v>1261</v>
      </c>
      <c r="B1262">
        <v>1021</v>
      </c>
      <c r="C1262">
        <v>2</v>
      </c>
      <c r="D1262" t="s">
        <v>648</v>
      </c>
      <c r="E1262">
        <f t="shared" si="57"/>
        <v>2023</v>
      </c>
      <c r="F1262" t="str">
        <f t="shared" si="58"/>
        <v>Mar</v>
      </c>
      <c r="G1262">
        <v>2</v>
      </c>
      <c r="H1262">
        <f>_xlfn.XLOOKUP(C1262,Products!A:A,Products!D:D)</f>
        <v>427.27</v>
      </c>
      <c r="I1262">
        <v>5</v>
      </c>
      <c r="J1262">
        <f t="shared" si="59"/>
        <v>811.81299999999987</v>
      </c>
      <c r="K1262" t="s">
        <v>2015</v>
      </c>
      <c r="L1262" t="str">
        <f>_xlfn.XLOOKUP(Orders[[#This Row],[ProductID]],Products!A:A,Products!C:C)</f>
        <v>Home</v>
      </c>
    </row>
    <row r="1263" spans="1:12" x14ac:dyDescent="0.3">
      <c r="A1263">
        <v>1262</v>
      </c>
      <c r="B1263">
        <v>1021</v>
      </c>
      <c r="C1263">
        <v>65</v>
      </c>
      <c r="D1263" t="s">
        <v>1884</v>
      </c>
      <c r="E1263">
        <f t="shared" si="57"/>
        <v>2023</v>
      </c>
      <c r="F1263" t="str">
        <f t="shared" si="58"/>
        <v>Jul</v>
      </c>
      <c r="G1263">
        <v>3</v>
      </c>
      <c r="H1263">
        <f>_xlfn.XLOOKUP(C1263,Products!A:A,Products!D:D)</f>
        <v>1189.73</v>
      </c>
      <c r="I1263">
        <v>15</v>
      </c>
      <c r="J1263">
        <f t="shared" si="59"/>
        <v>3033.8114999999998</v>
      </c>
      <c r="K1263" t="s">
        <v>2019</v>
      </c>
      <c r="L1263" t="str">
        <f>_xlfn.XLOOKUP(Orders[[#This Row],[ProductID]],Products!A:A,Products!C:C)</f>
        <v>Home</v>
      </c>
    </row>
    <row r="1264" spans="1:12" x14ac:dyDescent="0.3">
      <c r="A1264">
        <v>1263</v>
      </c>
      <c r="B1264">
        <v>1021</v>
      </c>
      <c r="C1264">
        <v>63</v>
      </c>
      <c r="D1264" t="s">
        <v>1201</v>
      </c>
      <c r="E1264">
        <f t="shared" si="57"/>
        <v>2023</v>
      </c>
      <c r="F1264" t="str">
        <f t="shared" si="58"/>
        <v>Dec</v>
      </c>
      <c r="G1264">
        <v>3</v>
      </c>
      <c r="H1264">
        <f>_xlfn.XLOOKUP(C1264,Products!A:A,Products!D:D)</f>
        <v>309.79000000000002</v>
      </c>
      <c r="I1264">
        <v>15</v>
      </c>
      <c r="J1264">
        <f t="shared" si="59"/>
        <v>789.96450000000004</v>
      </c>
      <c r="K1264" t="s">
        <v>2017</v>
      </c>
      <c r="L1264" t="str">
        <f>_xlfn.XLOOKUP(Orders[[#This Row],[ProductID]],Products!A:A,Products!C:C)</f>
        <v>Electronics</v>
      </c>
    </row>
    <row r="1265" spans="1:12" x14ac:dyDescent="0.3">
      <c r="A1265">
        <v>1264</v>
      </c>
      <c r="B1265">
        <v>1022</v>
      </c>
      <c r="C1265">
        <v>7</v>
      </c>
      <c r="D1265" t="s">
        <v>1373</v>
      </c>
      <c r="E1265">
        <f t="shared" si="57"/>
        <v>2023</v>
      </c>
      <c r="F1265" t="str">
        <f t="shared" si="58"/>
        <v>Jun</v>
      </c>
      <c r="G1265">
        <v>2</v>
      </c>
      <c r="H1265">
        <f>_xlfn.XLOOKUP(C1265,Products!A:A,Products!D:D)</f>
        <v>97.29</v>
      </c>
      <c r="I1265">
        <v>10</v>
      </c>
      <c r="J1265">
        <f t="shared" si="59"/>
        <v>175.12200000000001</v>
      </c>
      <c r="K1265" t="s">
        <v>2019</v>
      </c>
      <c r="L1265" t="str">
        <f>_xlfn.XLOOKUP(Orders[[#This Row],[ProductID]],Products!A:A,Products!C:C)</f>
        <v>Beauty</v>
      </c>
    </row>
    <row r="1266" spans="1:12" x14ac:dyDescent="0.3">
      <c r="A1266">
        <v>1265</v>
      </c>
      <c r="B1266">
        <v>1022</v>
      </c>
      <c r="C1266">
        <v>78</v>
      </c>
      <c r="D1266" t="s">
        <v>2078</v>
      </c>
      <c r="E1266">
        <f t="shared" si="57"/>
        <v>2024</v>
      </c>
      <c r="F1266" t="str">
        <f t="shared" si="58"/>
        <v>Feb</v>
      </c>
      <c r="G1266">
        <v>2</v>
      </c>
      <c r="H1266">
        <f>_xlfn.XLOOKUP(C1266,Products!A:A,Products!D:D)</f>
        <v>795.77</v>
      </c>
      <c r="I1266">
        <v>20</v>
      </c>
      <c r="J1266">
        <f t="shared" si="59"/>
        <v>1273.232</v>
      </c>
      <c r="K1266" t="s">
        <v>2024</v>
      </c>
      <c r="L1266" t="str">
        <f>_xlfn.XLOOKUP(Orders[[#This Row],[ProductID]],Products!A:A,Products!C:C)</f>
        <v>Beauty</v>
      </c>
    </row>
    <row r="1267" spans="1:12" x14ac:dyDescent="0.3">
      <c r="A1267">
        <v>1266</v>
      </c>
      <c r="B1267">
        <v>1022</v>
      </c>
      <c r="C1267">
        <v>61</v>
      </c>
      <c r="D1267" t="s">
        <v>2111</v>
      </c>
      <c r="E1267">
        <f t="shared" si="57"/>
        <v>2023</v>
      </c>
      <c r="F1267" t="str">
        <f t="shared" si="58"/>
        <v>Dec</v>
      </c>
      <c r="G1267">
        <v>2</v>
      </c>
      <c r="H1267">
        <f>_xlfn.XLOOKUP(C1267,Products!A:A,Products!D:D)</f>
        <v>498.92</v>
      </c>
      <c r="I1267">
        <v>20</v>
      </c>
      <c r="J1267">
        <f t="shared" si="59"/>
        <v>798.27200000000005</v>
      </c>
      <c r="K1267" t="s">
        <v>2024</v>
      </c>
      <c r="L1267" t="str">
        <f>_xlfn.XLOOKUP(Orders[[#This Row],[ProductID]],Products!A:A,Products!C:C)</f>
        <v>Clothing</v>
      </c>
    </row>
    <row r="1268" spans="1:12" x14ac:dyDescent="0.3">
      <c r="A1268">
        <v>1267</v>
      </c>
      <c r="B1268">
        <v>1023</v>
      </c>
      <c r="C1268">
        <v>15</v>
      </c>
      <c r="D1268" t="s">
        <v>2105</v>
      </c>
      <c r="E1268">
        <f t="shared" si="57"/>
        <v>2024</v>
      </c>
      <c r="F1268" t="str">
        <f t="shared" si="58"/>
        <v>Feb</v>
      </c>
      <c r="G1268">
        <v>1</v>
      </c>
      <c r="H1268">
        <f>_xlfn.XLOOKUP(C1268,Products!A:A,Products!D:D)</f>
        <v>1183.2</v>
      </c>
      <c r="I1268">
        <v>15</v>
      </c>
      <c r="J1268">
        <f t="shared" si="59"/>
        <v>1005.72</v>
      </c>
      <c r="K1268" t="s">
        <v>2015</v>
      </c>
      <c r="L1268" t="str">
        <f>_xlfn.XLOOKUP(Orders[[#This Row],[ProductID]],Products!A:A,Products!C:C)</f>
        <v>Electronics</v>
      </c>
    </row>
    <row r="1269" spans="1:12" x14ac:dyDescent="0.3">
      <c r="A1269">
        <v>1268</v>
      </c>
      <c r="B1269">
        <v>1023</v>
      </c>
      <c r="C1269">
        <v>50</v>
      </c>
      <c r="D1269" t="s">
        <v>2073</v>
      </c>
      <c r="E1269">
        <f t="shared" si="57"/>
        <v>2024</v>
      </c>
      <c r="F1269" t="str">
        <f t="shared" si="58"/>
        <v>Mar</v>
      </c>
      <c r="G1269">
        <v>3</v>
      </c>
      <c r="H1269">
        <f>_xlfn.XLOOKUP(C1269,Products!A:A,Products!D:D)</f>
        <v>1122.8699999999999</v>
      </c>
      <c r="I1269">
        <v>0</v>
      </c>
      <c r="J1269">
        <f t="shared" si="59"/>
        <v>3368.6099999999997</v>
      </c>
      <c r="K1269" t="s">
        <v>2021</v>
      </c>
      <c r="L1269" t="str">
        <f>_xlfn.XLOOKUP(Orders[[#This Row],[ProductID]],Products!A:A,Products!C:C)</f>
        <v>Home</v>
      </c>
    </row>
    <row r="1270" spans="1:12" x14ac:dyDescent="0.3">
      <c r="A1270">
        <v>1269</v>
      </c>
      <c r="B1270">
        <v>1023</v>
      </c>
      <c r="C1270">
        <v>1</v>
      </c>
      <c r="D1270" t="s">
        <v>1909</v>
      </c>
      <c r="E1270">
        <f t="shared" si="57"/>
        <v>2023</v>
      </c>
      <c r="F1270" t="str">
        <f t="shared" si="58"/>
        <v>Jun</v>
      </c>
      <c r="G1270">
        <v>3</v>
      </c>
      <c r="H1270">
        <f>_xlfn.XLOOKUP(C1270,Products!A:A,Products!D:D)</f>
        <v>469.08</v>
      </c>
      <c r="I1270">
        <v>20</v>
      </c>
      <c r="J1270">
        <f t="shared" si="59"/>
        <v>1125.7920000000001</v>
      </c>
      <c r="K1270" t="s">
        <v>2024</v>
      </c>
      <c r="L1270" t="str">
        <f>_xlfn.XLOOKUP(Orders[[#This Row],[ProductID]],Products!A:A,Products!C:C)</f>
        <v>Clothing</v>
      </c>
    </row>
    <row r="1271" spans="1:12" x14ac:dyDescent="0.3">
      <c r="A1271">
        <v>1270</v>
      </c>
      <c r="B1271">
        <v>1024</v>
      </c>
      <c r="C1271">
        <v>26</v>
      </c>
      <c r="D1271" t="s">
        <v>936</v>
      </c>
      <c r="E1271">
        <f t="shared" si="57"/>
        <v>2023</v>
      </c>
      <c r="F1271" t="str">
        <f t="shared" si="58"/>
        <v>Sep</v>
      </c>
      <c r="G1271">
        <v>3</v>
      </c>
      <c r="H1271">
        <f>_xlfn.XLOOKUP(C1271,Products!A:A,Products!D:D)</f>
        <v>272.61</v>
      </c>
      <c r="I1271">
        <v>15</v>
      </c>
      <c r="J1271">
        <f t="shared" si="59"/>
        <v>695.15549999999996</v>
      </c>
      <c r="K1271" t="s">
        <v>2017</v>
      </c>
      <c r="L1271" t="str">
        <f>_xlfn.XLOOKUP(Orders[[#This Row],[ProductID]],Products!A:A,Products!C:C)</f>
        <v>Home</v>
      </c>
    </row>
    <row r="1272" spans="1:12" x14ac:dyDescent="0.3">
      <c r="A1272">
        <v>1271</v>
      </c>
      <c r="B1272">
        <v>1024</v>
      </c>
      <c r="C1272">
        <v>7</v>
      </c>
      <c r="D1272" t="s">
        <v>2082</v>
      </c>
      <c r="E1272">
        <f t="shared" si="57"/>
        <v>2023</v>
      </c>
      <c r="F1272" t="str">
        <f t="shared" si="58"/>
        <v>Aug</v>
      </c>
      <c r="G1272">
        <v>2</v>
      </c>
      <c r="H1272">
        <f>_xlfn.XLOOKUP(C1272,Products!A:A,Products!D:D)</f>
        <v>97.29</v>
      </c>
      <c r="I1272">
        <v>0</v>
      </c>
      <c r="J1272">
        <f t="shared" si="59"/>
        <v>194.58</v>
      </c>
      <c r="K1272" t="s">
        <v>2019</v>
      </c>
      <c r="L1272" t="str">
        <f>_xlfn.XLOOKUP(Orders[[#This Row],[ProductID]],Products!A:A,Products!C:C)</f>
        <v>Beauty</v>
      </c>
    </row>
    <row r="1273" spans="1:12" x14ac:dyDescent="0.3">
      <c r="A1273">
        <v>1272</v>
      </c>
      <c r="B1273">
        <v>1024</v>
      </c>
      <c r="C1273">
        <v>63</v>
      </c>
      <c r="D1273" t="s">
        <v>505</v>
      </c>
      <c r="E1273">
        <f t="shared" si="57"/>
        <v>2023</v>
      </c>
      <c r="F1273" t="str">
        <f t="shared" si="58"/>
        <v>Aug</v>
      </c>
      <c r="G1273">
        <v>2</v>
      </c>
      <c r="H1273">
        <f>_xlfn.XLOOKUP(C1273,Products!A:A,Products!D:D)</f>
        <v>309.79000000000002</v>
      </c>
      <c r="I1273">
        <v>0</v>
      </c>
      <c r="J1273">
        <f t="shared" si="59"/>
        <v>619.58000000000004</v>
      </c>
      <c r="K1273" t="s">
        <v>2015</v>
      </c>
      <c r="L1273" t="str">
        <f>_xlfn.XLOOKUP(Orders[[#This Row],[ProductID]],Products!A:A,Products!C:C)</f>
        <v>Electronics</v>
      </c>
    </row>
    <row r="1274" spans="1:12" x14ac:dyDescent="0.3">
      <c r="A1274">
        <v>1273</v>
      </c>
      <c r="B1274">
        <v>1024</v>
      </c>
      <c r="C1274">
        <v>48</v>
      </c>
      <c r="D1274" t="s">
        <v>410</v>
      </c>
      <c r="E1274">
        <f t="shared" si="57"/>
        <v>2023</v>
      </c>
      <c r="F1274" t="str">
        <f t="shared" si="58"/>
        <v>May</v>
      </c>
      <c r="G1274">
        <v>2</v>
      </c>
      <c r="H1274">
        <f>_xlfn.XLOOKUP(C1274,Products!A:A,Products!D:D)</f>
        <v>1125.8499999999999</v>
      </c>
      <c r="I1274">
        <v>10</v>
      </c>
      <c r="J1274">
        <f t="shared" si="59"/>
        <v>2026.53</v>
      </c>
      <c r="K1274" t="s">
        <v>2024</v>
      </c>
      <c r="L1274" t="str">
        <f>_xlfn.XLOOKUP(Orders[[#This Row],[ProductID]],Products!A:A,Products!C:C)</f>
        <v>Clothing</v>
      </c>
    </row>
    <row r="1275" spans="1:12" x14ac:dyDescent="0.3">
      <c r="A1275">
        <v>1274</v>
      </c>
      <c r="B1275">
        <v>1025</v>
      </c>
      <c r="C1275">
        <v>4</v>
      </c>
      <c r="D1275" t="s">
        <v>597</v>
      </c>
      <c r="E1275">
        <f t="shared" si="57"/>
        <v>2023</v>
      </c>
      <c r="F1275" t="str">
        <f t="shared" si="58"/>
        <v>Oct</v>
      </c>
      <c r="G1275">
        <v>2</v>
      </c>
      <c r="H1275">
        <f>_xlfn.XLOOKUP(C1275,Products!A:A,Products!D:D)</f>
        <v>800.26</v>
      </c>
      <c r="I1275">
        <v>5</v>
      </c>
      <c r="J1275">
        <f t="shared" si="59"/>
        <v>1520.4939999999999</v>
      </c>
      <c r="K1275" t="s">
        <v>2024</v>
      </c>
      <c r="L1275" t="str">
        <f>_xlfn.XLOOKUP(Orders[[#This Row],[ProductID]],Products!A:A,Products!C:C)</f>
        <v>Electronics</v>
      </c>
    </row>
    <row r="1276" spans="1:12" x14ac:dyDescent="0.3">
      <c r="A1276">
        <v>1275</v>
      </c>
      <c r="B1276">
        <v>1025</v>
      </c>
      <c r="C1276">
        <v>46</v>
      </c>
      <c r="D1276" t="s">
        <v>922</v>
      </c>
      <c r="E1276">
        <f t="shared" si="57"/>
        <v>2023</v>
      </c>
      <c r="F1276" t="str">
        <f t="shared" si="58"/>
        <v>Aug</v>
      </c>
      <c r="G1276">
        <v>1</v>
      </c>
      <c r="H1276">
        <f>_xlfn.XLOOKUP(C1276,Products!A:A,Products!D:D)</f>
        <v>1155.3</v>
      </c>
      <c r="I1276">
        <v>15</v>
      </c>
      <c r="J1276">
        <f t="shared" si="59"/>
        <v>982.00499999999988</v>
      </c>
      <c r="K1276" t="s">
        <v>2024</v>
      </c>
      <c r="L1276" t="str">
        <f>_xlfn.XLOOKUP(Orders[[#This Row],[ProductID]],Products!A:A,Products!C:C)</f>
        <v>Beauty</v>
      </c>
    </row>
    <row r="1277" spans="1:12" x14ac:dyDescent="0.3">
      <c r="A1277">
        <v>1276</v>
      </c>
      <c r="B1277">
        <v>1025</v>
      </c>
      <c r="C1277">
        <v>39</v>
      </c>
      <c r="D1277" t="s">
        <v>432</v>
      </c>
      <c r="E1277">
        <f t="shared" si="57"/>
        <v>2023</v>
      </c>
      <c r="F1277" t="str">
        <f t="shared" si="58"/>
        <v>Nov</v>
      </c>
      <c r="G1277">
        <v>1</v>
      </c>
      <c r="H1277">
        <f>_xlfn.XLOOKUP(C1277,Products!A:A,Products!D:D)</f>
        <v>256.08999999999997</v>
      </c>
      <c r="I1277">
        <v>20</v>
      </c>
      <c r="J1277">
        <f t="shared" si="59"/>
        <v>204.87199999999999</v>
      </c>
      <c r="K1277" t="s">
        <v>2019</v>
      </c>
      <c r="L1277" t="str">
        <f>_xlfn.XLOOKUP(Orders[[#This Row],[ProductID]],Products!A:A,Products!C:C)</f>
        <v>Clothing</v>
      </c>
    </row>
    <row r="1278" spans="1:12" x14ac:dyDescent="0.3">
      <c r="A1278">
        <v>1277</v>
      </c>
      <c r="B1278">
        <v>1025</v>
      </c>
      <c r="C1278">
        <v>46</v>
      </c>
      <c r="D1278" t="s">
        <v>2069</v>
      </c>
      <c r="E1278">
        <f t="shared" si="57"/>
        <v>2024</v>
      </c>
      <c r="F1278" t="str">
        <f t="shared" si="58"/>
        <v>Jan</v>
      </c>
      <c r="G1278">
        <v>1</v>
      </c>
      <c r="H1278">
        <f>_xlfn.XLOOKUP(C1278,Products!A:A,Products!D:D)</f>
        <v>1155.3</v>
      </c>
      <c r="I1278">
        <v>20</v>
      </c>
      <c r="J1278">
        <f t="shared" si="59"/>
        <v>924.24</v>
      </c>
      <c r="K1278" t="s">
        <v>2017</v>
      </c>
      <c r="L1278" t="str">
        <f>_xlfn.XLOOKUP(Orders[[#This Row],[ProductID]],Products!A:A,Products!C:C)</f>
        <v>Beauty</v>
      </c>
    </row>
    <row r="1279" spans="1:12" x14ac:dyDescent="0.3">
      <c r="A1279">
        <v>1278</v>
      </c>
      <c r="B1279">
        <v>1026</v>
      </c>
      <c r="C1279">
        <v>32</v>
      </c>
      <c r="D1279" t="s">
        <v>497</v>
      </c>
      <c r="E1279">
        <f t="shared" si="57"/>
        <v>2023</v>
      </c>
      <c r="F1279" t="str">
        <f t="shared" si="58"/>
        <v>Mar</v>
      </c>
      <c r="G1279">
        <v>1</v>
      </c>
      <c r="H1279">
        <f>_xlfn.XLOOKUP(C1279,Products!A:A,Products!D:D)</f>
        <v>342.57</v>
      </c>
      <c r="I1279">
        <v>20</v>
      </c>
      <c r="J1279">
        <f t="shared" si="59"/>
        <v>274.05599999999998</v>
      </c>
      <c r="K1279" t="s">
        <v>2019</v>
      </c>
      <c r="L1279" t="str">
        <f>_xlfn.XLOOKUP(Orders[[#This Row],[ProductID]],Products!A:A,Products!C:C)</f>
        <v>Clothing</v>
      </c>
    </row>
    <row r="1280" spans="1:12" x14ac:dyDescent="0.3">
      <c r="A1280">
        <v>1279</v>
      </c>
      <c r="B1280">
        <v>1026</v>
      </c>
      <c r="C1280">
        <v>17</v>
      </c>
      <c r="D1280" t="s">
        <v>2110</v>
      </c>
      <c r="E1280">
        <f t="shared" si="57"/>
        <v>2024</v>
      </c>
      <c r="F1280" t="str">
        <f t="shared" si="58"/>
        <v>Jan</v>
      </c>
      <c r="G1280">
        <v>1</v>
      </c>
      <c r="H1280">
        <f>_xlfn.XLOOKUP(C1280,Products!A:A,Products!D:D)</f>
        <v>695.6</v>
      </c>
      <c r="I1280">
        <v>15</v>
      </c>
      <c r="J1280">
        <f t="shared" si="59"/>
        <v>591.26</v>
      </c>
      <c r="K1280" t="s">
        <v>2017</v>
      </c>
      <c r="L1280" t="str">
        <f>_xlfn.XLOOKUP(Orders[[#This Row],[ProductID]],Products!A:A,Products!C:C)</f>
        <v>Clothing</v>
      </c>
    </row>
    <row r="1281" spans="1:12" x14ac:dyDescent="0.3">
      <c r="A1281">
        <v>1280</v>
      </c>
      <c r="B1281">
        <v>1026</v>
      </c>
      <c r="C1281">
        <v>36</v>
      </c>
      <c r="D1281" t="s">
        <v>2049</v>
      </c>
      <c r="E1281">
        <f t="shared" si="57"/>
        <v>2023</v>
      </c>
      <c r="F1281" t="str">
        <f t="shared" si="58"/>
        <v>Jun</v>
      </c>
      <c r="G1281">
        <v>2</v>
      </c>
      <c r="H1281">
        <f>_xlfn.XLOOKUP(C1281,Products!A:A,Products!D:D)</f>
        <v>992.01</v>
      </c>
      <c r="I1281">
        <v>20</v>
      </c>
      <c r="J1281">
        <f t="shared" si="59"/>
        <v>1587.2160000000001</v>
      </c>
      <c r="K1281" t="s">
        <v>2021</v>
      </c>
      <c r="L1281" t="str">
        <f>_xlfn.XLOOKUP(Orders[[#This Row],[ProductID]],Products!A:A,Products!C:C)</f>
        <v>Beauty</v>
      </c>
    </row>
    <row r="1282" spans="1:12" x14ac:dyDescent="0.3">
      <c r="A1282">
        <v>1281</v>
      </c>
      <c r="B1282">
        <v>1027</v>
      </c>
      <c r="C1282">
        <v>68</v>
      </c>
      <c r="D1282" t="s">
        <v>73</v>
      </c>
      <c r="E1282">
        <f t="shared" si="57"/>
        <v>2023</v>
      </c>
      <c r="F1282" t="str">
        <f t="shared" si="58"/>
        <v>Oct</v>
      </c>
      <c r="G1282">
        <v>2</v>
      </c>
      <c r="H1282">
        <f>_xlfn.XLOOKUP(C1282,Products!A:A,Products!D:D)</f>
        <v>180.99</v>
      </c>
      <c r="I1282">
        <v>0</v>
      </c>
      <c r="J1282">
        <f t="shared" si="59"/>
        <v>361.98</v>
      </c>
      <c r="K1282" t="s">
        <v>2019</v>
      </c>
      <c r="L1282" t="str">
        <f>_xlfn.XLOOKUP(Orders[[#This Row],[ProductID]],Products!A:A,Products!C:C)</f>
        <v>Clothing</v>
      </c>
    </row>
    <row r="1283" spans="1:12" x14ac:dyDescent="0.3">
      <c r="A1283">
        <v>1282</v>
      </c>
      <c r="B1283">
        <v>1027</v>
      </c>
      <c r="C1283">
        <v>42</v>
      </c>
      <c r="D1283" t="s">
        <v>397</v>
      </c>
      <c r="E1283">
        <f t="shared" ref="E1283:E1346" si="60">YEAR(D1283)</f>
        <v>2023</v>
      </c>
      <c r="F1283" t="str">
        <f t="shared" ref="F1283:F1346" si="61">TEXT(D1283,"mmm")</f>
        <v>Jul</v>
      </c>
      <c r="G1283">
        <v>1</v>
      </c>
      <c r="H1283">
        <f>_xlfn.XLOOKUP(C1283,Products!A:A,Products!D:D)</f>
        <v>233.11</v>
      </c>
      <c r="I1283">
        <v>5</v>
      </c>
      <c r="J1283">
        <f t="shared" ref="J1283:J1346" si="62">G1283*H1283*(1-I1283/100)</f>
        <v>221.4545</v>
      </c>
      <c r="K1283" t="s">
        <v>2015</v>
      </c>
      <c r="L1283" t="str">
        <f>_xlfn.XLOOKUP(Orders[[#This Row],[ProductID]],Products!A:A,Products!C:C)</f>
        <v>Home</v>
      </c>
    </row>
    <row r="1284" spans="1:12" x14ac:dyDescent="0.3">
      <c r="A1284">
        <v>1283</v>
      </c>
      <c r="B1284">
        <v>1027</v>
      </c>
      <c r="C1284">
        <v>13</v>
      </c>
      <c r="D1284" t="s">
        <v>1339</v>
      </c>
      <c r="E1284">
        <f t="shared" si="60"/>
        <v>2023</v>
      </c>
      <c r="F1284" t="str">
        <f t="shared" si="61"/>
        <v>Jul</v>
      </c>
      <c r="G1284">
        <v>3</v>
      </c>
      <c r="H1284">
        <f>_xlfn.XLOOKUP(C1284,Products!A:A,Products!D:D)</f>
        <v>334.61</v>
      </c>
      <c r="I1284">
        <v>0</v>
      </c>
      <c r="J1284">
        <f t="shared" si="62"/>
        <v>1003.83</v>
      </c>
      <c r="K1284" t="s">
        <v>2024</v>
      </c>
      <c r="L1284" t="str">
        <f>_xlfn.XLOOKUP(Orders[[#This Row],[ProductID]],Products!A:A,Products!C:C)</f>
        <v>Home</v>
      </c>
    </row>
    <row r="1285" spans="1:12" x14ac:dyDescent="0.3">
      <c r="A1285">
        <v>1284</v>
      </c>
      <c r="B1285">
        <v>1028</v>
      </c>
      <c r="C1285">
        <v>39</v>
      </c>
      <c r="D1285" t="s">
        <v>1110</v>
      </c>
      <c r="E1285">
        <f t="shared" si="60"/>
        <v>2023</v>
      </c>
      <c r="F1285" t="str">
        <f t="shared" si="61"/>
        <v>Aug</v>
      </c>
      <c r="G1285">
        <v>2</v>
      </c>
      <c r="H1285">
        <f>_xlfn.XLOOKUP(C1285,Products!A:A,Products!D:D)</f>
        <v>256.08999999999997</v>
      </c>
      <c r="I1285">
        <v>0</v>
      </c>
      <c r="J1285">
        <f t="shared" si="62"/>
        <v>512.17999999999995</v>
      </c>
      <c r="K1285" t="s">
        <v>2021</v>
      </c>
      <c r="L1285" t="str">
        <f>_xlfn.XLOOKUP(Orders[[#This Row],[ProductID]],Products!A:A,Products!C:C)</f>
        <v>Clothing</v>
      </c>
    </row>
    <row r="1286" spans="1:12" x14ac:dyDescent="0.3">
      <c r="A1286">
        <v>1285</v>
      </c>
      <c r="B1286">
        <v>1028</v>
      </c>
      <c r="C1286">
        <v>33</v>
      </c>
      <c r="D1286" t="s">
        <v>2146</v>
      </c>
      <c r="E1286">
        <f t="shared" si="60"/>
        <v>2024</v>
      </c>
      <c r="F1286" t="str">
        <f t="shared" si="61"/>
        <v>Jan</v>
      </c>
      <c r="G1286">
        <v>3</v>
      </c>
      <c r="H1286">
        <f>_xlfn.XLOOKUP(C1286,Products!A:A,Products!D:D)</f>
        <v>965.4</v>
      </c>
      <c r="I1286">
        <v>0</v>
      </c>
      <c r="J1286">
        <f t="shared" si="62"/>
        <v>2896.2</v>
      </c>
      <c r="K1286" t="s">
        <v>2017</v>
      </c>
      <c r="L1286" t="str">
        <f>_xlfn.XLOOKUP(Orders[[#This Row],[ProductID]],Products!A:A,Products!C:C)</f>
        <v>Beauty</v>
      </c>
    </row>
    <row r="1287" spans="1:12" x14ac:dyDescent="0.3">
      <c r="A1287">
        <v>1286</v>
      </c>
      <c r="B1287">
        <v>1028</v>
      </c>
      <c r="C1287">
        <v>15</v>
      </c>
      <c r="D1287" t="s">
        <v>2099</v>
      </c>
      <c r="E1287">
        <f t="shared" si="60"/>
        <v>2024</v>
      </c>
      <c r="F1287" t="str">
        <f t="shared" si="61"/>
        <v>Feb</v>
      </c>
      <c r="G1287">
        <v>1</v>
      </c>
      <c r="H1287">
        <f>_xlfn.XLOOKUP(C1287,Products!A:A,Products!D:D)</f>
        <v>1183.2</v>
      </c>
      <c r="I1287">
        <v>20</v>
      </c>
      <c r="J1287">
        <f t="shared" si="62"/>
        <v>946.56000000000006</v>
      </c>
      <c r="K1287" t="s">
        <v>2024</v>
      </c>
      <c r="L1287" t="str">
        <f>_xlfn.XLOOKUP(Orders[[#This Row],[ProductID]],Products!A:A,Products!C:C)</f>
        <v>Electronics</v>
      </c>
    </row>
    <row r="1288" spans="1:12" x14ac:dyDescent="0.3">
      <c r="A1288">
        <v>1287</v>
      </c>
      <c r="B1288">
        <v>1029</v>
      </c>
      <c r="C1288">
        <v>39</v>
      </c>
      <c r="D1288" t="s">
        <v>214</v>
      </c>
      <c r="E1288">
        <f t="shared" si="60"/>
        <v>2023</v>
      </c>
      <c r="F1288" t="str">
        <f t="shared" si="61"/>
        <v>Nov</v>
      </c>
      <c r="G1288">
        <v>3</v>
      </c>
      <c r="H1288">
        <f>_xlfn.XLOOKUP(C1288,Products!A:A,Products!D:D)</f>
        <v>256.08999999999997</v>
      </c>
      <c r="I1288">
        <v>20</v>
      </c>
      <c r="J1288">
        <f t="shared" si="62"/>
        <v>614.61599999999999</v>
      </c>
      <c r="K1288" t="s">
        <v>2021</v>
      </c>
      <c r="L1288" t="str">
        <f>_xlfn.XLOOKUP(Orders[[#This Row],[ProductID]],Products!A:A,Products!C:C)</f>
        <v>Clothing</v>
      </c>
    </row>
    <row r="1289" spans="1:12" x14ac:dyDescent="0.3">
      <c r="A1289">
        <v>1288</v>
      </c>
      <c r="B1289">
        <v>1029</v>
      </c>
      <c r="C1289">
        <v>7</v>
      </c>
      <c r="D1289" t="s">
        <v>802</v>
      </c>
      <c r="E1289">
        <f t="shared" si="60"/>
        <v>2023</v>
      </c>
      <c r="F1289" t="str">
        <f t="shared" si="61"/>
        <v>Jul</v>
      </c>
      <c r="G1289">
        <v>3</v>
      </c>
      <c r="H1289">
        <f>_xlfn.XLOOKUP(C1289,Products!A:A,Products!D:D)</f>
        <v>97.29</v>
      </c>
      <c r="I1289">
        <v>15</v>
      </c>
      <c r="J1289">
        <f t="shared" si="62"/>
        <v>248.08949999999999</v>
      </c>
      <c r="K1289" t="s">
        <v>2021</v>
      </c>
      <c r="L1289" t="str">
        <f>_xlfn.XLOOKUP(Orders[[#This Row],[ProductID]],Products!A:A,Products!C:C)</f>
        <v>Beauty</v>
      </c>
    </row>
    <row r="1290" spans="1:12" x14ac:dyDescent="0.3">
      <c r="A1290">
        <v>1289</v>
      </c>
      <c r="B1290">
        <v>1029</v>
      </c>
      <c r="C1290">
        <v>56</v>
      </c>
      <c r="D1290" t="s">
        <v>1100</v>
      </c>
      <c r="E1290">
        <f t="shared" si="60"/>
        <v>2023</v>
      </c>
      <c r="F1290" t="str">
        <f t="shared" si="61"/>
        <v>May</v>
      </c>
      <c r="G1290">
        <v>3</v>
      </c>
      <c r="H1290">
        <f>_xlfn.XLOOKUP(C1290,Products!A:A,Products!D:D)</f>
        <v>396.01</v>
      </c>
      <c r="I1290">
        <v>5</v>
      </c>
      <c r="J1290">
        <f t="shared" si="62"/>
        <v>1128.6285</v>
      </c>
      <c r="K1290" t="s">
        <v>2024</v>
      </c>
      <c r="L1290" t="str">
        <f>_xlfn.XLOOKUP(Orders[[#This Row],[ProductID]],Products!A:A,Products!C:C)</f>
        <v>Home</v>
      </c>
    </row>
    <row r="1291" spans="1:12" x14ac:dyDescent="0.3">
      <c r="A1291">
        <v>1290</v>
      </c>
      <c r="B1291">
        <v>1029</v>
      </c>
      <c r="C1291">
        <v>65</v>
      </c>
      <c r="D1291" t="s">
        <v>2202</v>
      </c>
      <c r="E1291">
        <f t="shared" si="60"/>
        <v>2023</v>
      </c>
      <c r="F1291" t="str">
        <f t="shared" si="61"/>
        <v>Dec</v>
      </c>
      <c r="G1291">
        <v>1</v>
      </c>
      <c r="H1291">
        <f>_xlfn.XLOOKUP(C1291,Products!A:A,Products!D:D)</f>
        <v>1189.73</v>
      </c>
      <c r="I1291">
        <v>20</v>
      </c>
      <c r="J1291">
        <f t="shared" si="62"/>
        <v>951.78400000000011</v>
      </c>
      <c r="K1291" t="s">
        <v>2017</v>
      </c>
      <c r="L1291" t="str">
        <f>_xlfn.XLOOKUP(Orders[[#This Row],[ProductID]],Products!A:A,Products!C:C)</f>
        <v>Home</v>
      </c>
    </row>
    <row r="1292" spans="1:12" x14ac:dyDescent="0.3">
      <c r="A1292">
        <v>1291</v>
      </c>
      <c r="B1292">
        <v>1030</v>
      </c>
      <c r="C1292">
        <v>24</v>
      </c>
      <c r="D1292" t="s">
        <v>2137</v>
      </c>
      <c r="E1292">
        <f t="shared" si="60"/>
        <v>2023</v>
      </c>
      <c r="F1292" t="str">
        <f t="shared" si="61"/>
        <v>Dec</v>
      </c>
      <c r="G1292">
        <v>2</v>
      </c>
      <c r="H1292">
        <f>_xlfn.XLOOKUP(C1292,Products!A:A,Products!D:D)</f>
        <v>1019.85</v>
      </c>
      <c r="I1292">
        <v>10</v>
      </c>
      <c r="J1292">
        <f t="shared" si="62"/>
        <v>1835.73</v>
      </c>
      <c r="K1292" t="s">
        <v>2019</v>
      </c>
      <c r="L1292" t="str">
        <f>_xlfn.XLOOKUP(Orders[[#This Row],[ProductID]],Products!A:A,Products!C:C)</f>
        <v>Beauty</v>
      </c>
    </row>
    <row r="1293" spans="1:12" x14ac:dyDescent="0.3">
      <c r="A1293">
        <v>1292</v>
      </c>
      <c r="B1293">
        <v>1030</v>
      </c>
      <c r="C1293">
        <v>53</v>
      </c>
      <c r="D1293" t="s">
        <v>197</v>
      </c>
      <c r="E1293">
        <f t="shared" si="60"/>
        <v>2023</v>
      </c>
      <c r="F1293" t="str">
        <f t="shared" si="61"/>
        <v>Apr</v>
      </c>
      <c r="G1293">
        <v>1</v>
      </c>
      <c r="H1293">
        <f>_xlfn.XLOOKUP(C1293,Products!A:A,Products!D:D)</f>
        <v>194.34</v>
      </c>
      <c r="I1293">
        <v>15</v>
      </c>
      <c r="J1293">
        <f t="shared" si="62"/>
        <v>165.18899999999999</v>
      </c>
      <c r="K1293" t="s">
        <v>2021</v>
      </c>
      <c r="L1293" t="str">
        <f>_xlfn.XLOOKUP(Orders[[#This Row],[ProductID]],Products!A:A,Products!C:C)</f>
        <v>Home</v>
      </c>
    </row>
    <row r="1294" spans="1:12" x14ac:dyDescent="0.3">
      <c r="A1294">
        <v>1293</v>
      </c>
      <c r="B1294">
        <v>1030</v>
      </c>
      <c r="C1294">
        <v>36</v>
      </c>
      <c r="D1294" t="s">
        <v>303</v>
      </c>
      <c r="E1294">
        <f t="shared" si="60"/>
        <v>2023</v>
      </c>
      <c r="F1294" t="str">
        <f t="shared" si="61"/>
        <v>May</v>
      </c>
      <c r="G1294">
        <v>2</v>
      </c>
      <c r="H1294">
        <f>_xlfn.XLOOKUP(C1294,Products!A:A,Products!D:D)</f>
        <v>992.01</v>
      </c>
      <c r="I1294">
        <v>20</v>
      </c>
      <c r="J1294">
        <f t="shared" si="62"/>
        <v>1587.2160000000001</v>
      </c>
      <c r="K1294" t="s">
        <v>2024</v>
      </c>
      <c r="L1294" t="str">
        <f>_xlfn.XLOOKUP(Orders[[#This Row],[ProductID]],Products!A:A,Products!C:C)</f>
        <v>Beauty</v>
      </c>
    </row>
    <row r="1295" spans="1:12" x14ac:dyDescent="0.3">
      <c r="A1295">
        <v>1294</v>
      </c>
      <c r="B1295">
        <v>1030</v>
      </c>
      <c r="C1295">
        <v>13</v>
      </c>
      <c r="D1295" t="s">
        <v>116</v>
      </c>
      <c r="E1295">
        <f t="shared" si="60"/>
        <v>2023</v>
      </c>
      <c r="F1295" t="str">
        <f t="shared" si="61"/>
        <v>Apr</v>
      </c>
      <c r="G1295">
        <v>1</v>
      </c>
      <c r="H1295">
        <f>_xlfn.XLOOKUP(C1295,Products!A:A,Products!D:D)</f>
        <v>334.61</v>
      </c>
      <c r="I1295">
        <v>0</v>
      </c>
      <c r="J1295">
        <f t="shared" si="62"/>
        <v>334.61</v>
      </c>
      <c r="K1295" t="s">
        <v>2024</v>
      </c>
      <c r="L1295" t="str">
        <f>_xlfn.XLOOKUP(Orders[[#This Row],[ProductID]],Products!A:A,Products!C:C)</f>
        <v>Home</v>
      </c>
    </row>
    <row r="1296" spans="1:12" x14ac:dyDescent="0.3">
      <c r="A1296">
        <v>1295</v>
      </c>
      <c r="B1296">
        <v>1031</v>
      </c>
      <c r="C1296">
        <v>29</v>
      </c>
      <c r="D1296" t="s">
        <v>2221</v>
      </c>
      <c r="E1296">
        <f t="shared" si="60"/>
        <v>2023</v>
      </c>
      <c r="F1296" t="str">
        <f t="shared" si="61"/>
        <v>Feb</v>
      </c>
      <c r="G1296">
        <v>3</v>
      </c>
      <c r="H1296">
        <f>_xlfn.XLOOKUP(C1296,Products!A:A,Products!D:D)</f>
        <v>757</v>
      </c>
      <c r="I1296">
        <v>10</v>
      </c>
      <c r="J1296">
        <f t="shared" si="62"/>
        <v>2043.9</v>
      </c>
      <c r="K1296" t="s">
        <v>2015</v>
      </c>
      <c r="L1296" t="str">
        <f>_xlfn.XLOOKUP(Orders[[#This Row],[ProductID]],Products!A:A,Products!C:C)</f>
        <v>Clothing</v>
      </c>
    </row>
    <row r="1297" spans="1:12" x14ac:dyDescent="0.3">
      <c r="A1297">
        <v>1296</v>
      </c>
      <c r="B1297">
        <v>1031</v>
      </c>
      <c r="C1297">
        <v>59</v>
      </c>
      <c r="D1297" t="s">
        <v>2079</v>
      </c>
      <c r="E1297">
        <f t="shared" si="60"/>
        <v>2023</v>
      </c>
      <c r="F1297" t="str">
        <f t="shared" si="61"/>
        <v>Oct</v>
      </c>
      <c r="G1297">
        <v>2</v>
      </c>
      <c r="H1297">
        <f>_xlfn.XLOOKUP(C1297,Products!A:A,Products!D:D)</f>
        <v>782.33</v>
      </c>
      <c r="I1297">
        <v>20</v>
      </c>
      <c r="J1297">
        <f t="shared" si="62"/>
        <v>1251.7280000000001</v>
      </c>
      <c r="K1297" t="s">
        <v>2024</v>
      </c>
      <c r="L1297" t="str">
        <f>_xlfn.XLOOKUP(Orders[[#This Row],[ProductID]],Products!A:A,Products!C:C)</f>
        <v>Clothing</v>
      </c>
    </row>
    <row r="1298" spans="1:12" x14ac:dyDescent="0.3">
      <c r="A1298">
        <v>1297</v>
      </c>
      <c r="B1298">
        <v>1031</v>
      </c>
      <c r="C1298">
        <v>70</v>
      </c>
      <c r="D1298" t="s">
        <v>2135</v>
      </c>
      <c r="E1298">
        <f t="shared" si="60"/>
        <v>2023</v>
      </c>
      <c r="F1298" t="str">
        <f t="shared" si="61"/>
        <v>Jul</v>
      </c>
      <c r="G1298">
        <v>2</v>
      </c>
      <c r="H1298">
        <f>_xlfn.XLOOKUP(C1298,Products!A:A,Products!D:D)</f>
        <v>797.23</v>
      </c>
      <c r="I1298">
        <v>20</v>
      </c>
      <c r="J1298">
        <f t="shared" si="62"/>
        <v>1275.5680000000002</v>
      </c>
      <c r="K1298" t="s">
        <v>2019</v>
      </c>
      <c r="L1298" t="str">
        <f>_xlfn.XLOOKUP(Orders[[#This Row],[ProductID]],Products!A:A,Products!C:C)</f>
        <v>Clothing</v>
      </c>
    </row>
    <row r="1299" spans="1:12" x14ac:dyDescent="0.3">
      <c r="A1299">
        <v>1298</v>
      </c>
      <c r="B1299">
        <v>1031</v>
      </c>
      <c r="C1299">
        <v>44</v>
      </c>
      <c r="D1299" t="s">
        <v>623</v>
      </c>
      <c r="E1299">
        <f t="shared" si="60"/>
        <v>2023</v>
      </c>
      <c r="F1299" t="str">
        <f t="shared" si="61"/>
        <v>Jun</v>
      </c>
      <c r="G1299">
        <v>2</v>
      </c>
      <c r="H1299">
        <f>_xlfn.XLOOKUP(C1299,Products!A:A,Products!D:D)</f>
        <v>1038</v>
      </c>
      <c r="I1299">
        <v>10</v>
      </c>
      <c r="J1299">
        <f t="shared" si="62"/>
        <v>1868.4</v>
      </c>
      <c r="K1299" t="s">
        <v>2017</v>
      </c>
      <c r="L1299" t="str">
        <f>_xlfn.XLOOKUP(Orders[[#This Row],[ProductID]],Products!A:A,Products!C:C)</f>
        <v>Home</v>
      </c>
    </row>
    <row r="1300" spans="1:12" x14ac:dyDescent="0.3">
      <c r="A1300">
        <v>1299</v>
      </c>
      <c r="B1300">
        <v>1032</v>
      </c>
      <c r="C1300">
        <v>20</v>
      </c>
      <c r="D1300" t="s">
        <v>453</v>
      </c>
      <c r="E1300">
        <f t="shared" si="60"/>
        <v>2023</v>
      </c>
      <c r="F1300" t="str">
        <f t="shared" si="61"/>
        <v>Aug</v>
      </c>
      <c r="G1300">
        <v>3</v>
      </c>
      <c r="H1300">
        <f>_xlfn.XLOOKUP(C1300,Products!A:A,Products!D:D)</f>
        <v>613.27</v>
      </c>
      <c r="I1300">
        <v>15</v>
      </c>
      <c r="J1300">
        <f t="shared" si="62"/>
        <v>1563.8384999999998</v>
      </c>
      <c r="K1300" t="s">
        <v>2021</v>
      </c>
      <c r="L1300" t="str">
        <f>_xlfn.XLOOKUP(Orders[[#This Row],[ProductID]],Products!A:A,Products!C:C)</f>
        <v>Home</v>
      </c>
    </row>
    <row r="1301" spans="1:12" x14ac:dyDescent="0.3">
      <c r="A1301">
        <v>1300</v>
      </c>
      <c r="B1301">
        <v>1032</v>
      </c>
      <c r="C1301">
        <v>69</v>
      </c>
      <c r="D1301" t="s">
        <v>2065</v>
      </c>
      <c r="E1301">
        <f t="shared" si="60"/>
        <v>2023</v>
      </c>
      <c r="F1301" t="str">
        <f t="shared" si="61"/>
        <v>Dec</v>
      </c>
      <c r="G1301">
        <v>1</v>
      </c>
      <c r="H1301">
        <f>_xlfn.XLOOKUP(C1301,Products!A:A,Products!D:D)</f>
        <v>951.81</v>
      </c>
      <c r="I1301">
        <v>15</v>
      </c>
      <c r="J1301">
        <f t="shared" si="62"/>
        <v>809.03849999999989</v>
      </c>
      <c r="K1301" t="s">
        <v>2024</v>
      </c>
      <c r="L1301" t="str">
        <f>_xlfn.XLOOKUP(Orders[[#This Row],[ProductID]],Products!A:A,Products!C:C)</f>
        <v>Clothing</v>
      </c>
    </row>
    <row r="1302" spans="1:12" x14ac:dyDescent="0.3">
      <c r="A1302">
        <v>1301</v>
      </c>
      <c r="B1302">
        <v>1032</v>
      </c>
      <c r="C1302">
        <v>52</v>
      </c>
      <c r="D1302" t="s">
        <v>536</v>
      </c>
      <c r="E1302">
        <f t="shared" si="60"/>
        <v>2023</v>
      </c>
      <c r="F1302" t="str">
        <f t="shared" si="61"/>
        <v>Jan</v>
      </c>
      <c r="G1302">
        <v>3</v>
      </c>
      <c r="H1302">
        <f>_xlfn.XLOOKUP(C1302,Products!A:A,Products!D:D)</f>
        <v>256.76</v>
      </c>
      <c r="I1302">
        <v>20</v>
      </c>
      <c r="J1302">
        <f t="shared" si="62"/>
        <v>616.22400000000005</v>
      </c>
      <c r="K1302" t="s">
        <v>2019</v>
      </c>
      <c r="L1302" t="str">
        <f>_xlfn.XLOOKUP(Orders[[#This Row],[ProductID]],Products!A:A,Products!C:C)</f>
        <v>Home</v>
      </c>
    </row>
    <row r="1303" spans="1:12" x14ac:dyDescent="0.3">
      <c r="A1303">
        <v>1302</v>
      </c>
      <c r="B1303">
        <v>1033</v>
      </c>
      <c r="C1303">
        <v>63</v>
      </c>
      <c r="D1303" t="s">
        <v>1317</v>
      </c>
      <c r="E1303">
        <f t="shared" si="60"/>
        <v>2023</v>
      </c>
      <c r="F1303" t="str">
        <f t="shared" si="61"/>
        <v>Oct</v>
      </c>
      <c r="G1303">
        <v>2</v>
      </c>
      <c r="H1303">
        <f>_xlfn.XLOOKUP(C1303,Products!A:A,Products!D:D)</f>
        <v>309.79000000000002</v>
      </c>
      <c r="I1303">
        <v>0</v>
      </c>
      <c r="J1303">
        <f t="shared" si="62"/>
        <v>619.58000000000004</v>
      </c>
      <c r="K1303" t="s">
        <v>2021</v>
      </c>
      <c r="L1303" t="str">
        <f>_xlfn.XLOOKUP(Orders[[#This Row],[ProductID]],Products!A:A,Products!C:C)</f>
        <v>Electronics</v>
      </c>
    </row>
    <row r="1304" spans="1:12" x14ac:dyDescent="0.3">
      <c r="A1304">
        <v>1303</v>
      </c>
      <c r="B1304">
        <v>1033</v>
      </c>
      <c r="C1304">
        <v>68</v>
      </c>
      <c r="D1304" t="s">
        <v>1347</v>
      </c>
      <c r="E1304">
        <f t="shared" si="60"/>
        <v>2023</v>
      </c>
      <c r="F1304" t="str">
        <f t="shared" si="61"/>
        <v>Jul</v>
      </c>
      <c r="G1304">
        <v>2</v>
      </c>
      <c r="H1304">
        <f>_xlfn.XLOOKUP(C1304,Products!A:A,Products!D:D)</f>
        <v>180.99</v>
      </c>
      <c r="I1304">
        <v>10</v>
      </c>
      <c r="J1304">
        <f t="shared" si="62"/>
        <v>325.78200000000004</v>
      </c>
      <c r="K1304" t="s">
        <v>2024</v>
      </c>
      <c r="L1304" t="str">
        <f>_xlfn.XLOOKUP(Orders[[#This Row],[ProductID]],Products!A:A,Products!C:C)</f>
        <v>Clothing</v>
      </c>
    </row>
    <row r="1305" spans="1:12" x14ac:dyDescent="0.3">
      <c r="A1305">
        <v>1304</v>
      </c>
      <c r="B1305">
        <v>1033</v>
      </c>
      <c r="C1305">
        <v>58</v>
      </c>
      <c r="D1305" t="s">
        <v>2230</v>
      </c>
      <c r="E1305">
        <f t="shared" si="60"/>
        <v>2023</v>
      </c>
      <c r="F1305" t="str">
        <f t="shared" si="61"/>
        <v>Dec</v>
      </c>
      <c r="G1305">
        <v>2</v>
      </c>
      <c r="H1305">
        <f>_xlfn.XLOOKUP(C1305,Products!A:A,Products!D:D)</f>
        <v>334.98</v>
      </c>
      <c r="I1305">
        <v>0</v>
      </c>
      <c r="J1305">
        <f t="shared" si="62"/>
        <v>669.96</v>
      </c>
      <c r="K1305" t="s">
        <v>2021</v>
      </c>
      <c r="L1305" t="str">
        <f>_xlfn.XLOOKUP(Orders[[#This Row],[ProductID]],Products!A:A,Products!C:C)</f>
        <v>Home</v>
      </c>
    </row>
    <row r="1306" spans="1:12" x14ac:dyDescent="0.3">
      <c r="A1306">
        <v>1305</v>
      </c>
      <c r="B1306">
        <v>1033</v>
      </c>
      <c r="C1306">
        <v>80</v>
      </c>
      <c r="D1306" t="s">
        <v>1513</v>
      </c>
      <c r="E1306">
        <f t="shared" si="60"/>
        <v>2023</v>
      </c>
      <c r="F1306" t="str">
        <f t="shared" si="61"/>
        <v>Oct</v>
      </c>
      <c r="G1306">
        <v>1</v>
      </c>
      <c r="H1306">
        <f>_xlfn.XLOOKUP(C1306,Products!A:A,Products!D:D)</f>
        <v>1014.45</v>
      </c>
      <c r="I1306">
        <v>20</v>
      </c>
      <c r="J1306">
        <f t="shared" si="62"/>
        <v>811.56000000000006</v>
      </c>
      <c r="K1306" t="s">
        <v>2024</v>
      </c>
      <c r="L1306" t="str">
        <f>_xlfn.XLOOKUP(Orders[[#This Row],[ProductID]],Products!A:A,Products!C:C)</f>
        <v>Beauty</v>
      </c>
    </row>
    <row r="1307" spans="1:12" x14ac:dyDescent="0.3">
      <c r="A1307">
        <v>1306</v>
      </c>
      <c r="B1307">
        <v>1034</v>
      </c>
      <c r="C1307">
        <v>73</v>
      </c>
      <c r="D1307" t="s">
        <v>458</v>
      </c>
      <c r="E1307">
        <f t="shared" si="60"/>
        <v>2023</v>
      </c>
      <c r="F1307" t="str">
        <f t="shared" si="61"/>
        <v>Aug</v>
      </c>
      <c r="G1307">
        <v>2</v>
      </c>
      <c r="H1307">
        <f>_xlfn.XLOOKUP(C1307,Products!A:A,Products!D:D)</f>
        <v>943.04</v>
      </c>
      <c r="I1307">
        <v>0</v>
      </c>
      <c r="J1307">
        <f t="shared" si="62"/>
        <v>1886.08</v>
      </c>
      <c r="K1307" t="s">
        <v>2024</v>
      </c>
      <c r="L1307" t="str">
        <f>_xlfn.XLOOKUP(Orders[[#This Row],[ProductID]],Products!A:A,Products!C:C)</f>
        <v>Home</v>
      </c>
    </row>
    <row r="1308" spans="1:12" x14ac:dyDescent="0.3">
      <c r="A1308">
        <v>1307</v>
      </c>
      <c r="B1308">
        <v>1034</v>
      </c>
      <c r="C1308">
        <v>72</v>
      </c>
      <c r="D1308" t="s">
        <v>2089</v>
      </c>
      <c r="E1308">
        <f t="shared" si="60"/>
        <v>2024</v>
      </c>
      <c r="F1308" t="str">
        <f t="shared" si="61"/>
        <v>Jan</v>
      </c>
      <c r="G1308">
        <v>2</v>
      </c>
      <c r="H1308">
        <f>_xlfn.XLOOKUP(C1308,Products!A:A,Products!D:D)</f>
        <v>1157.27</v>
      </c>
      <c r="I1308">
        <v>5</v>
      </c>
      <c r="J1308">
        <f t="shared" si="62"/>
        <v>2198.8129999999996</v>
      </c>
      <c r="K1308" t="s">
        <v>2017</v>
      </c>
      <c r="L1308" t="str">
        <f>_xlfn.XLOOKUP(Orders[[#This Row],[ProductID]],Products!A:A,Products!C:C)</f>
        <v>Electronics</v>
      </c>
    </row>
    <row r="1309" spans="1:12" x14ac:dyDescent="0.3">
      <c r="A1309">
        <v>1308</v>
      </c>
      <c r="B1309">
        <v>1034</v>
      </c>
      <c r="C1309">
        <v>69</v>
      </c>
      <c r="D1309" t="s">
        <v>13</v>
      </c>
      <c r="E1309">
        <f t="shared" si="60"/>
        <v>2023</v>
      </c>
      <c r="F1309" t="str">
        <f t="shared" si="61"/>
        <v>Mar</v>
      </c>
      <c r="G1309">
        <v>2</v>
      </c>
      <c r="H1309">
        <f>_xlfn.XLOOKUP(C1309,Products!A:A,Products!D:D)</f>
        <v>951.81</v>
      </c>
      <c r="I1309">
        <v>20</v>
      </c>
      <c r="J1309">
        <f t="shared" si="62"/>
        <v>1522.896</v>
      </c>
      <c r="K1309" t="s">
        <v>2019</v>
      </c>
      <c r="L1309" t="str">
        <f>_xlfn.XLOOKUP(Orders[[#This Row],[ProductID]],Products!A:A,Products!C:C)</f>
        <v>Clothing</v>
      </c>
    </row>
    <row r="1310" spans="1:12" x14ac:dyDescent="0.3">
      <c r="A1310">
        <v>1309</v>
      </c>
      <c r="B1310">
        <v>1035</v>
      </c>
      <c r="C1310">
        <v>13</v>
      </c>
      <c r="D1310" t="s">
        <v>101</v>
      </c>
      <c r="E1310">
        <f t="shared" si="60"/>
        <v>2023</v>
      </c>
      <c r="F1310" t="str">
        <f t="shared" si="61"/>
        <v>Jul</v>
      </c>
      <c r="G1310">
        <v>1</v>
      </c>
      <c r="H1310">
        <f>_xlfn.XLOOKUP(C1310,Products!A:A,Products!D:D)</f>
        <v>334.61</v>
      </c>
      <c r="I1310">
        <v>5</v>
      </c>
      <c r="J1310">
        <f t="shared" si="62"/>
        <v>317.87950000000001</v>
      </c>
      <c r="K1310" t="s">
        <v>2019</v>
      </c>
      <c r="L1310" t="str">
        <f>_xlfn.XLOOKUP(Orders[[#This Row],[ProductID]],Products!A:A,Products!C:C)</f>
        <v>Home</v>
      </c>
    </row>
    <row r="1311" spans="1:12" x14ac:dyDescent="0.3">
      <c r="A1311">
        <v>1310</v>
      </c>
      <c r="B1311">
        <v>1035</v>
      </c>
      <c r="C1311">
        <v>74</v>
      </c>
      <c r="D1311" t="s">
        <v>2217</v>
      </c>
      <c r="E1311">
        <f t="shared" si="60"/>
        <v>2023</v>
      </c>
      <c r="F1311" t="str">
        <f t="shared" si="61"/>
        <v>May</v>
      </c>
      <c r="G1311">
        <v>1</v>
      </c>
      <c r="H1311">
        <f>_xlfn.XLOOKUP(C1311,Products!A:A,Products!D:D)</f>
        <v>1034.31</v>
      </c>
      <c r="I1311">
        <v>5</v>
      </c>
      <c r="J1311">
        <f t="shared" si="62"/>
        <v>982.59449999999993</v>
      </c>
      <c r="K1311" t="s">
        <v>2017</v>
      </c>
      <c r="L1311" t="str">
        <f>_xlfn.XLOOKUP(Orders[[#This Row],[ProductID]],Products!A:A,Products!C:C)</f>
        <v>Electronics</v>
      </c>
    </row>
    <row r="1312" spans="1:12" x14ac:dyDescent="0.3">
      <c r="A1312">
        <v>1311</v>
      </c>
      <c r="B1312">
        <v>1035</v>
      </c>
      <c r="C1312">
        <v>71</v>
      </c>
      <c r="D1312" t="s">
        <v>2113</v>
      </c>
      <c r="E1312">
        <f t="shared" si="60"/>
        <v>2023</v>
      </c>
      <c r="F1312" t="str">
        <f t="shared" si="61"/>
        <v>Jul</v>
      </c>
      <c r="G1312">
        <v>2</v>
      </c>
      <c r="H1312">
        <f>_xlfn.XLOOKUP(C1312,Products!A:A,Products!D:D)</f>
        <v>780.27</v>
      </c>
      <c r="I1312">
        <v>5</v>
      </c>
      <c r="J1312">
        <f t="shared" si="62"/>
        <v>1482.5129999999999</v>
      </c>
      <c r="K1312" t="s">
        <v>2017</v>
      </c>
      <c r="L1312" t="str">
        <f>_xlfn.XLOOKUP(Orders[[#This Row],[ProductID]],Products!A:A,Products!C:C)</f>
        <v>Electronics</v>
      </c>
    </row>
    <row r="1313" spans="1:12" x14ac:dyDescent="0.3">
      <c r="A1313">
        <v>1312</v>
      </c>
      <c r="B1313">
        <v>1036</v>
      </c>
      <c r="C1313">
        <v>77</v>
      </c>
      <c r="D1313" t="s">
        <v>2215</v>
      </c>
      <c r="E1313">
        <f t="shared" si="60"/>
        <v>2023</v>
      </c>
      <c r="F1313" t="str">
        <f t="shared" si="61"/>
        <v>May</v>
      </c>
      <c r="G1313">
        <v>2</v>
      </c>
      <c r="H1313">
        <f>_xlfn.XLOOKUP(C1313,Products!A:A,Products!D:D)</f>
        <v>1078.19</v>
      </c>
      <c r="I1313">
        <v>10</v>
      </c>
      <c r="J1313">
        <f t="shared" si="62"/>
        <v>1940.7420000000002</v>
      </c>
      <c r="K1313" t="s">
        <v>2019</v>
      </c>
      <c r="L1313" t="str">
        <f>_xlfn.XLOOKUP(Orders[[#This Row],[ProductID]],Products!A:A,Products!C:C)</f>
        <v>Home</v>
      </c>
    </row>
    <row r="1314" spans="1:12" x14ac:dyDescent="0.3">
      <c r="A1314">
        <v>1313</v>
      </c>
      <c r="B1314">
        <v>1036</v>
      </c>
      <c r="C1314">
        <v>41</v>
      </c>
      <c r="D1314" t="s">
        <v>1900</v>
      </c>
      <c r="E1314">
        <f t="shared" si="60"/>
        <v>2023</v>
      </c>
      <c r="F1314" t="str">
        <f t="shared" si="61"/>
        <v>Sep</v>
      </c>
      <c r="G1314">
        <v>3</v>
      </c>
      <c r="H1314">
        <f>_xlfn.XLOOKUP(C1314,Products!A:A,Products!D:D)</f>
        <v>554.80999999999995</v>
      </c>
      <c r="I1314">
        <v>20</v>
      </c>
      <c r="J1314">
        <f t="shared" si="62"/>
        <v>1331.5439999999999</v>
      </c>
      <c r="K1314" t="s">
        <v>2017</v>
      </c>
      <c r="L1314" t="str">
        <f>_xlfn.XLOOKUP(Orders[[#This Row],[ProductID]],Products!A:A,Products!C:C)</f>
        <v>Home</v>
      </c>
    </row>
    <row r="1315" spans="1:12" x14ac:dyDescent="0.3">
      <c r="A1315">
        <v>1314</v>
      </c>
      <c r="B1315">
        <v>1036</v>
      </c>
      <c r="C1315">
        <v>29</v>
      </c>
      <c r="D1315" t="s">
        <v>2222</v>
      </c>
      <c r="E1315">
        <f t="shared" si="60"/>
        <v>2024</v>
      </c>
      <c r="F1315" t="str">
        <f t="shared" si="61"/>
        <v>Mar</v>
      </c>
      <c r="G1315">
        <v>2</v>
      </c>
      <c r="H1315">
        <f>_xlfn.XLOOKUP(C1315,Products!A:A,Products!D:D)</f>
        <v>757</v>
      </c>
      <c r="I1315">
        <v>15</v>
      </c>
      <c r="J1315">
        <f t="shared" si="62"/>
        <v>1286.8999999999999</v>
      </c>
      <c r="K1315" t="s">
        <v>2017</v>
      </c>
      <c r="L1315" t="str">
        <f>_xlfn.XLOOKUP(Orders[[#This Row],[ProductID]],Products!A:A,Products!C:C)</f>
        <v>Clothing</v>
      </c>
    </row>
    <row r="1316" spans="1:12" x14ac:dyDescent="0.3">
      <c r="A1316">
        <v>1315</v>
      </c>
      <c r="B1316">
        <v>1037</v>
      </c>
      <c r="C1316">
        <v>37</v>
      </c>
      <c r="D1316" t="s">
        <v>2231</v>
      </c>
      <c r="E1316">
        <f t="shared" si="60"/>
        <v>2024</v>
      </c>
      <c r="F1316" t="str">
        <f t="shared" si="61"/>
        <v>Feb</v>
      </c>
      <c r="G1316">
        <v>2</v>
      </c>
      <c r="H1316">
        <f>_xlfn.XLOOKUP(C1316,Products!A:A,Products!D:D)</f>
        <v>968.87</v>
      </c>
      <c r="I1316">
        <v>5</v>
      </c>
      <c r="J1316">
        <f t="shared" si="62"/>
        <v>1840.8529999999998</v>
      </c>
      <c r="K1316" t="s">
        <v>2021</v>
      </c>
      <c r="L1316" t="str">
        <f>_xlfn.XLOOKUP(Orders[[#This Row],[ProductID]],Products!A:A,Products!C:C)</f>
        <v>Home</v>
      </c>
    </row>
    <row r="1317" spans="1:12" x14ac:dyDescent="0.3">
      <c r="A1317">
        <v>1316</v>
      </c>
      <c r="B1317">
        <v>1037</v>
      </c>
      <c r="C1317">
        <v>52</v>
      </c>
      <c r="D1317" t="s">
        <v>1662</v>
      </c>
      <c r="E1317">
        <f t="shared" si="60"/>
        <v>2023</v>
      </c>
      <c r="F1317" t="str">
        <f t="shared" si="61"/>
        <v>May</v>
      </c>
      <c r="G1317">
        <v>1</v>
      </c>
      <c r="H1317">
        <f>_xlfn.XLOOKUP(C1317,Products!A:A,Products!D:D)</f>
        <v>256.76</v>
      </c>
      <c r="I1317">
        <v>20</v>
      </c>
      <c r="J1317">
        <f t="shared" si="62"/>
        <v>205.40800000000002</v>
      </c>
      <c r="K1317" t="s">
        <v>2024</v>
      </c>
      <c r="L1317" t="str">
        <f>_xlfn.XLOOKUP(Orders[[#This Row],[ProductID]],Products!A:A,Products!C:C)</f>
        <v>Home</v>
      </c>
    </row>
    <row r="1318" spans="1:12" x14ac:dyDescent="0.3">
      <c r="A1318">
        <v>1317</v>
      </c>
      <c r="B1318">
        <v>1037</v>
      </c>
      <c r="C1318">
        <v>60</v>
      </c>
      <c r="D1318" t="s">
        <v>298</v>
      </c>
      <c r="E1318">
        <f t="shared" si="60"/>
        <v>2023</v>
      </c>
      <c r="F1318" t="str">
        <f t="shared" si="61"/>
        <v>Dec</v>
      </c>
      <c r="G1318">
        <v>1</v>
      </c>
      <c r="H1318">
        <f>_xlfn.XLOOKUP(C1318,Products!A:A,Products!D:D)</f>
        <v>830.49</v>
      </c>
      <c r="I1318">
        <v>0</v>
      </c>
      <c r="J1318">
        <f t="shared" si="62"/>
        <v>830.49</v>
      </c>
      <c r="K1318" t="s">
        <v>2017</v>
      </c>
      <c r="L1318" t="str">
        <f>_xlfn.XLOOKUP(Orders[[#This Row],[ProductID]],Products!A:A,Products!C:C)</f>
        <v>Clothing</v>
      </c>
    </row>
    <row r="1319" spans="1:12" x14ac:dyDescent="0.3">
      <c r="A1319">
        <v>1318</v>
      </c>
      <c r="B1319">
        <v>1038</v>
      </c>
      <c r="C1319">
        <v>75</v>
      </c>
      <c r="D1319" t="s">
        <v>1201</v>
      </c>
      <c r="E1319">
        <f t="shared" si="60"/>
        <v>2023</v>
      </c>
      <c r="F1319" t="str">
        <f t="shared" si="61"/>
        <v>Dec</v>
      </c>
      <c r="G1319">
        <v>2</v>
      </c>
      <c r="H1319">
        <f>_xlfn.XLOOKUP(C1319,Products!A:A,Products!D:D)</f>
        <v>390.41</v>
      </c>
      <c r="I1319">
        <v>15</v>
      </c>
      <c r="J1319">
        <f t="shared" si="62"/>
        <v>663.697</v>
      </c>
      <c r="K1319" t="s">
        <v>2017</v>
      </c>
      <c r="L1319" t="str">
        <f>_xlfn.XLOOKUP(Orders[[#This Row],[ProductID]],Products!A:A,Products!C:C)</f>
        <v>Electronics</v>
      </c>
    </row>
    <row r="1320" spans="1:12" x14ac:dyDescent="0.3">
      <c r="A1320">
        <v>1319</v>
      </c>
      <c r="B1320">
        <v>1038</v>
      </c>
      <c r="C1320">
        <v>25</v>
      </c>
      <c r="D1320" t="s">
        <v>432</v>
      </c>
      <c r="E1320">
        <f t="shared" si="60"/>
        <v>2023</v>
      </c>
      <c r="F1320" t="str">
        <f t="shared" si="61"/>
        <v>Nov</v>
      </c>
      <c r="G1320">
        <v>1</v>
      </c>
      <c r="H1320">
        <f>_xlfn.XLOOKUP(C1320,Products!A:A,Products!D:D)</f>
        <v>1011.65</v>
      </c>
      <c r="I1320">
        <v>20</v>
      </c>
      <c r="J1320">
        <f t="shared" si="62"/>
        <v>809.32</v>
      </c>
      <c r="K1320" t="s">
        <v>2021</v>
      </c>
      <c r="L1320" t="str">
        <f>_xlfn.XLOOKUP(Orders[[#This Row],[ProductID]],Products!A:A,Products!C:C)</f>
        <v>Electronics</v>
      </c>
    </row>
    <row r="1321" spans="1:12" x14ac:dyDescent="0.3">
      <c r="A1321">
        <v>1320</v>
      </c>
      <c r="B1321">
        <v>1038</v>
      </c>
      <c r="C1321">
        <v>18</v>
      </c>
      <c r="D1321" t="s">
        <v>301</v>
      </c>
      <c r="E1321">
        <f t="shared" si="60"/>
        <v>2023</v>
      </c>
      <c r="F1321" t="str">
        <f t="shared" si="61"/>
        <v>Nov</v>
      </c>
      <c r="G1321">
        <v>3</v>
      </c>
      <c r="H1321">
        <f>_xlfn.XLOOKUP(C1321,Products!A:A,Products!D:D)</f>
        <v>138.07</v>
      </c>
      <c r="I1321">
        <v>20</v>
      </c>
      <c r="J1321">
        <f t="shared" si="62"/>
        <v>331.36799999999999</v>
      </c>
      <c r="K1321" t="s">
        <v>2019</v>
      </c>
      <c r="L1321" t="str">
        <f>_xlfn.XLOOKUP(Orders[[#This Row],[ProductID]],Products!A:A,Products!C:C)</f>
        <v>Home</v>
      </c>
    </row>
    <row r="1322" spans="1:12" x14ac:dyDescent="0.3">
      <c r="A1322">
        <v>1321</v>
      </c>
      <c r="B1322">
        <v>1039</v>
      </c>
      <c r="C1322">
        <v>77</v>
      </c>
      <c r="D1322" t="s">
        <v>1191</v>
      </c>
      <c r="E1322">
        <f t="shared" si="60"/>
        <v>2023</v>
      </c>
      <c r="F1322" t="str">
        <f t="shared" si="61"/>
        <v>Oct</v>
      </c>
      <c r="G1322">
        <v>3</v>
      </c>
      <c r="H1322">
        <f>_xlfn.XLOOKUP(C1322,Products!A:A,Products!D:D)</f>
        <v>1078.19</v>
      </c>
      <c r="I1322">
        <v>15</v>
      </c>
      <c r="J1322">
        <f t="shared" si="62"/>
        <v>2749.3845000000001</v>
      </c>
      <c r="K1322" t="s">
        <v>2019</v>
      </c>
      <c r="L1322" t="str">
        <f>_xlfn.XLOOKUP(Orders[[#This Row],[ProductID]],Products!A:A,Products!C:C)</f>
        <v>Home</v>
      </c>
    </row>
    <row r="1323" spans="1:12" x14ac:dyDescent="0.3">
      <c r="A1323">
        <v>1322</v>
      </c>
      <c r="B1323">
        <v>1039</v>
      </c>
      <c r="C1323">
        <v>42</v>
      </c>
      <c r="D1323" t="s">
        <v>301</v>
      </c>
      <c r="E1323">
        <f t="shared" si="60"/>
        <v>2023</v>
      </c>
      <c r="F1323" t="str">
        <f t="shared" si="61"/>
        <v>Nov</v>
      </c>
      <c r="G1323">
        <v>1</v>
      </c>
      <c r="H1323">
        <f>_xlfn.XLOOKUP(C1323,Products!A:A,Products!D:D)</f>
        <v>233.11</v>
      </c>
      <c r="I1323">
        <v>5</v>
      </c>
      <c r="J1323">
        <f t="shared" si="62"/>
        <v>221.4545</v>
      </c>
      <c r="K1323" t="s">
        <v>2015</v>
      </c>
      <c r="L1323" t="str">
        <f>_xlfn.XLOOKUP(Orders[[#This Row],[ProductID]],Products!A:A,Products!C:C)</f>
        <v>Home</v>
      </c>
    </row>
    <row r="1324" spans="1:12" x14ac:dyDescent="0.3">
      <c r="A1324">
        <v>1323</v>
      </c>
      <c r="B1324">
        <v>1039</v>
      </c>
      <c r="C1324">
        <v>61</v>
      </c>
      <c r="D1324" t="s">
        <v>2223</v>
      </c>
      <c r="E1324">
        <f t="shared" si="60"/>
        <v>2023</v>
      </c>
      <c r="F1324" t="str">
        <f t="shared" si="61"/>
        <v>Dec</v>
      </c>
      <c r="G1324">
        <v>1</v>
      </c>
      <c r="H1324">
        <f>_xlfn.XLOOKUP(C1324,Products!A:A,Products!D:D)</f>
        <v>498.92</v>
      </c>
      <c r="I1324">
        <v>10</v>
      </c>
      <c r="J1324">
        <f t="shared" si="62"/>
        <v>449.02800000000002</v>
      </c>
      <c r="K1324" t="s">
        <v>2019</v>
      </c>
      <c r="L1324" t="str">
        <f>_xlfn.XLOOKUP(Orders[[#This Row],[ProductID]],Products!A:A,Products!C:C)</f>
        <v>Clothing</v>
      </c>
    </row>
    <row r="1325" spans="1:12" x14ac:dyDescent="0.3">
      <c r="A1325">
        <v>1324</v>
      </c>
      <c r="B1325">
        <v>1039</v>
      </c>
      <c r="C1325">
        <v>77</v>
      </c>
      <c r="D1325" t="s">
        <v>2095</v>
      </c>
      <c r="E1325">
        <f t="shared" si="60"/>
        <v>2024</v>
      </c>
      <c r="F1325" t="str">
        <f t="shared" si="61"/>
        <v>Mar</v>
      </c>
      <c r="G1325">
        <v>3</v>
      </c>
      <c r="H1325">
        <f>_xlfn.XLOOKUP(C1325,Products!A:A,Products!D:D)</f>
        <v>1078.19</v>
      </c>
      <c r="I1325">
        <v>15</v>
      </c>
      <c r="J1325">
        <f t="shared" si="62"/>
        <v>2749.3845000000001</v>
      </c>
      <c r="K1325" t="s">
        <v>2015</v>
      </c>
      <c r="L1325" t="str">
        <f>_xlfn.XLOOKUP(Orders[[#This Row],[ProductID]],Products!A:A,Products!C:C)</f>
        <v>Home</v>
      </c>
    </row>
    <row r="1326" spans="1:12" x14ac:dyDescent="0.3">
      <c r="A1326">
        <v>1325</v>
      </c>
      <c r="B1326">
        <v>1040</v>
      </c>
      <c r="C1326">
        <v>66</v>
      </c>
      <c r="D1326" t="s">
        <v>2207</v>
      </c>
      <c r="E1326">
        <f t="shared" si="60"/>
        <v>2024</v>
      </c>
      <c r="F1326" t="str">
        <f t="shared" si="61"/>
        <v>Mar</v>
      </c>
      <c r="G1326">
        <v>1</v>
      </c>
      <c r="H1326">
        <f>_xlfn.XLOOKUP(C1326,Products!A:A,Products!D:D)</f>
        <v>783.37</v>
      </c>
      <c r="I1326">
        <v>5</v>
      </c>
      <c r="J1326">
        <f t="shared" si="62"/>
        <v>744.20150000000001</v>
      </c>
      <c r="K1326" t="s">
        <v>2017</v>
      </c>
      <c r="L1326" t="str">
        <f>_xlfn.XLOOKUP(Orders[[#This Row],[ProductID]],Products!A:A,Products!C:C)</f>
        <v>Home</v>
      </c>
    </row>
    <row r="1327" spans="1:12" x14ac:dyDescent="0.3">
      <c r="A1327">
        <v>1326</v>
      </c>
      <c r="B1327">
        <v>1040</v>
      </c>
      <c r="C1327">
        <v>48</v>
      </c>
      <c r="D1327" t="s">
        <v>2037</v>
      </c>
      <c r="E1327">
        <f t="shared" si="60"/>
        <v>2024</v>
      </c>
      <c r="F1327" t="str">
        <f t="shared" si="61"/>
        <v>Jan</v>
      </c>
      <c r="G1327">
        <v>1</v>
      </c>
      <c r="H1327">
        <f>_xlfn.XLOOKUP(C1327,Products!A:A,Products!D:D)</f>
        <v>1125.8499999999999</v>
      </c>
      <c r="I1327">
        <v>5</v>
      </c>
      <c r="J1327">
        <f t="shared" si="62"/>
        <v>1069.5574999999999</v>
      </c>
      <c r="K1327" t="s">
        <v>2017</v>
      </c>
      <c r="L1327" t="str">
        <f>_xlfn.XLOOKUP(Orders[[#This Row],[ProductID]],Products!A:A,Products!C:C)</f>
        <v>Clothing</v>
      </c>
    </row>
    <row r="1328" spans="1:12" x14ac:dyDescent="0.3">
      <c r="A1328">
        <v>1327</v>
      </c>
      <c r="B1328">
        <v>1040</v>
      </c>
      <c r="C1328">
        <v>26</v>
      </c>
      <c r="D1328" t="s">
        <v>1061</v>
      </c>
      <c r="E1328">
        <f t="shared" si="60"/>
        <v>2023</v>
      </c>
      <c r="F1328" t="str">
        <f t="shared" si="61"/>
        <v>Jun</v>
      </c>
      <c r="G1328">
        <v>1</v>
      </c>
      <c r="H1328">
        <f>_xlfn.XLOOKUP(C1328,Products!A:A,Products!D:D)</f>
        <v>272.61</v>
      </c>
      <c r="I1328">
        <v>10</v>
      </c>
      <c r="J1328">
        <f t="shared" si="62"/>
        <v>245.34900000000002</v>
      </c>
      <c r="K1328" t="s">
        <v>2019</v>
      </c>
      <c r="L1328" t="str">
        <f>_xlfn.XLOOKUP(Orders[[#This Row],[ProductID]],Products!A:A,Products!C:C)</f>
        <v>Home</v>
      </c>
    </row>
    <row r="1329" spans="1:12" x14ac:dyDescent="0.3">
      <c r="A1329">
        <v>1328</v>
      </c>
      <c r="B1329">
        <v>1040</v>
      </c>
      <c r="C1329">
        <v>4</v>
      </c>
      <c r="D1329" t="s">
        <v>1312</v>
      </c>
      <c r="E1329">
        <f t="shared" si="60"/>
        <v>2023</v>
      </c>
      <c r="F1329" t="str">
        <f t="shared" si="61"/>
        <v>Apr</v>
      </c>
      <c r="G1329">
        <v>3</v>
      </c>
      <c r="H1329">
        <f>_xlfn.XLOOKUP(C1329,Products!A:A,Products!D:D)</f>
        <v>800.26</v>
      </c>
      <c r="I1329">
        <v>15</v>
      </c>
      <c r="J1329">
        <f t="shared" si="62"/>
        <v>2040.6629999999998</v>
      </c>
      <c r="K1329" t="s">
        <v>2017</v>
      </c>
      <c r="L1329" t="str">
        <f>_xlfn.XLOOKUP(Orders[[#This Row],[ProductID]],Products!A:A,Products!C:C)</f>
        <v>Electronics</v>
      </c>
    </row>
    <row r="1330" spans="1:12" x14ac:dyDescent="0.3">
      <c r="A1330">
        <v>1329</v>
      </c>
      <c r="B1330">
        <v>1041</v>
      </c>
      <c r="C1330">
        <v>32</v>
      </c>
      <c r="D1330" t="s">
        <v>2223</v>
      </c>
      <c r="E1330">
        <f t="shared" si="60"/>
        <v>2023</v>
      </c>
      <c r="F1330" t="str">
        <f t="shared" si="61"/>
        <v>Dec</v>
      </c>
      <c r="G1330">
        <v>3</v>
      </c>
      <c r="H1330">
        <f>_xlfn.XLOOKUP(C1330,Products!A:A,Products!D:D)</f>
        <v>342.57</v>
      </c>
      <c r="I1330">
        <v>15</v>
      </c>
      <c r="J1330">
        <f t="shared" si="62"/>
        <v>873.55349999999999</v>
      </c>
      <c r="K1330" t="s">
        <v>2021</v>
      </c>
      <c r="L1330" t="str">
        <f>_xlfn.XLOOKUP(Orders[[#This Row],[ProductID]],Products!A:A,Products!C:C)</f>
        <v>Clothing</v>
      </c>
    </row>
    <row r="1331" spans="1:12" x14ac:dyDescent="0.3">
      <c r="A1331">
        <v>1330</v>
      </c>
      <c r="B1331">
        <v>1041</v>
      </c>
      <c r="C1331">
        <v>23</v>
      </c>
      <c r="D1331" t="s">
        <v>2151</v>
      </c>
      <c r="E1331">
        <f t="shared" si="60"/>
        <v>2024</v>
      </c>
      <c r="F1331" t="str">
        <f t="shared" si="61"/>
        <v>May</v>
      </c>
      <c r="G1331">
        <v>2</v>
      </c>
      <c r="H1331">
        <f>_xlfn.XLOOKUP(C1331,Products!A:A,Products!D:D)</f>
        <v>258.08</v>
      </c>
      <c r="I1331">
        <v>20</v>
      </c>
      <c r="J1331">
        <f t="shared" si="62"/>
        <v>412.928</v>
      </c>
      <c r="K1331" t="s">
        <v>2019</v>
      </c>
      <c r="L1331" t="str">
        <f>_xlfn.XLOOKUP(Orders[[#This Row],[ProductID]],Products!A:A,Products!C:C)</f>
        <v>Home</v>
      </c>
    </row>
    <row r="1332" spans="1:12" x14ac:dyDescent="0.3">
      <c r="A1332">
        <v>1331</v>
      </c>
      <c r="B1332">
        <v>1041</v>
      </c>
      <c r="C1332">
        <v>78</v>
      </c>
      <c r="D1332" t="s">
        <v>2161</v>
      </c>
      <c r="E1332">
        <f t="shared" si="60"/>
        <v>2024</v>
      </c>
      <c r="F1332" t="str">
        <f t="shared" si="61"/>
        <v>Mar</v>
      </c>
      <c r="G1332">
        <v>2</v>
      </c>
      <c r="H1332">
        <f>_xlfn.XLOOKUP(C1332,Products!A:A,Products!D:D)</f>
        <v>795.77</v>
      </c>
      <c r="I1332">
        <v>5</v>
      </c>
      <c r="J1332">
        <f t="shared" si="62"/>
        <v>1511.963</v>
      </c>
      <c r="K1332" t="s">
        <v>2021</v>
      </c>
      <c r="L1332" t="str">
        <f>_xlfn.XLOOKUP(Orders[[#This Row],[ProductID]],Products!A:A,Products!C:C)</f>
        <v>Beauty</v>
      </c>
    </row>
    <row r="1333" spans="1:12" x14ac:dyDescent="0.3">
      <c r="A1333">
        <v>1332</v>
      </c>
      <c r="B1333">
        <v>1041</v>
      </c>
      <c r="C1333">
        <v>60</v>
      </c>
      <c r="D1333" t="s">
        <v>2146</v>
      </c>
      <c r="E1333">
        <f t="shared" si="60"/>
        <v>2024</v>
      </c>
      <c r="F1333" t="str">
        <f t="shared" si="61"/>
        <v>Jan</v>
      </c>
      <c r="G1333">
        <v>1</v>
      </c>
      <c r="H1333">
        <f>_xlfn.XLOOKUP(C1333,Products!A:A,Products!D:D)</f>
        <v>830.49</v>
      </c>
      <c r="I1333">
        <v>0</v>
      </c>
      <c r="J1333">
        <f t="shared" si="62"/>
        <v>830.49</v>
      </c>
      <c r="K1333" t="s">
        <v>2019</v>
      </c>
      <c r="L1333" t="str">
        <f>_xlfn.XLOOKUP(Orders[[#This Row],[ProductID]],Products!A:A,Products!C:C)</f>
        <v>Clothing</v>
      </c>
    </row>
    <row r="1334" spans="1:12" x14ac:dyDescent="0.3">
      <c r="A1334">
        <v>1333</v>
      </c>
      <c r="B1334">
        <v>1042</v>
      </c>
      <c r="C1334">
        <v>53</v>
      </c>
      <c r="D1334" t="s">
        <v>2076</v>
      </c>
      <c r="E1334">
        <f t="shared" si="60"/>
        <v>2024</v>
      </c>
      <c r="F1334" t="str">
        <f t="shared" si="61"/>
        <v>Mar</v>
      </c>
      <c r="G1334">
        <v>3</v>
      </c>
      <c r="H1334">
        <f>_xlfn.XLOOKUP(C1334,Products!A:A,Products!D:D)</f>
        <v>194.34</v>
      </c>
      <c r="I1334">
        <v>15</v>
      </c>
      <c r="J1334">
        <f t="shared" si="62"/>
        <v>495.56699999999995</v>
      </c>
      <c r="K1334" t="s">
        <v>2017</v>
      </c>
      <c r="L1334" t="str">
        <f>_xlfn.XLOOKUP(Orders[[#This Row],[ProductID]],Products!A:A,Products!C:C)</f>
        <v>Home</v>
      </c>
    </row>
    <row r="1335" spans="1:12" x14ac:dyDescent="0.3">
      <c r="A1335">
        <v>1334</v>
      </c>
      <c r="B1335">
        <v>1042</v>
      </c>
      <c r="C1335">
        <v>10</v>
      </c>
      <c r="D1335" t="s">
        <v>2193</v>
      </c>
      <c r="E1335">
        <f t="shared" si="60"/>
        <v>2024</v>
      </c>
      <c r="F1335" t="str">
        <f t="shared" si="61"/>
        <v>Feb</v>
      </c>
      <c r="G1335">
        <v>2</v>
      </c>
      <c r="H1335">
        <f>_xlfn.XLOOKUP(C1335,Products!A:A,Products!D:D)</f>
        <v>64.11</v>
      </c>
      <c r="I1335">
        <v>10</v>
      </c>
      <c r="J1335">
        <f t="shared" si="62"/>
        <v>115.398</v>
      </c>
      <c r="K1335" t="s">
        <v>2015</v>
      </c>
      <c r="L1335" t="str">
        <f>_xlfn.XLOOKUP(Orders[[#This Row],[ProductID]],Products!A:A,Products!C:C)</f>
        <v>Clothing</v>
      </c>
    </row>
    <row r="1336" spans="1:12" x14ac:dyDescent="0.3">
      <c r="A1336">
        <v>1335</v>
      </c>
      <c r="B1336">
        <v>1042</v>
      </c>
      <c r="C1336">
        <v>16</v>
      </c>
      <c r="D1336" t="s">
        <v>2211</v>
      </c>
      <c r="E1336">
        <f t="shared" si="60"/>
        <v>2024</v>
      </c>
      <c r="F1336" t="str">
        <f t="shared" si="61"/>
        <v>Jan</v>
      </c>
      <c r="G1336">
        <v>3</v>
      </c>
      <c r="H1336">
        <f>_xlfn.XLOOKUP(C1336,Products!A:A,Products!D:D)</f>
        <v>693.02</v>
      </c>
      <c r="I1336">
        <v>20</v>
      </c>
      <c r="J1336">
        <f t="shared" si="62"/>
        <v>1663.248</v>
      </c>
      <c r="K1336" t="s">
        <v>2019</v>
      </c>
      <c r="L1336" t="str">
        <f>_xlfn.XLOOKUP(Orders[[#This Row],[ProductID]],Products!A:A,Products!C:C)</f>
        <v>Home</v>
      </c>
    </row>
    <row r="1337" spans="1:12" x14ac:dyDescent="0.3">
      <c r="A1337">
        <v>1336</v>
      </c>
      <c r="B1337">
        <v>1042</v>
      </c>
      <c r="C1337">
        <v>57</v>
      </c>
      <c r="D1337" t="s">
        <v>633</v>
      </c>
      <c r="E1337">
        <f t="shared" si="60"/>
        <v>2023</v>
      </c>
      <c r="F1337" t="str">
        <f t="shared" si="61"/>
        <v>Sep</v>
      </c>
      <c r="G1337">
        <v>3</v>
      </c>
      <c r="H1337">
        <f>_xlfn.XLOOKUP(C1337,Products!A:A,Products!D:D)</f>
        <v>768.03</v>
      </c>
      <c r="I1337">
        <v>0</v>
      </c>
      <c r="J1337">
        <f t="shared" si="62"/>
        <v>2304.09</v>
      </c>
      <c r="K1337" t="s">
        <v>2024</v>
      </c>
      <c r="L1337" t="str">
        <f>_xlfn.XLOOKUP(Orders[[#This Row],[ProductID]],Products!A:A,Products!C:C)</f>
        <v>Electronics</v>
      </c>
    </row>
    <row r="1338" spans="1:12" x14ac:dyDescent="0.3">
      <c r="A1338">
        <v>1337</v>
      </c>
      <c r="B1338">
        <v>1043</v>
      </c>
      <c r="C1338">
        <v>51</v>
      </c>
      <c r="D1338" t="s">
        <v>2044</v>
      </c>
      <c r="E1338">
        <f t="shared" si="60"/>
        <v>2024</v>
      </c>
      <c r="F1338" t="str">
        <f t="shared" si="61"/>
        <v>Feb</v>
      </c>
      <c r="G1338">
        <v>3</v>
      </c>
      <c r="H1338">
        <f>_xlfn.XLOOKUP(C1338,Products!A:A,Products!D:D)</f>
        <v>759.57</v>
      </c>
      <c r="I1338">
        <v>0</v>
      </c>
      <c r="J1338">
        <f t="shared" si="62"/>
        <v>2278.71</v>
      </c>
      <c r="K1338" t="s">
        <v>2024</v>
      </c>
      <c r="L1338" t="str">
        <f>_xlfn.XLOOKUP(Orders[[#This Row],[ProductID]],Products!A:A,Products!C:C)</f>
        <v>Beauty</v>
      </c>
    </row>
    <row r="1339" spans="1:12" x14ac:dyDescent="0.3">
      <c r="A1339">
        <v>1338</v>
      </c>
      <c r="B1339">
        <v>1043</v>
      </c>
      <c r="C1339">
        <v>52</v>
      </c>
      <c r="D1339" t="s">
        <v>2211</v>
      </c>
      <c r="E1339">
        <f t="shared" si="60"/>
        <v>2024</v>
      </c>
      <c r="F1339" t="str">
        <f t="shared" si="61"/>
        <v>Jan</v>
      </c>
      <c r="G1339">
        <v>3</v>
      </c>
      <c r="H1339">
        <f>_xlfn.XLOOKUP(C1339,Products!A:A,Products!D:D)</f>
        <v>256.76</v>
      </c>
      <c r="I1339">
        <v>15</v>
      </c>
      <c r="J1339">
        <f t="shared" si="62"/>
        <v>654.73799999999994</v>
      </c>
      <c r="K1339" t="s">
        <v>2017</v>
      </c>
      <c r="L1339" t="str">
        <f>_xlfn.XLOOKUP(Orders[[#This Row],[ProductID]],Products!A:A,Products!C:C)</f>
        <v>Home</v>
      </c>
    </row>
    <row r="1340" spans="1:12" x14ac:dyDescent="0.3">
      <c r="A1340">
        <v>1339</v>
      </c>
      <c r="B1340">
        <v>1043</v>
      </c>
      <c r="C1340">
        <v>16</v>
      </c>
      <c r="D1340" t="s">
        <v>1452</v>
      </c>
      <c r="E1340">
        <f t="shared" si="60"/>
        <v>2023</v>
      </c>
      <c r="F1340" t="str">
        <f t="shared" si="61"/>
        <v>Feb</v>
      </c>
      <c r="G1340">
        <v>1</v>
      </c>
      <c r="H1340">
        <f>_xlfn.XLOOKUP(C1340,Products!A:A,Products!D:D)</f>
        <v>693.02</v>
      </c>
      <c r="I1340">
        <v>10</v>
      </c>
      <c r="J1340">
        <f t="shared" si="62"/>
        <v>623.71799999999996</v>
      </c>
      <c r="K1340" t="s">
        <v>2015</v>
      </c>
      <c r="L1340" t="str">
        <f>_xlfn.XLOOKUP(Orders[[#This Row],[ProductID]],Products!A:A,Products!C:C)</f>
        <v>Home</v>
      </c>
    </row>
    <row r="1341" spans="1:12" x14ac:dyDescent="0.3">
      <c r="A1341">
        <v>1340</v>
      </c>
      <c r="B1341">
        <v>1044</v>
      </c>
      <c r="C1341">
        <v>15</v>
      </c>
      <c r="D1341" t="s">
        <v>2146</v>
      </c>
      <c r="E1341">
        <f t="shared" si="60"/>
        <v>2024</v>
      </c>
      <c r="F1341" t="str">
        <f t="shared" si="61"/>
        <v>Jan</v>
      </c>
      <c r="G1341">
        <v>1</v>
      </c>
      <c r="H1341">
        <f>_xlfn.XLOOKUP(C1341,Products!A:A,Products!D:D)</f>
        <v>1183.2</v>
      </c>
      <c r="I1341">
        <v>10</v>
      </c>
      <c r="J1341">
        <f t="shared" si="62"/>
        <v>1064.8800000000001</v>
      </c>
      <c r="K1341" t="s">
        <v>2017</v>
      </c>
      <c r="L1341" t="str">
        <f>_xlfn.XLOOKUP(Orders[[#This Row],[ProductID]],Products!A:A,Products!C:C)</f>
        <v>Electronics</v>
      </c>
    </row>
    <row r="1342" spans="1:12" x14ac:dyDescent="0.3">
      <c r="A1342">
        <v>1341</v>
      </c>
      <c r="B1342">
        <v>1044</v>
      </c>
      <c r="C1342">
        <v>44</v>
      </c>
      <c r="D1342" t="s">
        <v>178</v>
      </c>
      <c r="E1342">
        <f t="shared" si="60"/>
        <v>2023</v>
      </c>
      <c r="F1342" t="str">
        <f t="shared" si="61"/>
        <v>Mar</v>
      </c>
      <c r="G1342">
        <v>1</v>
      </c>
      <c r="H1342">
        <f>_xlfn.XLOOKUP(C1342,Products!A:A,Products!D:D)</f>
        <v>1038</v>
      </c>
      <c r="I1342">
        <v>15</v>
      </c>
      <c r="J1342">
        <f t="shared" si="62"/>
        <v>882.3</v>
      </c>
      <c r="K1342" t="s">
        <v>2021</v>
      </c>
      <c r="L1342" t="str">
        <f>_xlfn.XLOOKUP(Orders[[#This Row],[ProductID]],Products!A:A,Products!C:C)</f>
        <v>Home</v>
      </c>
    </row>
    <row r="1343" spans="1:12" x14ac:dyDescent="0.3">
      <c r="A1343">
        <v>1342</v>
      </c>
      <c r="B1343">
        <v>1044</v>
      </c>
      <c r="C1343">
        <v>34</v>
      </c>
      <c r="D1343" t="s">
        <v>1653</v>
      </c>
      <c r="E1343">
        <f t="shared" si="60"/>
        <v>2023</v>
      </c>
      <c r="F1343" t="str">
        <f t="shared" si="61"/>
        <v>Feb</v>
      </c>
      <c r="G1343">
        <v>2</v>
      </c>
      <c r="H1343">
        <f>_xlfn.XLOOKUP(C1343,Products!A:A,Products!D:D)</f>
        <v>523.98</v>
      </c>
      <c r="I1343">
        <v>0</v>
      </c>
      <c r="J1343">
        <f t="shared" si="62"/>
        <v>1047.96</v>
      </c>
      <c r="K1343" t="s">
        <v>2017</v>
      </c>
      <c r="L1343" t="str">
        <f>_xlfn.XLOOKUP(Orders[[#This Row],[ProductID]],Products!A:A,Products!C:C)</f>
        <v>Home</v>
      </c>
    </row>
    <row r="1344" spans="1:12" x14ac:dyDescent="0.3">
      <c r="A1344">
        <v>1343</v>
      </c>
      <c r="B1344">
        <v>1044</v>
      </c>
      <c r="C1344">
        <v>63</v>
      </c>
      <c r="D1344" t="s">
        <v>2201</v>
      </c>
      <c r="E1344">
        <f t="shared" si="60"/>
        <v>2024</v>
      </c>
      <c r="F1344" t="str">
        <f t="shared" si="61"/>
        <v>Jan</v>
      </c>
      <c r="G1344">
        <v>1</v>
      </c>
      <c r="H1344">
        <f>_xlfn.XLOOKUP(C1344,Products!A:A,Products!D:D)</f>
        <v>309.79000000000002</v>
      </c>
      <c r="I1344">
        <v>10</v>
      </c>
      <c r="J1344">
        <f t="shared" si="62"/>
        <v>278.81100000000004</v>
      </c>
      <c r="K1344" t="s">
        <v>2024</v>
      </c>
      <c r="L1344" t="str">
        <f>_xlfn.XLOOKUP(Orders[[#This Row],[ProductID]],Products!A:A,Products!C:C)</f>
        <v>Electronics</v>
      </c>
    </row>
    <row r="1345" spans="1:12" x14ac:dyDescent="0.3">
      <c r="A1345">
        <v>1344</v>
      </c>
      <c r="B1345">
        <v>1045</v>
      </c>
      <c r="C1345">
        <v>38</v>
      </c>
      <c r="D1345" t="s">
        <v>2165</v>
      </c>
      <c r="E1345">
        <f t="shared" si="60"/>
        <v>2023</v>
      </c>
      <c r="F1345" t="str">
        <f t="shared" si="61"/>
        <v>Dec</v>
      </c>
      <c r="G1345">
        <v>2</v>
      </c>
      <c r="H1345">
        <f>_xlfn.XLOOKUP(C1345,Products!A:A,Products!D:D)</f>
        <v>802.88</v>
      </c>
      <c r="I1345">
        <v>10</v>
      </c>
      <c r="J1345">
        <f t="shared" si="62"/>
        <v>1445.184</v>
      </c>
      <c r="K1345" t="s">
        <v>2017</v>
      </c>
      <c r="L1345" t="str">
        <f>_xlfn.XLOOKUP(Orders[[#This Row],[ProductID]],Products!A:A,Products!C:C)</f>
        <v>Home</v>
      </c>
    </row>
    <row r="1346" spans="1:12" x14ac:dyDescent="0.3">
      <c r="A1346">
        <v>1345</v>
      </c>
      <c r="B1346">
        <v>1045</v>
      </c>
      <c r="C1346">
        <v>34</v>
      </c>
      <c r="D1346" t="s">
        <v>993</v>
      </c>
      <c r="E1346">
        <f t="shared" si="60"/>
        <v>2023</v>
      </c>
      <c r="F1346" t="str">
        <f t="shared" si="61"/>
        <v>Oct</v>
      </c>
      <c r="G1346">
        <v>2</v>
      </c>
      <c r="H1346">
        <f>_xlfn.XLOOKUP(C1346,Products!A:A,Products!D:D)</f>
        <v>523.98</v>
      </c>
      <c r="I1346">
        <v>20</v>
      </c>
      <c r="J1346">
        <f t="shared" si="62"/>
        <v>838.36800000000005</v>
      </c>
      <c r="K1346" t="s">
        <v>2019</v>
      </c>
      <c r="L1346" t="str">
        <f>_xlfn.XLOOKUP(Orders[[#This Row],[ProductID]],Products!A:A,Products!C:C)</f>
        <v>Home</v>
      </c>
    </row>
    <row r="1347" spans="1:12" x14ac:dyDescent="0.3">
      <c r="A1347">
        <v>1346</v>
      </c>
      <c r="B1347">
        <v>1045</v>
      </c>
      <c r="C1347">
        <v>18</v>
      </c>
      <c r="D1347" t="s">
        <v>224</v>
      </c>
      <c r="E1347">
        <f t="shared" ref="E1347:E1410" si="63">YEAR(D1347)</f>
        <v>2023</v>
      </c>
      <c r="F1347" t="str">
        <f t="shared" ref="F1347:F1410" si="64">TEXT(D1347,"mmm")</f>
        <v>Mar</v>
      </c>
      <c r="G1347">
        <v>3</v>
      </c>
      <c r="H1347">
        <f>_xlfn.XLOOKUP(C1347,Products!A:A,Products!D:D)</f>
        <v>138.07</v>
      </c>
      <c r="I1347">
        <v>10</v>
      </c>
      <c r="J1347">
        <f t="shared" ref="J1347:J1410" si="65">G1347*H1347*(1-I1347/100)</f>
        <v>372.78899999999999</v>
      </c>
      <c r="K1347" t="s">
        <v>2019</v>
      </c>
      <c r="L1347" t="str">
        <f>_xlfn.XLOOKUP(Orders[[#This Row],[ProductID]],Products!A:A,Products!C:C)</f>
        <v>Home</v>
      </c>
    </row>
    <row r="1348" spans="1:12" x14ac:dyDescent="0.3">
      <c r="A1348">
        <v>1347</v>
      </c>
      <c r="B1348">
        <v>1045</v>
      </c>
      <c r="C1348">
        <v>29</v>
      </c>
      <c r="D1348" t="s">
        <v>2097</v>
      </c>
      <c r="E1348">
        <f t="shared" si="63"/>
        <v>2024</v>
      </c>
      <c r="F1348" t="str">
        <f t="shared" si="64"/>
        <v>Mar</v>
      </c>
      <c r="G1348">
        <v>2</v>
      </c>
      <c r="H1348">
        <f>_xlfn.XLOOKUP(C1348,Products!A:A,Products!D:D)</f>
        <v>757</v>
      </c>
      <c r="I1348">
        <v>20</v>
      </c>
      <c r="J1348">
        <f t="shared" si="65"/>
        <v>1211.2</v>
      </c>
      <c r="K1348" t="s">
        <v>2024</v>
      </c>
      <c r="L1348" t="str">
        <f>_xlfn.XLOOKUP(Orders[[#This Row],[ProductID]],Products!A:A,Products!C:C)</f>
        <v>Clothing</v>
      </c>
    </row>
    <row r="1349" spans="1:12" x14ac:dyDescent="0.3">
      <c r="A1349">
        <v>1348</v>
      </c>
      <c r="B1349">
        <v>1046</v>
      </c>
      <c r="C1349">
        <v>38</v>
      </c>
      <c r="D1349" t="s">
        <v>588</v>
      </c>
      <c r="E1349">
        <f t="shared" si="63"/>
        <v>2023</v>
      </c>
      <c r="F1349" t="str">
        <f t="shared" si="64"/>
        <v>Jun</v>
      </c>
      <c r="G1349">
        <v>3</v>
      </c>
      <c r="H1349">
        <f>_xlfn.XLOOKUP(C1349,Products!A:A,Products!D:D)</f>
        <v>802.88</v>
      </c>
      <c r="I1349">
        <v>5</v>
      </c>
      <c r="J1349">
        <f t="shared" si="65"/>
        <v>2288.2079999999996</v>
      </c>
      <c r="K1349" t="s">
        <v>2015</v>
      </c>
      <c r="L1349" t="str">
        <f>_xlfn.XLOOKUP(Orders[[#This Row],[ProductID]],Products!A:A,Products!C:C)</f>
        <v>Home</v>
      </c>
    </row>
    <row r="1350" spans="1:12" x14ac:dyDescent="0.3">
      <c r="A1350">
        <v>1349</v>
      </c>
      <c r="B1350">
        <v>1046</v>
      </c>
      <c r="C1350">
        <v>40</v>
      </c>
      <c r="D1350" t="s">
        <v>148</v>
      </c>
      <c r="E1350">
        <f t="shared" si="63"/>
        <v>2023</v>
      </c>
      <c r="F1350" t="str">
        <f t="shared" si="64"/>
        <v>Sep</v>
      </c>
      <c r="G1350">
        <v>3</v>
      </c>
      <c r="H1350">
        <f>_xlfn.XLOOKUP(C1350,Products!A:A,Products!D:D)</f>
        <v>316.49</v>
      </c>
      <c r="I1350">
        <v>15</v>
      </c>
      <c r="J1350">
        <f t="shared" si="65"/>
        <v>807.04949999999997</v>
      </c>
      <c r="K1350" t="s">
        <v>2024</v>
      </c>
      <c r="L1350" t="str">
        <f>_xlfn.XLOOKUP(Orders[[#This Row],[ProductID]],Products!A:A,Products!C:C)</f>
        <v>Home</v>
      </c>
    </row>
    <row r="1351" spans="1:12" x14ac:dyDescent="0.3">
      <c r="A1351">
        <v>1350</v>
      </c>
      <c r="B1351">
        <v>1046</v>
      </c>
      <c r="C1351">
        <v>20</v>
      </c>
      <c r="D1351" t="s">
        <v>2089</v>
      </c>
      <c r="E1351">
        <f t="shared" si="63"/>
        <v>2024</v>
      </c>
      <c r="F1351" t="str">
        <f t="shared" si="64"/>
        <v>Jan</v>
      </c>
      <c r="G1351">
        <v>3</v>
      </c>
      <c r="H1351">
        <f>_xlfn.XLOOKUP(C1351,Products!A:A,Products!D:D)</f>
        <v>613.27</v>
      </c>
      <c r="I1351">
        <v>5</v>
      </c>
      <c r="J1351">
        <f t="shared" si="65"/>
        <v>1747.8194999999998</v>
      </c>
      <c r="K1351" t="s">
        <v>2021</v>
      </c>
      <c r="L1351" t="str">
        <f>_xlfn.XLOOKUP(Orders[[#This Row],[ProductID]],Products!A:A,Products!C:C)</f>
        <v>Home</v>
      </c>
    </row>
    <row r="1352" spans="1:12" x14ac:dyDescent="0.3">
      <c r="A1352">
        <v>1351</v>
      </c>
      <c r="B1352">
        <v>1047</v>
      </c>
      <c r="C1352">
        <v>78</v>
      </c>
      <c r="D1352" t="s">
        <v>916</v>
      </c>
      <c r="E1352">
        <f t="shared" si="63"/>
        <v>2023</v>
      </c>
      <c r="F1352" t="str">
        <f t="shared" si="64"/>
        <v>May</v>
      </c>
      <c r="G1352">
        <v>2</v>
      </c>
      <c r="H1352">
        <f>_xlfn.XLOOKUP(C1352,Products!A:A,Products!D:D)</f>
        <v>795.77</v>
      </c>
      <c r="I1352">
        <v>10</v>
      </c>
      <c r="J1352">
        <f t="shared" si="65"/>
        <v>1432.386</v>
      </c>
      <c r="K1352" t="s">
        <v>2021</v>
      </c>
      <c r="L1352" t="str">
        <f>_xlfn.XLOOKUP(Orders[[#This Row],[ProductID]],Products!A:A,Products!C:C)</f>
        <v>Beauty</v>
      </c>
    </row>
    <row r="1353" spans="1:12" x14ac:dyDescent="0.3">
      <c r="A1353">
        <v>1352</v>
      </c>
      <c r="B1353">
        <v>1047</v>
      </c>
      <c r="C1353">
        <v>4</v>
      </c>
      <c r="D1353" t="s">
        <v>2109</v>
      </c>
      <c r="E1353">
        <f t="shared" si="63"/>
        <v>2024</v>
      </c>
      <c r="F1353" t="str">
        <f t="shared" si="64"/>
        <v>Mar</v>
      </c>
      <c r="G1353">
        <v>1</v>
      </c>
      <c r="H1353">
        <f>_xlfn.XLOOKUP(C1353,Products!A:A,Products!D:D)</f>
        <v>800.26</v>
      </c>
      <c r="I1353">
        <v>20</v>
      </c>
      <c r="J1353">
        <f t="shared" si="65"/>
        <v>640.20800000000008</v>
      </c>
      <c r="K1353" t="s">
        <v>2024</v>
      </c>
      <c r="L1353" t="str">
        <f>_xlfn.XLOOKUP(Orders[[#This Row],[ProductID]],Products!A:A,Products!C:C)</f>
        <v>Electronics</v>
      </c>
    </row>
    <row r="1354" spans="1:12" x14ac:dyDescent="0.3">
      <c r="A1354">
        <v>1353</v>
      </c>
      <c r="B1354">
        <v>1047</v>
      </c>
      <c r="C1354">
        <v>19</v>
      </c>
      <c r="D1354" t="s">
        <v>1513</v>
      </c>
      <c r="E1354">
        <f t="shared" si="63"/>
        <v>2023</v>
      </c>
      <c r="F1354" t="str">
        <f t="shared" si="64"/>
        <v>Oct</v>
      </c>
      <c r="G1354">
        <v>1</v>
      </c>
      <c r="H1354">
        <f>_xlfn.XLOOKUP(C1354,Products!A:A,Products!D:D)</f>
        <v>262.97000000000003</v>
      </c>
      <c r="I1354">
        <v>10</v>
      </c>
      <c r="J1354">
        <f t="shared" si="65"/>
        <v>236.67300000000003</v>
      </c>
      <c r="K1354" t="s">
        <v>2024</v>
      </c>
      <c r="L1354" t="str">
        <f>_xlfn.XLOOKUP(Orders[[#This Row],[ProductID]],Products!A:A,Products!C:C)</f>
        <v>Beauty</v>
      </c>
    </row>
    <row r="1355" spans="1:12" x14ac:dyDescent="0.3">
      <c r="A1355">
        <v>1354</v>
      </c>
      <c r="B1355">
        <v>1047</v>
      </c>
      <c r="C1355">
        <v>66</v>
      </c>
      <c r="D1355" t="s">
        <v>2114</v>
      </c>
      <c r="E1355">
        <f t="shared" si="63"/>
        <v>2024</v>
      </c>
      <c r="F1355" t="str">
        <f t="shared" si="64"/>
        <v>Jan</v>
      </c>
      <c r="G1355">
        <v>3</v>
      </c>
      <c r="H1355">
        <f>_xlfn.XLOOKUP(C1355,Products!A:A,Products!D:D)</f>
        <v>783.37</v>
      </c>
      <c r="I1355">
        <v>15</v>
      </c>
      <c r="J1355">
        <f t="shared" si="65"/>
        <v>1997.5934999999999</v>
      </c>
      <c r="K1355" t="s">
        <v>2017</v>
      </c>
      <c r="L1355" t="str">
        <f>_xlfn.XLOOKUP(Orders[[#This Row],[ProductID]],Products!A:A,Products!C:C)</f>
        <v>Home</v>
      </c>
    </row>
    <row r="1356" spans="1:12" x14ac:dyDescent="0.3">
      <c r="A1356">
        <v>1355</v>
      </c>
      <c r="B1356">
        <v>1048</v>
      </c>
      <c r="C1356">
        <v>80</v>
      </c>
      <c r="D1356" t="s">
        <v>2074</v>
      </c>
      <c r="E1356">
        <f t="shared" si="63"/>
        <v>2024</v>
      </c>
      <c r="F1356" t="str">
        <f t="shared" si="64"/>
        <v>Apr</v>
      </c>
      <c r="G1356">
        <v>1</v>
      </c>
      <c r="H1356">
        <f>_xlfn.XLOOKUP(C1356,Products!A:A,Products!D:D)</f>
        <v>1014.45</v>
      </c>
      <c r="I1356">
        <v>10</v>
      </c>
      <c r="J1356">
        <f t="shared" si="65"/>
        <v>913.00500000000011</v>
      </c>
      <c r="K1356" t="s">
        <v>2021</v>
      </c>
      <c r="L1356" t="str">
        <f>_xlfn.XLOOKUP(Orders[[#This Row],[ProductID]],Products!A:A,Products!C:C)</f>
        <v>Beauty</v>
      </c>
    </row>
    <row r="1357" spans="1:12" x14ac:dyDescent="0.3">
      <c r="A1357">
        <v>1356</v>
      </c>
      <c r="B1357">
        <v>1048</v>
      </c>
      <c r="C1357">
        <v>76</v>
      </c>
      <c r="D1357" t="s">
        <v>2106</v>
      </c>
      <c r="E1357">
        <f t="shared" si="63"/>
        <v>2024</v>
      </c>
      <c r="F1357" t="str">
        <f t="shared" si="64"/>
        <v>Mar</v>
      </c>
      <c r="G1357">
        <v>3</v>
      </c>
      <c r="H1357">
        <f>_xlfn.XLOOKUP(C1357,Products!A:A,Products!D:D)</f>
        <v>1043.26</v>
      </c>
      <c r="I1357">
        <v>10</v>
      </c>
      <c r="J1357">
        <f t="shared" si="65"/>
        <v>2816.8019999999997</v>
      </c>
      <c r="K1357" t="s">
        <v>2015</v>
      </c>
      <c r="L1357" t="str">
        <f>_xlfn.XLOOKUP(Orders[[#This Row],[ProductID]],Products!A:A,Products!C:C)</f>
        <v>Clothing</v>
      </c>
    </row>
    <row r="1358" spans="1:12" x14ac:dyDescent="0.3">
      <c r="A1358">
        <v>1357</v>
      </c>
      <c r="B1358">
        <v>1048</v>
      </c>
      <c r="C1358">
        <v>48</v>
      </c>
      <c r="D1358" t="s">
        <v>1593</v>
      </c>
      <c r="E1358">
        <f t="shared" si="63"/>
        <v>2023</v>
      </c>
      <c r="F1358" t="str">
        <f t="shared" si="64"/>
        <v>Jul</v>
      </c>
      <c r="G1358">
        <v>2</v>
      </c>
      <c r="H1358">
        <f>_xlfn.XLOOKUP(C1358,Products!A:A,Products!D:D)</f>
        <v>1125.8499999999999</v>
      </c>
      <c r="I1358">
        <v>5</v>
      </c>
      <c r="J1358">
        <f t="shared" si="65"/>
        <v>2139.1149999999998</v>
      </c>
      <c r="K1358" t="s">
        <v>2015</v>
      </c>
      <c r="L1358" t="str">
        <f>_xlfn.XLOOKUP(Orders[[#This Row],[ProductID]],Products!A:A,Products!C:C)</f>
        <v>Clothing</v>
      </c>
    </row>
    <row r="1359" spans="1:12" x14ac:dyDescent="0.3">
      <c r="A1359">
        <v>1358</v>
      </c>
      <c r="B1359">
        <v>1048</v>
      </c>
      <c r="C1359">
        <v>62</v>
      </c>
      <c r="D1359" t="s">
        <v>497</v>
      </c>
      <c r="E1359">
        <f t="shared" si="63"/>
        <v>2023</v>
      </c>
      <c r="F1359" t="str">
        <f t="shared" si="64"/>
        <v>Mar</v>
      </c>
      <c r="G1359">
        <v>2</v>
      </c>
      <c r="H1359">
        <f>_xlfn.XLOOKUP(C1359,Products!A:A,Products!D:D)</f>
        <v>196.96</v>
      </c>
      <c r="I1359">
        <v>15</v>
      </c>
      <c r="J1359">
        <f t="shared" si="65"/>
        <v>334.83199999999999</v>
      </c>
      <c r="K1359" t="s">
        <v>2019</v>
      </c>
      <c r="L1359" t="str">
        <f>_xlfn.XLOOKUP(Orders[[#This Row],[ProductID]],Products!A:A,Products!C:C)</f>
        <v>Electronics</v>
      </c>
    </row>
    <row r="1360" spans="1:12" x14ac:dyDescent="0.3">
      <c r="A1360">
        <v>1359</v>
      </c>
      <c r="B1360">
        <v>1049</v>
      </c>
      <c r="C1360">
        <v>9</v>
      </c>
      <c r="D1360" t="s">
        <v>93</v>
      </c>
      <c r="E1360">
        <f t="shared" si="63"/>
        <v>2023</v>
      </c>
      <c r="F1360" t="str">
        <f t="shared" si="64"/>
        <v>Jun</v>
      </c>
      <c r="G1360">
        <v>1</v>
      </c>
      <c r="H1360">
        <f>_xlfn.XLOOKUP(C1360,Products!A:A,Products!D:D)</f>
        <v>43.26</v>
      </c>
      <c r="I1360">
        <v>10</v>
      </c>
      <c r="J1360">
        <f t="shared" si="65"/>
        <v>38.933999999999997</v>
      </c>
      <c r="K1360" t="s">
        <v>2021</v>
      </c>
      <c r="L1360" t="str">
        <f>_xlfn.XLOOKUP(Orders[[#This Row],[ProductID]],Products!A:A,Products!C:C)</f>
        <v>Electronics</v>
      </c>
    </row>
    <row r="1361" spans="1:12" x14ac:dyDescent="0.3">
      <c r="A1361">
        <v>1360</v>
      </c>
      <c r="B1361">
        <v>1049</v>
      </c>
      <c r="C1361">
        <v>29</v>
      </c>
      <c r="D1361" t="s">
        <v>1796</v>
      </c>
      <c r="E1361">
        <f t="shared" si="63"/>
        <v>2023</v>
      </c>
      <c r="F1361" t="str">
        <f t="shared" si="64"/>
        <v>Mar</v>
      </c>
      <c r="G1361">
        <v>2</v>
      </c>
      <c r="H1361">
        <f>_xlfn.XLOOKUP(C1361,Products!A:A,Products!D:D)</f>
        <v>757</v>
      </c>
      <c r="I1361">
        <v>20</v>
      </c>
      <c r="J1361">
        <f t="shared" si="65"/>
        <v>1211.2</v>
      </c>
      <c r="K1361" t="s">
        <v>2019</v>
      </c>
      <c r="L1361" t="str">
        <f>_xlfn.XLOOKUP(Orders[[#This Row],[ProductID]],Products!A:A,Products!C:C)</f>
        <v>Clothing</v>
      </c>
    </row>
    <row r="1362" spans="1:12" x14ac:dyDescent="0.3">
      <c r="A1362">
        <v>1361</v>
      </c>
      <c r="B1362">
        <v>1049</v>
      </c>
      <c r="C1362">
        <v>26</v>
      </c>
      <c r="D1362" t="s">
        <v>814</v>
      </c>
      <c r="E1362">
        <f t="shared" si="63"/>
        <v>2023</v>
      </c>
      <c r="F1362" t="str">
        <f t="shared" si="64"/>
        <v>Jul</v>
      </c>
      <c r="G1362">
        <v>2</v>
      </c>
      <c r="H1362">
        <f>_xlfn.XLOOKUP(C1362,Products!A:A,Products!D:D)</f>
        <v>272.61</v>
      </c>
      <c r="I1362">
        <v>15</v>
      </c>
      <c r="J1362">
        <f t="shared" si="65"/>
        <v>463.43700000000001</v>
      </c>
      <c r="K1362" t="s">
        <v>2015</v>
      </c>
      <c r="L1362" t="str">
        <f>_xlfn.XLOOKUP(Orders[[#This Row],[ProductID]],Products!A:A,Products!C:C)</f>
        <v>Home</v>
      </c>
    </row>
    <row r="1363" spans="1:12" x14ac:dyDescent="0.3">
      <c r="A1363">
        <v>1362</v>
      </c>
      <c r="B1363">
        <v>1049</v>
      </c>
      <c r="C1363">
        <v>2</v>
      </c>
      <c r="D1363" t="s">
        <v>2098</v>
      </c>
      <c r="E1363">
        <f t="shared" si="63"/>
        <v>2024</v>
      </c>
      <c r="F1363" t="str">
        <f t="shared" si="64"/>
        <v>Mar</v>
      </c>
      <c r="G1363">
        <v>3</v>
      </c>
      <c r="H1363">
        <f>_xlfn.XLOOKUP(C1363,Products!A:A,Products!D:D)</f>
        <v>427.27</v>
      </c>
      <c r="I1363">
        <v>20</v>
      </c>
      <c r="J1363">
        <f t="shared" si="65"/>
        <v>1025.4480000000001</v>
      </c>
      <c r="K1363" t="s">
        <v>2021</v>
      </c>
      <c r="L1363" t="str">
        <f>_xlfn.XLOOKUP(Orders[[#This Row],[ProductID]],Products!A:A,Products!C:C)</f>
        <v>Home</v>
      </c>
    </row>
    <row r="1364" spans="1:12" x14ac:dyDescent="0.3">
      <c r="A1364">
        <v>1363</v>
      </c>
      <c r="B1364">
        <v>1050</v>
      </c>
      <c r="C1364">
        <v>26</v>
      </c>
      <c r="D1364" t="s">
        <v>2178</v>
      </c>
      <c r="E1364">
        <f t="shared" si="63"/>
        <v>2023</v>
      </c>
      <c r="F1364" t="str">
        <f t="shared" si="64"/>
        <v>Jul</v>
      </c>
      <c r="G1364">
        <v>3</v>
      </c>
      <c r="H1364">
        <f>_xlfn.XLOOKUP(C1364,Products!A:A,Products!D:D)</f>
        <v>272.61</v>
      </c>
      <c r="I1364">
        <v>0</v>
      </c>
      <c r="J1364">
        <f t="shared" si="65"/>
        <v>817.83</v>
      </c>
      <c r="K1364" t="s">
        <v>2017</v>
      </c>
      <c r="L1364" t="str">
        <f>_xlfn.XLOOKUP(Orders[[#This Row],[ProductID]],Products!A:A,Products!C:C)</f>
        <v>Home</v>
      </c>
    </row>
    <row r="1365" spans="1:12" x14ac:dyDescent="0.3">
      <c r="A1365">
        <v>1364</v>
      </c>
      <c r="B1365">
        <v>1050</v>
      </c>
      <c r="C1365">
        <v>13</v>
      </c>
      <c r="D1365" t="s">
        <v>2062</v>
      </c>
      <c r="E1365">
        <f t="shared" si="63"/>
        <v>2024</v>
      </c>
      <c r="F1365" t="str">
        <f t="shared" si="64"/>
        <v>May</v>
      </c>
      <c r="G1365">
        <v>2</v>
      </c>
      <c r="H1365">
        <f>_xlfn.XLOOKUP(C1365,Products!A:A,Products!D:D)</f>
        <v>334.61</v>
      </c>
      <c r="I1365">
        <v>20</v>
      </c>
      <c r="J1365">
        <f t="shared" si="65"/>
        <v>535.37600000000009</v>
      </c>
      <c r="K1365" t="s">
        <v>2019</v>
      </c>
      <c r="L1365" t="str">
        <f>_xlfn.XLOOKUP(Orders[[#This Row],[ProductID]],Products!A:A,Products!C:C)</f>
        <v>Home</v>
      </c>
    </row>
    <row r="1366" spans="1:12" x14ac:dyDescent="0.3">
      <c r="A1366">
        <v>1365</v>
      </c>
      <c r="B1366">
        <v>1050</v>
      </c>
      <c r="C1366">
        <v>35</v>
      </c>
      <c r="D1366" t="s">
        <v>555</v>
      </c>
      <c r="E1366">
        <f t="shared" si="63"/>
        <v>2023</v>
      </c>
      <c r="F1366" t="str">
        <f t="shared" si="64"/>
        <v>Oct</v>
      </c>
      <c r="G1366">
        <v>3</v>
      </c>
      <c r="H1366">
        <f>_xlfn.XLOOKUP(C1366,Products!A:A,Products!D:D)</f>
        <v>958.87</v>
      </c>
      <c r="I1366">
        <v>20</v>
      </c>
      <c r="J1366">
        <f t="shared" si="65"/>
        <v>2301.288</v>
      </c>
      <c r="K1366" t="s">
        <v>2019</v>
      </c>
      <c r="L1366" t="str">
        <f>_xlfn.XLOOKUP(Orders[[#This Row],[ProductID]],Products!A:A,Products!C:C)</f>
        <v>Clothing</v>
      </c>
    </row>
    <row r="1367" spans="1:12" x14ac:dyDescent="0.3">
      <c r="A1367">
        <v>1366</v>
      </c>
      <c r="B1367">
        <v>1051</v>
      </c>
      <c r="C1367">
        <v>8</v>
      </c>
      <c r="D1367" t="s">
        <v>1816</v>
      </c>
      <c r="E1367">
        <f t="shared" si="63"/>
        <v>2023</v>
      </c>
      <c r="F1367" t="str">
        <f t="shared" si="64"/>
        <v>Aug</v>
      </c>
      <c r="G1367">
        <v>3</v>
      </c>
      <c r="H1367">
        <f>_xlfn.XLOOKUP(C1367,Products!A:A,Products!D:D)</f>
        <v>155.08000000000001</v>
      </c>
      <c r="I1367">
        <v>20</v>
      </c>
      <c r="J1367">
        <f t="shared" si="65"/>
        <v>372.19200000000001</v>
      </c>
      <c r="K1367" t="s">
        <v>2021</v>
      </c>
      <c r="L1367" t="str">
        <f>_xlfn.XLOOKUP(Orders[[#This Row],[ProductID]],Products!A:A,Products!C:C)</f>
        <v>Clothing</v>
      </c>
    </row>
    <row r="1368" spans="1:12" x14ac:dyDescent="0.3">
      <c r="A1368">
        <v>1367</v>
      </c>
      <c r="B1368">
        <v>1051</v>
      </c>
      <c r="C1368">
        <v>32</v>
      </c>
      <c r="D1368" t="s">
        <v>1628</v>
      </c>
      <c r="E1368">
        <f t="shared" si="63"/>
        <v>2023</v>
      </c>
      <c r="F1368" t="str">
        <f t="shared" si="64"/>
        <v>May</v>
      </c>
      <c r="G1368">
        <v>3</v>
      </c>
      <c r="H1368">
        <f>_xlfn.XLOOKUP(C1368,Products!A:A,Products!D:D)</f>
        <v>342.57</v>
      </c>
      <c r="I1368">
        <v>5</v>
      </c>
      <c r="J1368">
        <f t="shared" si="65"/>
        <v>976.32449999999994</v>
      </c>
      <c r="K1368" t="s">
        <v>2021</v>
      </c>
      <c r="L1368" t="str">
        <f>_xlfn.XLOOKUP(Orders[[#This Row],[ProductID]],Products!A:A,Products!C:C)</f>
        <v>Clothing</v>
      </c>
    </row>
    <row r="1369" spans="1:12" x14ac:dyDescent="0.3">
      <c r="A1369">
        <v>1368</v>
      </c>
      <c r="B1369">
        <v>1051</v>
      </c>
      <c r="C1369">
        <v>30</v>
      </c>
      <c r="D1369" t="s">
        <v>2133</v>
      </c>
      <c r="E1369">
        <f t="shared" si="63"/>
        <v>2023</v>
      </c>
      <c r="F1369" t="str">
        <f t="shared" si="64"/>
        <v>Dec</v>
      </c>
      <c r="G1369">
        <v>3</v>
      </c>
      <c r="H1369">
        <f>_xlfn.XLOOKUP(C1369,Products!A:A,Products!D:D)</f>
        <v>866.89</v>
      </c>
      <c r="I1369">
        <v>15</v>
      </c>
      <c r="J1369">
        <f t="shared" si="65"/>
        <v>2210.5695000000001</v>
      </c>
      <c r="K1369" t="s">
        <v>2021</v>
      </c>
      <c r="L1369" t="str">
        <f>_xlfn.XLOOKUP(Orders[[#This Row],[ProductID]],Products!A:A,Products!C:C)</f>
        <v>Electronics</v>
      </c>
    </row>
    <row r="1370" spans="1:12" x14ac:dyDescent="0.3">
      <c r="A1370">
        <v>1369</v>
      </c>
      <c r="B1370">
        <v>1051</v>
      </c>
      <c r="C1370">
        <v>6</v>
      </c>
      <c r="D1370" t="s">
        <v>360</v>
      </c>
      <c r="E1370">
        <f t="shared" si="63"/>
        <v>2023</v>
      </c>
      <c r="F1370" t="str">
        <f t="shared" si="64"/>
        <v>Nov</v>
      </c>
      <c r="G1370">
        <v>2</v>
      </c>
      <c r="H1370">
        <f>_xlfn.XLOOKUP(C1370,Products!A:A,Products!D:D)</f>
        <v>719.19</v>
      </c>
      <c r="I1370">
        <v>20</v>
      </c>
      <c r="J1370">
        <f t="shared" si="65"/>
        <v>1150.7040000000002</v>
      </c>
      <c r="K1370" t="s">
        <v>2024</v>
      </c>
      <c r="L1370" t="str">
        <f>_xlfn.XLOOKUP(Orders[[#This Row],[ProductID]],Products!A:A,Products!C:C)</f>
        <v>Clothing</v>
      </c>
    </row>
    <row r="1371" spans="1:12" x14ac:dyDescent="0.3">
      <c r="A1371">
        <v>1370</v>
      </c>
      <c r="B1371">
        <v>1052</v>
      </c>
      <c r="C1371">
        <v>12</v>
      </c>
      <c r="D1371" t="s">
        <v>2089</v>
      </c>
      <c r="E1371">
        <f t="shared" si="63"/>
        <v>2024</v>
      </c>
      <c r="F1371" t="str">
        <f t="shared" si="64"/>
        <v>Jan</v>
      </c>
      <c r="G1371">
        <v>1</v>
      </c>
      <c r="H1371">
        <f>_xlfn.XLOOKUP(C1371,Products!A:A,Products!D:D)</f>
        <v>627.41999999999996</v>
      </c>
      <c r="I1371">
        <v>0</v>
      </c>
      <c r="J1371">
        <f t="shared" si="65"/>
        <v>627.41999999999996</v>
      </c>
      <c r="K1371" t="s">
        <v>2021</v>
      </c>
      <c r="L1371" t="str">
        <f>_xlfn.XLOOKUP(Orders[[#This Row],[ProductID]],Products!A:A,Products!C:C)</f>
        <v>Beauty</v>
      </c>
    </row>
    <row r="1372" spans="1:12" x14ac:dyDescent="0.3">
      <c r="A1372">
        <v>1371</v>
      </c>
      <c r="B1372">
        <v>1052</v>
      </c>
      <c r="C1372">
        <v>67</v>
      </c>
      <c r="D1372" t="s">
        <v>1373</v>
      </c>
      <c r="E1372">
        <f t="shared" si="63"/>
        <v>2023</v>
      </c>
      <c r="F1372" t="str">
        <f t="shared" si="64"/>
        <v>Jun</v>
      </c>
      <c r="G1372">
        <v>1</v>
      </c>
      <c r="H1372">
        <f>_xlfn.XLOOKUP(C1372,Products!A:A,Products!D:D)</f>
        <v>258.35000000000002</v>
      </c>
      <c r="I1372">
        <v>5</v>
      </c>
      <c r="J1372">
        <f t="shared" si="65"/>
        <v>245.4325</v>
      </c>
      <c r="K1372" t="s">
        <v>2021</v>
      </c>
      <c r="L1372" t="str">
        <f>_xlfn.XLOOKUP(Orders[[#This Row],[ProductID]],Products!A:A,Products!C:C)</f>
        <v>Electronics</v>
      </c>
    </row>
    <row r="1373" spans="1:12" x14ac:dyDescent="0.3">
      <c r="A1373">
        <v>1372</v>
      </c>
      <c r="B1373">
        <v>1052</v>
      </c>
      <c r="C1373">
        <v>32</v>
      </c>
      <c r="D1373" t="s">
        <v>1513</v>
      </c>
      <c r="E1373">
        <f t="shared" si="63"/>
        <v>2023</v>
      </c>
      <c r="F1373" t="str">
        <f t="shared" si="64"/>
        <v>Oct</v>
      </c>
      <c r="G1373">
        <v>3</v>
      </c>
      <c r="H1373">
        <f>_xlfn.XLOOKUP(C1373,Products!A:A,Products!D:D)</f>
        <v>342.57</v>
      </c>
      <c r="I1373">
        <v>15</v>
      </c>
      <c r="J1373">
        <f t="shared" si="65"/>
        <v>873.55349999999999</v>
      </c>
      <c r="K1373" t="s">
        <v>2017</v>
      </c>
      <c r="L1373" t="str">
        <f>_xlfn.XLOOKUP(Orders[[#This Row],[ProductID]],Products!A:A,Products!C:C)</f>
        <v>Clothing</v>
      </c>
    </row>
    <row r="1374" spans="1:12" x14ac:dyDescent="0.3">
      <c r="A1374">
        <v>1373</v>
      </c>
      <c r="B1374">
        <v>1053</v>
      </c>
      <c r="C1374">
        <v>13</v>
      </c>
      <c r="D1374" t="s">
        <v>524</v>
      </c>
      <c r="E1374">
        <f t="shared" si="63"/>
        <v>2023</v>
      </c>
      <c r="F1374" t="str">
        <f t="shared" si="64"/>
        <v>Oct</v>
      </c>
      <c r="G1374">
        <v>1</v>
      </c>
      <c r="H1374">
        <f>_xlfn.XLOOKUP(C1374,Products!A:A,Products!D:D)</f>
        <v>334.61</v>
      </c>
      <c r="I1374">
        <v>10</v>
      </c>
      <c r="J1374">
        <f t="shared" si="65"/>
        <v>301.149</v>
      </c>
      <c r="K1374" t="s">
        <v>2019</v>
      </c>
      <c r="L1374" t="str">
        <f>_xlfn.XLOOKUP(Orders[[#This Row],[ProductID]],Products!A:A,Products!C:C)</f>
        <v>Home</v>
      </c>
    </row>
    <row r="1375" spans="1:12" x14ac:dyDescent="0.3">
      <c r="A1375">
        <v>1374</v>
      </c>
      <c r="B1375">
        <v>1053</v>
      </c>
      <c r="C1375">
        <v>26</v>
      </c>
      <c r="D1375" t="s">
        <v>1680</v>
      </c>
      <c r="E1375">
        <f t="shared" si="63"/>
        <v>2023</v>
      </c>
      <c r="F1375" t="str">
        <f t="shared" si="64"/>
        <v>Sep</v>
      </c>
      <c r="G1375">
        <v>1</v>
      </c>
      <c r="H1375">
        <f>_xlfn.XLOOKUP(C1375,Products!A:A,Products!D:D)</f>
        <v>272.61</v>
      </c>
      <c r="I1375">
        <v>15</v>
      </c>
      <c r="J1375">
        <f t="shared" si="65"/>
        <v>231.71850000000001</v>
      </c>
      <c r="K1375" t="s">
        <v>2019</v>
      </c>
      <c r="L1375" t="str">
        <f>_xlfn.XLOOKUP(Orders[[#This Row],[ProductID]],Products!A:A,Products!C:C)</f>
        <v>Home</v>
      </c>
    </row>
    <row r="1376" spans="1:12" x14ac:dyDescent="0.3">
      <c r="A1376">
        <v>1375</v>
      </c>
      <c r="B1376">
        <v>1053</v>
      </c>
      <c r="C1376">
        <v>61</v>
      </c>
      <c r="D1376" t="s">
        <v>2107</v>
      </c>
      <c r="E1376">
        <f t="shared" si="63"/>
        <v>2023</v>
      </c>
      <c r="F1376" t="str">
        <f t="shared" si="64"/>
        <v>Apr</v>
      </c>
      <c r="G1376">
        <v>1</v>
      </c>
      <c r="H1376">
        <f>_xlfn.XLOOKUP(C1376,Products!A:A,Products!D:D)</f>
        <v>498.92</v>
      </c>
      <c r="I1376">
        <v>20</v>
      </c>
      <c r="J1376">
        <f t="shared" si="65"/>
        <v>399.13600000000002</v>
      </c>
      <c r="K1376" t="s">
        <v>2015</v>
      </c>
      <c r="L1376" t="str">
        <f>_xlfn.XLOOKUP(Orders[[#This Row],[ProductID]],Products!A:A,Products!C:C)</f>
        <v>Clothing</v>
      </c>
    </row>
    <row r="1377" spans="1:12" x14ac:dyDescent="0.3">
      <c r="A1377">
        <v>1376</v>
      </c>
      <c r="B1377">
        <v>1053</v>
      </c>
      <c r="C1377">
        <v>28</v>
      </c>
      <c r="D1377" t="s">
        <v>1467</v>
      </c>
      <c r="E1377">
        <f t="shared" si="63"/>
        <v>2023</v>
      </c>
      <c r="F1377" t="str">
        <f t="shared" si="64"/>
        <v>Nov</v>
      </c>
      <c r="G1377">
        <v>2</v>
      </c>
      <c r="H1377">
        <f>_xlfn.XLOOKUP(C1377,Products!A:A,Products!D:D)</f>
        <v>494.39</v>
      </c>
      <c r="I1377">
        <v>10</v>
      </c>
      <c r="J1377">
        <f t="shared" si="65"/>
        <v>889.90200000000004</v>
      </c>
      <c r="K1377" t="s">
        <v>2015</v>
      </c>
      <c r="L1377" t="str">
        <f>_xlfn.XLOOKUP(Orders[[#This Row],[ProductID]],Products!A:A,Products!C:C)</f>
        <v>Beauty</v>
      </c>
    </row>
    <row r="1378" spans="1:12" x14ac:dyDescent="0.3">
      <c r="A1378">
        <v>1377</v>
      </c>
      <c r="B1378">
        <v>1054</v>
      </c>
      <c r="C1378">
        <v>2</v>
      </c>
      <c r="D1378" t="s">
        <v>678</v>
      </c>
      <c r="E1378">
        <f t="shared" si="63"/>
        <v>2023</v>
      </c>
      <c r="F1378" t="str">
        <f t="shared" si="64"/>
        <v>Oct</v>
      </c>
      <c r="G1378">
        <v>2</v>
      </c>
      <c r="H1378">
        <f>_xlfn.XLOOKUP(C1378,Products!A:A,Products!D:D)</f>
        <v>427.27</v>
      </c>
      <c r="I1378">
        <v>0</v>
      </c>
      <c r="J1378">
        <f t="shared" si="65"/>
        <v>854.54</v>
      </c>
      <c r="K1378" t="s">
        <v>2017</v>
      </c>
      <c r="L1378" t="str">
        <f>_xlfn.XLOOKUP(Orders[[#This Row],[ProductID]],Products!A:A,Products!C:C)</f>
        <v>Home</v>
      </c>
    </row>
    <row r="1379" spans="1:12" x14ac:dyDescent="0.3">
      <c r="A1379">
        <v>1378</v>
      </c>
      <c r="B1379">
        <v>1054</v>
      </c>
      <c r="C1379">
        <v>25</v>
      </c>
      <c r="D1379" t="s">
        <v>2079</v>
      </c>
      <c r="E1379">
        <f t="shared" si="63"/>
        <v>2023</v>
      </c>
      <c r="F1379" t="str">
        <f t="shared" si="64"/>
        <v>Oct</v>
      </c>
      <c r="G1379">
        <v>3</v>
      </c>
      <c r="H1379">
        <f>_xlfn.XLOOKUP(C1379,Products!A:A,Products!D:D)</f>
        <v>1011.65</v>
      </c>
      <c r="I1379">
        <v>20</v>
      </c>
      <c r="J1379">
        <f t="shared" si="65"/>
        <v>2427.96</v>
      </c>
      <c r="K1379" t="s">
        <v>2017</v>
      </c>
      <c r="L1379" t="str">
        <f>_xlfn.XLOOKUP(Orders[[#This Row],[ProductID]],Products!A:A,Products!C:C)</f>
        <v>Electronics</v>
      </c>
    </row>
    <row r="1380" spans="1:12" x14ac:dyDescent="0.3">
      <c r="A1380">
        <v>1379</v>
      </c>
      <c r="B1380">
        <v>1054</v>
      </c>
      <c r="C1380">
        <v>1</v>
      </c>
      <c r="D1380" t="s">
        <v>475</v>
      </c>
      <c r="E1380">
        <f t="shared" si="63"/>
        <v>2023</v>
      </c>
      <c r="F1380" t="str">
        <f t="shared" si="64"/>
        <v>May</v>
      </c>
      <c r="G1380">
        <v>2</v>
      </c>
      <c r="H1380">
        <f>_xlfn.XLOOKUP(C1380,Products!A:A,Products!D:D)</f>
        <v>469.08</v>
      </c>
      <c r="I1380">
        <v>20</v>
      </c>
      <c r="J1380">
        <f t="shared" si="65"/>
        <v>750.52800000000002</v>
      </c>
      <c r="K1380" t="s">
        <v>2024</v>
      </c>
      <c r="L1380" t="str">
        <f>_xlfn.XLOOKUP(Orders[[#This Row],[ProductID]],Products!A:A,Products!C:C)</f>
        <v>Clothing</v>
      </c>
    </row>
    <row r="1381" spans="1:12" x14ac:dyDescent="0.3">
      <c r="A1381">
        <v>1380</v>
      </c>
      <c r="B1381">
        <v>1054</v>
      </c>
      <c r="C1381">
        <v>64</v>
      </c>
      <c r="D1381" t="s">
        <v>384</v>
      </c>
      <c r="E1381">
        <f t="shared" si="63"/>
        <v>2023</v>
      </c>
      <c r="F1381" t="str">
        <f t="shared" si="64"/>
        <v>Nov</v>
      </c>
      <c r="G1381">
        <v>1</v>
      </c>
      <c r="H1381">
        <f>_xlfn.XLOOKUP(C1381,Products!A:A,Products!D:D)</f>
        <v>567.71</v>
      </c>
      <c r="I1381">
        <v>10</v>
      </c>
      <c r="J1381">
        <f t="shared" si="65"/>
        <v>510.93900000000002</v>
      </c>
      <c r="K1381" t="s">
        <v>2015</v>
      </c>
      <c r="L1381" t="str">
        <f>_xlfn.XLOOKUP(Orders[[#This Row],[ProductID]],Products!A:A,Products!C:C)</f>
        <v>Clothing</v>
      </c>
    </row>
    <row r="1382" spans="1:12" x14ac:dyDescent="0.3">
      <c r="A1382">
        <v>1381</v>
      </c>
      <c r="B1382">
        <v>1055</v>
      </c>
      <c r="C1382">
        <v>62</v>
      </c>
      <c r="D1382" t="s">
        <v>936</v>
      </c>
      <c r="E1382">
        <f t="shared" si="63"/>
        <v>2023</v>
      </c>
      <c r="F1382" t="str">
        <f t="shared" si="64"/>
        <v>Sep</v>
      </c>
      <c r="G1382">
        <v>2</v>
      </c>
      <c r="H1382">
        <f>_xlfn.XLOOKUP(C1382,Products!A:A,Products!D:D)</f>
        <v>196.96</v>
      </c>
      <c r="I1382">
        <v>10</v>
      </c>
      <c r="J1382">
        <f t="shared" si="65"/>
        <v>354.52800000000002</v>
      </c>
      <c r="K1382" t="s">
        <v>2024</v>
      </c>
      <c r="L1382" t="str">
        <f>_xlfn.XLOOKUP(Orders[[#This Row],[ProductID]],Products!A:A,Products!C:C)</f>
        <v>Electronics</v>
      </c>
    </row>
    <row r="1383" spans="1:12" x14ac:dyDescent="0.3">
      <c r="A1383">
        <v>1382</v>
      </c>
      <c r="B1383">
        <v>1055</v>
      </c>
      <c r="C1383">
        <v>69</v>
      </c>
      <c r="D1383" t="s">
        <v>644</v>
      </c>
      <c r="E1383">
        <f t="shared" si="63"/>
        <v>2023</v>
      </c>
      <c r="F1383" t="str">
        <f t="shared" si="64"/>
        <v>May</v>
      </c>
      <c r="G1383">
        <v>2</v>
      </c>
      <c r="H1383">
        <f>_xlfn.XLOOKUP(C1383,Products!A:A,Products!D:D)</f>
        <v>951.81</v>
      </c>
      <c r="I1383">
        <v>10</v>
      </c>
      <c r="J1383">
        <f t="shared" si="65"/>
        <v>1713.258</v>
      </c>
      <c r="K1383" t="s">
        <v>2015</v>
      </c>
      <c r="L1383" t="str">
        <f>_xlfn.XLOOKUP(Orders[[#This Row],[ProductID]],Products!A:A,Products!C:C)</f>
        <v>Clothing</v>
      </c>
    </row>
    <row r="1384" spans="1:12" x14ac:dyDescent="0.3">
      <c r="A1384">
        <v>1383</v>
      </c>
      <c r="B1384">
        <v>1055</v>
      </c>
      <c r="C1384">
        <v>65</v>
      </c>
      <c r="D1384" t="s">
        <v>1350</v>
      </c>
      <c r="E1384">
        <f t="shared" si="63"/>
        <v>2023</v>
      </c>
      <c r="F1384" t="str">
        <f t="shared" si="64"/>
        <v>Jun</v>
      </c>
      <c r="G1384">
        <v>3</v>
      </c>
      <c r="H1384">
        <f>_xlfn.XLOOKUP(C1384,Products!A:A,Products!D:D)</f>
        <v>1189.73</v>
      </c>
      <c r="I1384">
        <v>15</v>
      </c>
      <c r="J1384">
        <f t="shared" si="65"/>
        <v>3033.8114999999998</v>
      </c>
      <c r="K1384" t="s">
        <v>2019</v>
      </c>
      <c r="L1384" t="str">
        <f>_xlfn.XLOOKUP(Orders[[#This Row],[ProductID]],Products!A:A,Products!C:C)</f>
        <v>Home</v>
      </c>
    </row>
    <row r="1385" spans="1:12" x14ac:dyDescent="0.3">
      <c r="A1385">
        <v>1384</v>
      </c>
      <c r="B1385">
        <v>1055</v>
      </c>
      <c r="C1385">
        <v>24</v>
      </c>
      <c r="D1385" t="s">
        <v>1242</v>
      </c>
      <c r="E1385">
        <f t="shared" si="63"/>
        <v>2023</v>
      </c>
      <c r="F1385" t="str">
        <f t="shared" si="64"/>
        <v>Sep</v>
      </c>
      <c r="G1385">
        <v>1</v>
      </c>
      <c r="H1385">
        <f>_xlfn.XLOOKUP(C1385,Products!A:A,Products!D:D)</f>
        <v>1019.85</v>
      </c>
      <c r="I1385">
        <v>10</v>
      </c>
      <c r="J1385">
        <f t="shared" si="65"/>
        <v>917.86500000000001</v>
      </c>
      <c r="K1385" t="s">
        <v>2015</v>
      </c>
      <c r="L1385" t="str">
        <f>_xlfn.XLOOKUP(Orders[[#This Row],[ProductID]],Products!A:A,Products!C:C)</f>
        <v>Beauty</v>
      </c>
    </row>
    <row r="1386" spans="1:12" x14ac:dyDescent="0.3">
      <c r="A1386">
        <v>1385</v>
      </c>
      <c r="B1386">
        <v>1056</v>
      </c>
      <c r="C1386">
        <v>61</v>
      </c>
      <c r="D1386" t="s">
        <v>1758</v>
      </c>
      <c r="E1386">
        <f t="shared" si="63"/>
        <v>2023</v>
      </c>
      <c r="F1386" t="str">
        <f t="shared" si="64"/>
        <v>Sep</v>
      </c>
      <c r="G1386">
        <v>1</v>
      </c>
      <c r="H1386">
        <f>_xlfn.XLOOKUP(C1386,Products!A:A,Products!D:D)</f>
        <v>498.92</v>
      </c>
      <c r="I1386">
        <v>5</v>
      </c>
      <c r="J1386">
        <f t="shared" si="65"/>
        <v>473.97399999999999</v>
      </c>
      <c r="K1386" t="s">
        <v>2019</v>
      </c>
      <c r="L1386" t="str">
        <f>_xlfn.XLOOKUP(Orders[[#This Row],[ProductID]],Products!A:A,Products!C:C)</f>
        <v>Clothing</v>
      </c>
    </row>
    <row r="1387" spans="1:12" x14ac:dyDescent="0.3">
      <c r="A1387">
        <v>1386</v>
      </c>
      <c r="B1387">
        <v>1056</v>
      </c>
      <c r="C1387">
        <v>56</v>
      </c>
      <c r="D1387" t="s">
        <v>2194</v>
      </c>
      <c r="E1387">
        <f t="shared" si="63"/>
        <v>2023</v>
      </c>
      <c r="F1387" t="str">
        <f t="shared" si="64"/>
        <v>Dec</v>
      </c>
      <c r="G1387">
        <v>2</v>
      </c>
      <c r="H1387">
        <f>_xlfn.XLOOKUP(C1387,Products!A:A,Products!D:D)</f>
        <v>396.01</v>
      </c>
      <c r="I1387">
        <v>0</v>
      </c>
      <c r="J1387">
        <f t="shared" si="65"/>
        <v>792.02</v>
      </c>
      <c r="K1387" t="s">
        <v>2017</v>
      </c>
      <c r="L1387" t="str">
        <f>_xlfn.XLOOKUP(Orders[[#This Row],[ProductID]],Products!A:A,Products!C:C)</f>
        <v>Home</v>
      </c>
    </row>
    <row r="1388" spans="1:12" x14ac:dyDescent="0.3">
      <c r="A1388">
        <v>1387</v>
      </c>
      <c r="B1388">
        <v>1056</v>
      </c>
      <c r="C1388">
        <v>44</v>
      </c>
      <c r="D1388" t="s">
        <v>145</v>
      </c>
      <c r="E1388">
        <f t="shared" si="63"/>
        <v>2023</v>
      </c>
      <c r="F1388" t="str">
        <f t="shared" si="64"/>
        <v>Nov</v>
      </c>
      <c r="G1388">
        <v>3</v>
      </c>
      <c r="H1388">
        <f>_xlfn.XLOOKUP(C1388,Products!A:A,Products!D:D)</f>
        <v>1038</v>
      </c>
      <c r="I1388">
        <v>20</v>
      </c>
      <c r="J1388">
        <f t="shared" si="65"/>
        <v>2491.2000000000003</v>
      </c>
      <c r="K1388" t="s">
        <v>2021</v>
      </c>
      <c r="L1388" t="str">
        <f>_xlfn.XLOOKUP(Orders[[#This Row],[ProductID]],Products!A:A,Products!C:C)</f>
        <v>Home</v>
      </c>
    </row>
    <row r="1389" spans="1:12" x14ac:dyDescent="0.3">
      <c r="A1389">
        <v>1388</v>
      </c>
      <c r="B1389">
        <v>1056</v>
      </c>
      <c r="C1389">
        <v>25</v>
      </c>
      <c r="D1389" t="s">
        <v>2166</v>
      </c>
      <c r="E1389">
        <f t="shared" si="63"/>
        <v>2024</v>
      </c>
      <c r="F1389" t="str">
        <f t="shared" si="64"/>
        <v>Feb</v>
      </c>
      <c r="G1389">
        <v>1</v>
      </c>
      <c r="H1389">
        <f>_xlfn.XLOOKUP(C1389,Products!A:A,Products!D:D)</f>
        <v>1011.65</v>
      </c>
      <c r="I1389">
        <v>5</v>
      </c>
      <c r="J1389">
        <f t="shared" si="65"/>
        <v>961.06749999999988</v>
      </c>
      <c r="K1389" t="s">
        <v>2021</v>
      </c>
      <c r="L1389" t="str">
        <f>_xlfn.XLOOKUP(Orders[[#This Row],[ProductID]],Products!A:A,Products!C:C)</f>
        <v>Electronics</v>
      </c>
    </row>
    <row r="1390" spans="1:12" x14ac:dyDescent="0.3">
      <c r="A1390">
        <v>1389</v>
      </c>
      <c r="B1390">
        <v>1057</v>
      </c>
      <c r="C1390">
        <v>40</v>
      </c>
      <c r="D1390" t="s">
        <v>1438</v>
      </c>
      <c r="E1390">
        <f t="shared" si="63"/>
        <v>2023</v>
      </c>
      <c r="F1390" t="str">
        <f t="shared" si="64"/>
        <v>Sep</v>
      </c>
      <c r="G1390">
        <v>2</v>
      </c>
      <c r="H1390">
        <f>_xlfn.XLOOKUP(C1390,Products!A:A,Products!D:D)</f>
        <v>316.49</v>
      </c>
      <c r="I1390">
        <v>10</v>
      </c>
      <c r="J1390">
        <f t="shared" si="65"/>
        <v>569.68200000000002</v>
      </c>
      <c r="K1390" t="s">
        <v>2015</v>
      </c>
      <c r="L1390" t="str">
        <f>_xlfn.XLOOKUP(Orders[[#This Row],[ProductID]],Products!A:A,Products!C:C)</f>
        <v>Home</v>
      </c>
    </row>
    <row r="1391" spans="1:12" x14ac:dyDescent="0.3">
      <c r="A1391">
        <v>1390</v>
      </c>
      <c r="B1391">
        <v>1057</v>
      </c>
      <c r="C1391">
        <v>61</v>
      </c>
      <c r="D1391" t="s">
        <v>1382</v>
      </c>
      <c r="E1391">
        <f t="shared" si="63"/>
        <v>2023</v>
      </c>
      <c r="F1391" t="str">
        <f t="shared" si="64"/>
        <v>Feb</v>
      </c>
      <c r="G1391">
        <v>3</v>
      </c>
      <c r="H1391">
        <f>_xlfn.XLOOKUP(C1391,Products!A:A,Products!D:D)</f>
        <v>498.92</v>
      </c>
      <c r="I1391">
        <v>10</v>
      </c>
      <c r="J1391">
        <f t="shared" si="65"/>
        <v>1347.0840000000001</v>
      </c>
      <c r="K1391" t="s">
        <v>2015</v>
      </c>
      <c r="L1391" t="str">
        <f>_xlfn.XLOOKUP(Orders[[#This Row],[ProductID]],Products!A:A,Products!C:C)</f>
        <v>Clothing</v>
      </c>
    </row>
    <row r="1392" spans="1:12" x14ac:dyDescent="0.3">
      <c r="A1392">
        <v>1391</v>
      </c>
      <c r="B1392">
        <v>1057</v>
      </c>
      <c r="C1392">
        <v>27</v>
      </c>
      <c r="D1392" t="s">
        <v>1191</v>
      </c>
      <c r="E1392">
        <f t="shared" si="63"/>
        <v>2023</v>
      </c>
      <c r="F1392" t="str">
        <f t="shared" si="64"/>
        <v>Oct</v>
      </c>
      <c r="G1392">
        <v>3</v>
      </c>
      <c r="H1392">
        <f>_xlfn.XLOOKUP(C1392,Products!A:A,Products!D:D)</f>
        <v>76.09</v>
      </c>
      <c r="I1392">
        <v>5</v>
      </c>
      <c r="J1392">
        <f t="shared" si="65"/>
        <v>216.85650000000001</v>
      </c>
      <c r="K1392" t="s">
        <v>2024</v>
      </c>
      <c r="L1392" t="str">
        <f>_xlfn.XLOOKUP(Orders[[#This Row],[ProductID]],Products!A:A,Products!C:C)</f>
        <v>Clothing</v>
      </c>
    </row>
    <row r="1393" spans="1:12" x14ac:dyDescent="0.3">
      <c r="A1393">
        <v>1392</v>
      </c>
      <c r="B1393">
        <v>1058</v>
      </c>
      <c r="C1393">
        <v>21</v>
      </c>
      <c r="D1393" t="s">
        <v>1120</v>
      </c>
      <c r="E1393">
        <f t="shared" si="63"/>
        <v>2023</v>
      </c>
      <c r="F1393" t="str">
        <f t="shared" si="64"/>
        <v>Apr</v>
      </c>
      <c r="G1393">
        <v>2</v>
      </c>
      <c r="H1393">
        <f>_xlfn.XLOOKUP(C1393,Products!A:A,Products!D:D)</f>
        <v>420.66</v>
      </c>
      <c r="I1393">
        <v>5</v>
      </c>
      <c r="J1393">
        <f t="shared" si="65"/>
        <v>799.25400000000002</v>
      </c>
      <c r="K1393" t="s">
        <v>2021</v>
      </c>
      <c r="L1393" t="str">
        <f>_xlfn.XLOOKUP(Orders[[#This Row],[ProductID]],Products!A:A,Products!C:C)</f>
        <v>Beauty</v>
      </c>
    </row>
    <row r="1394" spans="1:12" x14ac:dyDescent="0.3">
      <c r="A1394">
        <v>1393</v>
      </c>
      <c r="B1394">
        <v>1058</v>
      </c>
      <c r="C1394">
        <v>79</v>
      </c>
      <c r="D1394" t="s">
        <v>2185</v>
      </c>
      <c r="E1394">
        <f t="shared" si="63"/>
        <v>2023</v>
      </c>
      <c r="F1394" t="str">
        <f t="shared" si="64"/>
        <v>Dec</v>
      </c>
      <c r="G1394">
        <v>1</v>
      </c>
      <c r="H1394">
        <f>_xlfn.XLOOKUP(C1394,Products!A:A,Products!D:D)</f>
        <v>488.34</v>
      </c>
      <c r="I1394">
        <v>10</v>
      </c>
      <c r="J1394">
        <f t="shared" si="65"/>
        <v>439.50599999999997</v>
      </c>
      <c r="K1394" t="s">
        <v>2015</v>
      </c>
      <c r="L1394" t="str">
        <f>_xlfn.XLOOKUP(Orders[[#This Row],[ProductID]],Products!A:A,Products!C:C)</f>
        <v>Electronics</v>
      </c>
    </row>
    <row r="1395" spans="1:12" x14ac:dyDescent="0.3">
      <c r="A1395">
        <v>1394</v>
      </c>
      <c r="B1395">
        <v>1058</v>
      </c>
      <c r="C1395">
        <v>61</v>
      </c>
      <c r="D1395" t="s">
        <v>1201</v>
      </c>
      <c r="E1395">
        <f t="shared" si="63"/>
        <v>2023</v>
      </c>
      <c r="F1395" t="str">
        <f t="shared" si="64"/>
        <v>Dec</v>
      </c>
      <c r="G1395">
        <v>3</v>
      </c>
      <c r="H1395">
        <f>_xlfn.XLOOKUP(C1395,Products!A:A,Products!D:D)</f>
        <v>498.92</v>
      </c>
      <c r="I1395">
        <v>15</v>
      </c>
      <c r="J1395">
        <f t="shared" si="65"/>
        <v>1272.2459999999999</v>
      </c>
      <c r="K1395" t="s">
        <v>2024</v>
      </c>
      <c r="L1395" t="str">
        <f>_xlfn.XLOOKUP(Orders[[#This Row],[ProductID]],Products!A:A,Products!C:C)</f>
        <v>Clothing</v>
      </c>
    </row>
    <row r="1396" spans="1:12" x14ac:dyDescent="0.3">
      <c r="A1396">
        <v>1395</v>
      </c>
      <c r="B1396">
        <v>1059</v>
      </c>
      <c r="C1396">
        <v>30</v>
      </c>
      <c r="D1396" t="s">
        <v>2232</v>
      </c>
      <c r="E1396">
        <f t="shared" si="63"/>
        <v>2024</v>
      </c>
      <c r="F1396" t="str">
        <f t="shared" si="64"/>
        <v>Apr</v>
      </c>
      <c r="G1396">
        <v>2</v>
      </c>
      <c r="H1396">
        <f>_xlfn.XLOOKUP(C1396,Products!A:A,Products!D:D)</f>
        <v>866.89</v>
      </c>
      <c r="I1396">
        <v>15</v>
      </c>
      <c r="J1396">
        <f t="shared" si="65"/>
        <v>1473.713</v>
      </c>
      <c r="K1396" t="s">
        <v>2024</v>
      </c>
      <c r="L1396" t="str">
        <f>_xlfn.XLOOKUP(Orders[[#This Row],[ProductID]],Products!A:A,Products!C:C)</f>
        <v>Electronics</v>
      </c>
    </row>
    <row r="1397" spans="1:12" x14ac:dyDescent="0.3">
      <c r="A1397">
        <v>1396</v>
      </c>
      <c r="B1397">
        <v>1059</v>
      </c>
      <c r="C1397">
        <v>48</v>
      </c>
      <c r="D1397" t="s">
        <v>546</v>
      </c>
      <c r="E1397">
        <f t="shared" si="63"/>
        <v>2023</v>
      </c>
      <c r="F1397" t="str">
        <f t="shared" si="64"/>
        <v>Mar</v>
      </c>
      <c r="G1397">
        <v>2</v>
      </c>
      <c r="H1397">
        <f>_xlfn.XLOOKUP(C1397,Products!A:A,Products!D:D)</f>
        <v>1125.8499999999999</v>
      </c>
      <c r="I1397">
        <v>10</v>
      </c>
      <c r="J1397">
        <f t="shared" si="65"/>
        <v>2026.53</v>
      </c>
      <c r="K1397" t="s">
        <v>2024</v>
      </c>
      <c r="L1397" t="str">
        <f>_xlfn.XLOOKUP(Orders[[#This Row],[ProductID]],Products!A:A,Products!C:C)</f>
        <v>Clothing</v>
      </c>
    </row>
    <row r="1398" spans="1:12" x14ac:dyDescent="0.3">
      <c r="A1398">
        <v>1397</v>
      </c>
      <c r="B1398">
        <v>1059</v>
      </c>
      <c r="C1398">
        <v>41</v>
      </c>
      <c r="D1398" t="s">
        <v>2118</v>
      </c>
      <c r="E1398">
        <f t="shared" si="63"/>
        <v>2023</v>
      </c>
      <c r="F1398" t="str">
        <f t="shared" si="64"/>
        <v>Aug</v>
      </c>
      <c r="G1398">
        <v>2</v>
      </c>
      <c r="H1398">
        <f>_xlfn.XLOOKUP(C1398,Products!A:A,Products!D:D)</f>
        <v>554.80999999999995</v>
      </c>
      <c r="I1398">
        <v>15</v>
      </c>
      <c r="J1398">
        <f t="shared" si="65"/>
        <v>943.17699999999991</v>
      </c>
      <c r="K1398" t="s">
        <v>2015</v>
      </c>
      <c r="L1398" t="str">
        <f>_xlfn.XLOOKUP(Orders[[#This Row],[ProductID]],Products!A:A,Products!C:C)</f>
        <v>Home</v>
      </c>
    </row>
    <row r="1399" spans="1:12" x14ac:dyDescent="0.3">
      <c r="A1399">
        <v>1398</v>
      </c>
      <c r="B1399">
        <v>1060</v>
      </c>
      <c r="C1399">
        <v>51</v>
      </c>
      <c r="D1399" t="s">
        <v>2127</v>
      </c>
      <c r="E1399">
        <f t="shared" si="63"/>
        <v>2024</v>
      </c>
      <c r="F1399" t="str">
        <f t="shared" si="64"/>
        <v>Jan</v>
      </c>
      <c r="G1399">
        <v>2</v>
      </c>
      <c r="H1399">
        <f>_xlfn.XLOOKUP(C1399,Products!A:A,Products!D:D)</f>
        <v>759.57</v>
      </c>
      <c r="I1399">
        <v>0</v>
      </c>
      <c r="J1399">
        <f t="shared" si="65"/>
        <v>1519.14</v>
      </c>
      <c r="K1399" t="s">
        <v>2017</v>
      </c>
      <c r="L1399" t="str">
        <f>_xlfn.XLOOKUP(Orders[[#This Row],[ProductID]],Products!A:A,Products!C:C)</f>
        <v>Beauty</v>
      </c>
    </row>
    <row r="1400" spans="1:12" x14ac:dyDescent="0.3">
      <c r="A1400">
        <v>1399</v>
      </c>
      <c r="B1400">
        <v>1060</v>
      </c>
      <c r="C1400">
        <v>8</v>
      </c>
      <c r="D1400" t="s">
        <v>2014</v>
      </c>
      <c r="E1400">
        <f t="shared" si="63"/>
        <v>2024</v>
      </c>
      <c r="F1400" t="str">
        <f t="shared" si="64"/>
        <v>May</v>
      </c>
      <c r="G1400">
        <v>2</v>
      </c>
      <c r="H1400">
        <f>_xlfn.XLOOKUP(C1400,Products!A:A,Products!D:D)</f>
        <v>155.08000000000001</v>
      </c>
      <c r="I1400">
        <v>10</v>
      </c>
      <c r="J1400">
        <f t="shared" si="65"/>
        <v>279.14400000000001</v>
      </c>
      <c r="K1400" t="s">
        <v>2021</v>
      </c>
      <c r="L1400" t="str">
        <f>_xlfn.XLOOKUP(Orders[[#This Row],[ProductID]],Products!A:A,Products!C:C)</f>
        <v>Clothing</v>
      </c>
    </row>
    <row r="1401" spans="1:12" x14ac:dyDescent="0.3">
      <c r="A1401">
        <v>1400</v>
      </c>
      <c r="B1401">
        <v>1060</v>
      </c>
      <c r="C1401">
        <v>59</v>
      </c>
      <c r="D1401" t="s">
        <v>2177</v>
      </c>
      <c r="E1401">
        <f t="shared" si="63"/>
        <v>2024</v>
      </c>
      <c r="F1401" t="str">
        <f t="shared" si="64"/>
        <v>Jan</v>
      </c>
      <c r="G1401">
        <v>2</v>
      </c>
      <c r="H1401">
        <f>_xlfn.XLOOKUP(C1401,Products!A:A,Products!D:D)</f>
        <v>782.33</v>
      </c>
      <c r="I1401">
        <v>0</v>
      </c>
      <c r="J1401">
        <f t="shared" si="65"/>
        <v>1564.66</v>
      </c>
      <c r="K1401" t="s">
        <v>2021</v>
      </c>
      <c r="L1401" t="str">
        <f>_xlfn.XLOOKUP(Orders[[#This Row],[ProductID]],Products!A:A,Products!C:C)</f>
        <v>Clothing</v>
      </c>
    </row>
    <row r="1402" spans="1:12" x14ac:dyDescent="0.3">
      <c r="A1402">
        <v>1401</v>
      </c>
      <c r="B1402">
        <v>1061</v>
      </c>
      <c r="C1402">
        <v>27</v>
      </c>
      <c r="D1402" t="s">
        <v>2108</v>
      </c>
      <c r="E1402">
        <f t="shared" si="63"/>
        <v>2023</v>
      </c>
      <c r="F1402" t="str">
        <f t="shared" si="64"/>
        <v>Dec</v>
      </c>
      <c r="G1402">
        <v>3</v>
      </c>
      <c r="H1402">
        <f>_xlfn.XLOOKUP(C1402,Products!A:A,Products!D:D)</f>
        <v>76.09</v>
      </c>
      <c r="I1402">
        <v>10</v>
      </c>
      <c r="J1402">
        <f t="shared" si="65"/>
        <v>205.44300000000001</v>
      </c>
      <c r="K1402" t="s">
        <v>2024</v>
      </c>
      <c r="L1402" t="str">
        <f>_xlfn.XLOOKUP(Orders[[#This Row],[ProductID]],Products!A:A,Products!C:C)</f>
        <v>Clothing</v>
      </c>
    </row>
    <row r="1403" spans="1:12" x14ac:dyDescent="0.3">
      <c r="A1403">
        <v>1402</v>
      </c>
      <c r="B1403">
        <v>1061</v>
      </c>
      <c r="C1403">
        <v>48</v>
      </c>
      <c r="D1403" t="s">
        <v>714</v>
      </c>
      <c r="E1403">
        <f t="shared" si="63"/>
        <v>2023</v>
      </c>
      <c r="F1403" t="str">
        <f t="shared" si="64"/>
        <v>Jan</v>
      </c>
      <c r="G1403">
        <v>2</v>
      </c>
      <c r="H1403">
        <f>_xlfn.XLOOKUP(C1403,Products!A:A,Products!D:D)</f>
        <v>1125.8499999999999</v>
      </c>
      <c r="I1403">
        <v>15</v>
      </c>
      <c r="J1403">
        <f t="shared" si="65"/>
        <v>1913.9449999999997</v>
      </c>
      <c r="K1403" t="s">
        <v>2017</v>
      </c>
      <c r="L1403" t="str">
        <f>_xlfn.XLOOKUP(Orders[[#This Row],[ProductID]],Products!A:A,Products!C:C)</f>
        <v>Clothing</v>
      </c>
    </row>
    <row r="1404" spans="1:12" x14ac:dyDescent="0.3">
      <c r="A1404">
        <v>1403</v>
      </c>
      <c r="B1404">
        <v>1061</v>
      </c>
      <c r="C1404">
        <v>42</v>
      </c>
      <c r="D1404" t="s">
        <v>667</v>
      </c>
      <c r="E1404">
        <f t="shared" si="63"/>
        <v>2023</v>
      </c>
      <c r="F1404" t="str">
        <f t="shared" si="64"/>
        <v>Oct</v>
      </c>
      <c r="G1404">
        <v>3</v>
      </c>
      <c r="H1404">
        <f>_xlfn.XLOOKUP(C1404,Products!A:A,Products!D:D)</f>
        <v>233.11</v>
      </c>
      <c r="I1404">
        <v>5</v>
      </c>
      <c r="J1404">
        <f t="shared" si="65"/>
        <v>664.36350000000004</v>
      </c>
      <c r="K1404" t="s">
        <v>2021</v>
      </c>
      <c r="L1404" t="str">
        <f>_xlfn.XLOOKUP(Orders[[#This Row],[ProductID]],Products!A:A,Products!C:C)</f>
        <v>Home</v>
      </c>
    </row>
    <row r="1405" spans="1:12" x14ac:dyDescent="0.3">
      <c r="A1405">
        <v>1404</v>
      </c>
      <c r="B1405">
        <v>1061</v>
      </c>
      <c r="C1405">
        <v>80</v>
      </c>
      <c r="D1405" t="s">
        <v>1900</v>
      </c>
      <c r="E1405">
        <f t="shared" si="63"/>
        <v>2023</v>
      </c>
      <c r="F1405" t="str">
        <f t="shared" si="64"/>
        <v>Sep</v>
      </c>
      <c r="G1405">
        <v>2</v>
      </c>
      <c r="H1405">
        <f>_xlfn.XLOOKUP(C1405,Products!A:A,Products!D:D)</f>
        <v>1014.45</v>
      </c>
      <c r="I1405">
        <v>10</v>
      </c>
      <c r="J1405">
        <f t="shared" si="65"/>
        <v>1826.0100000000002</v>
      </c>
      <c r="K1405" t="s">
        <v>2019</v>
      </c>
      <c r="L1405" t="str">
        <f>_xlfn.XLOOKUP(Orders[[#This Row],[ProductID]],Products!A:A,Products!C:C)</f>
        <v>Beauty</v>
      </c>
    </row>
    <row r="1406" spans="1:12" x14ac:dyDescent="0.3">
      <c r="A1406">
        <v>1405</v>
      </c>
      <c r="B1406">
        <v>1062</v>
      </c>
      <c r="C1406">
        <v>10</v>
      </c>
      <c r="D1406" t="s">
        <v>792</v>
      </c>
      <c r="E1406">
        <f t="shared" si="63"/>
        <v>2023</v>
      </c>
      <c r="F1406" t="str">
        <f t="shared" si="64"/>
        <v>May</v>
      </c>
      <c r="G1406">
        <v>1</v>
      </c>
      <c r="H1406">
        <f>_xlfn.XLOOKUP(C1406,Products!A:A,Products!D:D)</f>
        <v>64.11</v>
      </c>
      <c r="I1406">
        <v>10</v>
      </c>
      <c r="J1406">
        <f t="shared" si="65"/>
        <v>57.698999999999998</v>
      </c>
      <c r="K1406" t="s">
        <v>2017</v>
      </c>
      <c r="L1406" t="str">
        <f>_xlfn.XLOOKUP(Orders[[#This Row],[ProductID]],Products!A:A,Products!C:C)</f>
        <v>Clothing</v>
      </c>
    </row>
    <row r="1407" spans="1:12" x14ac:dyDescent="0.3">
      <c r="A1407">
        <v>1406</v>
      </c>
      <c r="B1407">
        <v>1062</v>
      </c>
      <c r="C1407">
        <v>76</v>
      </c>
      <c r="D1407" t="s">
        <v>1529</v>
      </c>
      <c r="E1407">
        <f t="shared" si="63"/>
        <v>2023</v>
      </c>
      <c r="F1407" t="str">
        <f t="shared" si="64"/>
        <v>Aug</v>
      </c>
      <c r="G1407">
        <v>1</v>
      </c>
      <c r="H1407">
        <f>_xlfn.XLOOKUP(C1407,Products!A:A,Products!D:D)</f>
        <v>1043.26</v>
      </c>
      <c r="I1407">
        <v>15</v>
      </c>
      <c r="J1407">
        <f t="shared" si="65"/>
        <v>886.77099999999996</v>
      </c>
      <c r="K1407" t="s">
        <v>2017</v>
      </c>
      <c r="L1407" t="str">
        <f>_xlfn.XLOOKUP(Orders[[#This Row],[ProductID]],Products!A:A,Products!C:C)</f>
        <v>Clothing</v>
      </c>
    </row>
    <row r="1408" spans="1:12" x14ac:dyDescent="0.3">
      <c r="A1408">
        <v>1407</v>
      </c>
      <c r="B1408">
        <v>1062</v>
      </c>
      <c r="C1408">
        <v>32</v>
      </c>
      <c r="D1408" t="s">
        <v>463</v>
      </c>
      <c r="E1408">
        <f t="shared" si="63"/>
        <v>2023</v>
      </c>
      <c r="F1408" t="str">
        <f t="shared" si="64"/>
        <v>May</v>
      </c>
      <c r="G1408">
        <v>3</v>
      </c>
      <c r="H1408">
        <f>_xlfn.XLOOKUP(C1408,Products!A:A,Products!D:D)</f>
        <v>342.57</v>
      </c>
      <c r="I1408">
        <v>20</v>
      </c>
      <c r="J1408">
        <f t="shared" si="65"/>
        <v>822.16800000000012</v>
      </c>
      <c r="K1408" t="s">
        <v>2017</v>
      </c>
      <c r="L1408" t="str">
        <f>_xlfn.XLOOKUP(Orders[[#This Row],[ProductID]],Products!A:A,Products!C:C)</f>
        <v>Clothing</v>
      </c>
    </row>
    <row r="1409" spans="1:12" x14ac:dyDescent="0.3">
      <c r="A1409">
        <v>1408</v>
      </c>
      <c r="B1409">
        <v>1062</v>
      </c>
      <c r="C1409">
        <v>8</v>
      </c>
      <c r="D1409" t="s">
        <v>323</v>
      </c>
      <c r="E1409">
        <f t="shared" si="63"/>
        <v>2023</v>
      </c>
      <c r="F1409" t="str">
        <f t="shared" si="64"/>
        <v>Feb</v>
      </c>
      <c r="G1409">
        <v>1</v>
      </c>
      <c r="H1409">
        <f>_xlfn.XLOOKUP(C1409,Products!A:A,Products!D:D)</f>
        <v>155.08000000000001</v>
      </c>
      <c r="I1409">
        <v>10</v>
      </c>
      <c r="J1409">
        <f t="shared" si="65"/>
        <v>139.572</v>
      </c>
      <c r="K1409" t="s">
        <v>2024</v>
      </c>
      <c r="L1409" t="str">
        <f>_xlfn.XLOOKUP(Orders[[#This Row],[ProductID]],Products!A:A,Products!C:C)</f>
        <v>Clothing</v>
      </c>
    </row>
    <row r="1410" spans="1:12" x14ac:dyDescent="0.3">
      <c r="A1410">
        <v>1409</v>
      </c>
      <c r="B1410">
        <v>1063</v>
      </c>
      <c r="C1410">
        <v>69</v>
      </c>
      <c r="D1410" t="s">
        <v>1347</v>
      </c>
      <c r="E1410">
        <f t="shared" si="63"/>
        <v>2023</v>
      </c>
      <c r="F1410" t="str">
        <f t="shared" si="64"/>
        <v>Jul</v>
      </c>
      <c r="G1410">
        <v>2</v>
      </c>
      <c r="H1410">
        <f>_xlfn.XLOOKUP(C1410,Products!A:A,Products!D:D)</f>
        <v>951.81</v>
      </c>
      <c r="I1410">
        <v>10</v>
      </c>
      <c r="J1410">
        <f t="shared" si="65"/>
        <v>1713.258</v>
      </c>
      <c r="K1410" t="s">
        <v>2019</v>
      </c>
      <c r="L1410" t="str">
        <f>_xlfn.XLOOKUP(Orders[[#This Row],[ProductID]],Products!A:A,Products!C:C)</f>
        <v>Clothing</v>
      </c>
    </row>
    <row r="1411" spans="1:12" x14ac:dyDescent="0.3">
      <c r="A1411">
        <v>1410</v>
      </c>
      <c r="B1411">
        <v>1063</v>
      </c>
      <c r="C1411">
        <v>61</v>
      </c>
      <c r="D1411" t="s">
        <v>852</v>
      </c>
      <c r="E1411">
        <f t="shared" ref="E1411:E1474" si="66">YEAR(D1411)</f>
        <v>2023</v>
      </c>
      <c r="F1411" t="str">
        <f t="shared" ref="F1411:F1474" si="67">TEXT(D1411,"mmm")</f>
        <v>Mar</v>
      </c>
      <c r="G1411">
        <v>3</v>
      </c>
      <c r="H1411">
        <f>_xlfn.XLOOKUP(C1411,Products!A:A,Products!D:D)</f>
        <v>498.92</v>
      </c>
      <c r="I1411">
        <v>0</v>
      </c>
      <c r="J1411">
        <f t="shared" ref="J1411:J1474" si="68">G1411*H1411*(1-I1411/100)</f>
        <v>1496.76</v>
      </c>
      <c r="K1411" t="s">
        <v>2024</v>
      </c>
      <c r="L1411" t="str">
        <f>_xlfn.XLOOKUP(Orders[[#This Row],[ProductID]],Products!A:A,Products!C:C)</f>
        <v>Clothing</v>
      </c>
    </row>
    <row r="1412" spans="1:12" x14ac:dyDescent="0.3">
      <c r="A1412">
        <v>1411</v>
      </c>
      <c r="B1412">
        <v>1063</v>
      </c>
      <c r="C1412">
        <v>53</v>
      </c>
      <c r="D1412" t="s">
        <v>2231</v>
      </c>
      <c r="E1412">
        <f t="shared" si="66"/>
        <v>2024</v>
      </c>
      <c r="F1412" t="str">
        <f t="shared" si="67"/>
        <v>Feb</v>
      </c>
      <c r="G1412">
        <v>1</v>
      </c>
      <c r="H1412">
        <f>_xlfn.XLOOKUP(C1412,Products!A:A,Products!D:D)</f>
        <v>194.34</v>
      </c>
      <c r="I1412">
        <v>5</v>
      </c>
      <c r="J1412">
        <f t="shared" si="68"/>
        <v>184.62299999999999</v>
      </c>
      <c r="K1412" t="s">
        <v>2015</v>
      </c>
      <c r="L1412" t="str">
        <f>_xlfn.XLOOKUP(Orders[[#This Row],[ProductID]],Products!A:A,Products!C:C)</f>
        <v>Home</v>
      </c>
    </row>
    <row r="1413" spans="1:12" x14ac:dyDescent="0.3">
      <c r="A1413">
        <v>1412</v>
      </c>
      <c r="B1413">
        <v>1063</v>
      </c>
      <c r="C1413">
        <v>39</v>
      </c>
      <c r="D1413" t="s">
        <v>2160</v>
      </c>
      <c r="E1413">
        <f t="shared" si="66"/>
        <v>2023</v>
      </c>
      <c r="F1413" t="str">
        <f t="shared" si="67"/>
        <v>Oct</v>
      </c>
      <c r="G1413">
        <v>1</v>
      </c>
      <c r="H1413">
        <f>_xlfn.XLOOKUP(C1413,Products!A:A,Products!D:D)</f>
        <v>256.08999999999997</v>
      </c>
      <c r="I1413">
        <v>20</v>
      </c>
      <c r="J1413">
        <f t="shared" si="68"/>
        <v>204.87199999999999</v>
      </c>
      <c r="K1413" t="s">
        <v>2019</v>
      </c>
      <c r="L1413" t="str">
        <f>_xlfn.XLOOKUP(Orders[[#This Row],[ProductID]],Products!A:A,Products!C:C)</f>
        <v>Clothing</v>
      </c>
    </row>
    <row r="1414" spans="1:12" x14ac:dyDescent="0.3">
      <c r="A1414">
        <v>1413</v>
      </c>
      <c r="B1414">
        <v>1064</v>
      </c>
      <c r="C1414">
        <v>57</v>
      </c>
      <c r="D1414" t="s">
        <v>673</v>
      </c>
      <c r="E1414">
        <f t="shared" si="66"/>
        <v>2023</v>
      </c>
      <c r="F1414" t="str">
        <f t="shared" si="67"/>
        <v>May</v>
      </c>
      <c r="G1414">
        <v>2</v>
      </c>
      <c r="H1414">
        <f>_xlfn.XLOOKUP(C1414,Products!A:A,Products!D:D)</f>
        <v>768.03</v>
      </c>
      <c r="I1414">
        <v>20</v>
      </c>
      <c r="J1414">
        <f t="shared" si="68"/>
        <v>1228.848</v>
      </c>
      <c r="K1414" t="s">
        <v>2015</v>
      </c>
      <c r="L1414" t="str">
        <f>_xlfn.XLOOKUP(Orders[[#This Row],[ProductID]],Products!A:A,Products!C:C)</f>
        <v>Electronics</v>
      </c>
    </row>
    <row r="1415" spans="1:12" x14ac:dyDescent="0.3">
      <c r="A1415">
        <v>1414</v>
      </c>
      <c r="B1415">
        <v>1064</v>
      </c>
      <c r="C1415">
        <v>34</v>
      </c>
      <c r="D1415" t="s">
        <v>667</v>
      </c>
      <c r="E1415">
        <f t="shared" si="66"/>
        <v>2023</v>
      </c>
      <c r="F1415" t="str">
        <f t="shared" si="67"/>
        <v>Oct</v>
      </c>
      <c r="G1415">
        <v>3</v>
      </c>
      <c r="H1415">
        <f>_xlfn.XLOOKUP(C1415,Products!A:A,Products!D:D)</f>
        <v>523.98</v>
      </c>
      <c r="I1415">
        <v>10</v>
      </c>
      <c r="J1415">
        <f t="shared" si="68"/>
        <v>1414.7460000000001</v>
      </c>
      <c r="K1415" t="s">
        <v>2019</v>
      </c>
      <c r="L1415" t="str">
        <f>_xlfn.XLOOKUP(Orders[[#This Row],[ProductID]],Products!A:A,Products!C:C)</f>
        <v>Home</v>
      </c>
    </row>
    <row r="1416" spans="1:12" x14ac:dyDescent="0.3">
      <c r="A1416">
        <v>1415</v>
      </c>
      <c r="B1416">
        <v>1064</v>
      </c>
      <c r="C1416">
        <v>18</v>
      </c>
      <c r="D1416" t="s">
        <v>2226</v>
      </c>
      <c r="E1416">
        <f t="shared" si="66"/>
        <v>2024</v>
      </c>
      <c r="F1416" t="str">
        <f t="shared" si="67"/>
        <v>Jan</v>
      </c>
      <c r="G1416">
        <v>1</v>
      </c>
      <c r="H1416">
        <f>_xlfn.XLOOKUP(C1416,Products!A:A,Products!D:D)</f>
        <v>138.07</v>
      </c>
      <c r="I1416">
        <v>10</v>
      </c>
      <c r="J1416">
        <f t="shared" si="68"/>
        <v>124.26299999999999</v>
      </c>
      <c r="K1416" t="s">
        <v>2024</v>
      </c>
      <c r="L1416" t="str">
        <f>_xlfn.XLOOKUP(Orders[[#This Row],[ProductID]],Products!A:A,Products!C:C)</f>
        <v>Home</v>
      </c>
    </row>
    <row r="1417" spans="1:12" x14ac:dyDescent="0.3">
      <c r="A1417">
        <v>1416</v>
      </c>
      <c r="B1417">
        <v>1064</v>
      </c>
      <c r="C1417">
        <v>58</v>
      </c>
      <c r="D1417" t="s">
        <v>2038</v>
      </c>
      <c r="E1417">
        <f t="shared" si="66"/>
        <v>2024</v>
      </c>
      <c r="F1417" t="str">
        <f t="shared" si="67"/>
        <v>Jan</v>
      </c>
      <c r="G1417">
        <v>1</v>
      </c>
      <c r="H1417">
        <f>_xlfn.XLOOKUP(C1417,Products!A:A,Products!D:D)</f>
        <v>334.98</v>
      </c>
      <c r="I1417">
        <v>5</v>
      </c>
      <c r="J1417">
        <f t="shared" si="68"/>
        <v>318.23099999999999</v>
      </c>
      <c r="K1417" t="s">
        <v>2024</v>
      </c>
      <c r="L1417" t="str">
        <f>_xlfn.XLOOKUP(Orders[[#This Row],[ProductID]],Products!A:A,Products!C:C)</f>
        <v>Home</v>
      </c>
    </row>
    <row r="1418" spans="1:12" x14ac:dyDescent="0.3">
      <c r="A1418">
        <v>1417</v>
      </c>
      <c r="B1418">
        <v>1065</v>
      </c>
      <c r="C1418">
        <v>60</v>
      </c>
      <c r="D1418" t="s">
        <v>2117</v>
      </c>
      <c r="E1418">
        <f t="shared" si="66"/>
        <v>2023</v>
      </c>
      <c r="F1418" t="str">
        <f t="shared" si="67"/>
        <v>Apr</v>
      </c>
      <c r="G1418">
        <v>2</v>
      </c>
      <c r="H1418">
        <f>_xlfn.XLOOKUP(C1418,Products!A:A,Products!D:D)</f>
        <v>830.49</v>
      </c>
      <c r="I1418">
        <v>10</v>
      </c>
      <c r="J1418">
        <f t="shared" si="68"/>
        <v>1494.8820000000001</v>
      </c>
      <c r="K1418" t="s">
        <v>2024</v>
      </c>
      <c r="L1418" t="str">
        <f>_xlfn.XLOOKUP(Orders[[#This Row],[ProductID]],Products!A:A,Products!C:C)</f>
        <v>Clothing</v>
      </c>
    </row>
    <row r="1419" spans="1:12" x14ac:dyDescent="0.3">
      <c r="A1419">
        <v>1418</v>
      </c>
      <c r="B1419">
        <v>1065</v>
      </c>
      <c r="C1419">
        <v>26</v>
      </c>
      <c r="D1419" t="s">
        <v>2029</v>
      </c>
      <c r="E1419">
        <f t="shared" si="66"/>
        <v>2023</v>
      </c>
      <c r="F1419" t="str">
        <f t="shared" si="67"/>
        <v>Dec</v>
      </c>
      <c r="G1419">
        <v>3</v>
      </c>
      <c r="H1419">
        <f>_xlfn.XLOOKUP(C1419,Products!A:A,Products!D:D)</f>
        <v>272.61</v>
      </c>
      <c r="I1419">
        <v>10</v>
      </c>
      <c r="J1419">
        <f t="shared" si="68"/>
        <v>736.04700000000003</v>
      </c>
      <c r="K1419" t="s">
        <v>2024</v>
      </c>
      <c r="L1419" t="str">
        <f>_xlfn.XLOOKUP(Orders[[#This Row],[ProductID]],Products!A:A,Products!C:C)</f>
        <v>Home</v>
      </c>
    </row>
    <row r="1420" spans="1:12" x14ac:dyDescent="0.3">
      <c r="A1420">
        <v>1419</v>
      </c>
      <c r="B1420">
        <v>1065</v>
      </c>
      <c r="C1420">
        <v>78</v>
      </c>
      <c r="D1420" t="s">
        <v>2038</v>
      </c>
      <c r="E1420">
        <f t="shared" si="66"/>
        <v>2024</v>
      </c>
      <c r="F1420" t="str">
        <f t="shared" si="67"/>
        <v>Jan</v>
      </c>
      <c r="G1420">
        <v>1</v>
      </c>
      <c r="H1420">
        <f>_xlfn.XLOOKUP(C1420,Products!A:A,Products!D:D)</f>
        <v>795.77</v>
      </c>
      <c r="I1420">
        <v>5</v>
      </c>
      <c r="J1420">
        <f t="shared" si="68"/>
        <v>755.98149999999998</v>
      </c>
      <c r="K1420" t="s">
        <v>2019</v>
      </c>
      <c r="L1420" t="str">
        <f>_xlfn.XLOOKUP(Orders[[#This Row],[ProductID]],Products!A:A,Products!C:C)</f>
        <v>Beauty</v>
      </c>
    </row>
    <row r="1421" spans="1:12" x14ac:dyDescent="0.3">
      <c r="A1421">
        <v>1420</v>
      </c>
      <c r="B1421">
        <v>1066</v>
      </c>
      <c r="C1421">
        <v>53</v>
      </c>
      <c r="D1421" t="s">
        <v>761</v>
      </c>
      <c r="E1421">
        <f t="shared" si="66"/>
        <v>2023</v>
      </c>
      <c r="F1421" t="str">
        <f t="shared" si="67"/>
        <v>Aug</v>
      </c>
      <c r="G1421">
        <v>2</v>
      </c>
      <c r="H1421">
        <f>_xlfn.XLOOKUP(C1421,Products!A:A,Products!D:D)</f>
        <v>194.34</v>
      </c>
      <c r="I1421">
        <v>15</v>
      </c>
      <c r="J1421">
        <f t="shared" si="68"/>
        <v>330.37799999999999</v>
      </c>
      <c r="K1421" t="s">
        <v>2019</v>
      </c>
      <c r="L1421" t="str">
        <f>_xlfn.XLOOKUP(Orders[[#This Row],[ProductID]],Products!A:A,Products!C:C)</f>
        <v>Home</v>
      </c>
    </row>
    <row r="1422" spans="1:12" x14ac:dyDescent="0.3">
      <c r="A1422">
        <v>1421</v>
      </c>
      <c r="B1422">
        <v>1066</v>
      </c>
      <c r="C1422">
        <v>68</v>
      </c>
      <c r="D1422" t="s">
        <v>763</v>
      </c>
      <c r="E1422">
        <f t="shared" si="66"/>
        <v>2023</v>
      </c>
      <c r="F1422" t="str">
        <f t="shared" si="67"/>
        <v>Jan</v>
      </c>
      <c r="G1422">
        <v>3</v>
      </c>
      <c r="H1422">
        <f>_xlfn.XLOOKUP(C1422,Products!A:A,Products!D:D)</f>
        <v>180.99</v>
      </c>
      <c r="I1422">
        <v>10</v>
      </c>
      <c r="J1422">
        <f t="shared" si="68"/>
        <v>488.67300000000006</v>
      </c>
      <c r="K1422" t="s">
        <v>2019</v>
      </c>
      <c r="L1422" t="str">
        <f>_xlfn.XLOOKUP(Orders[[#This Row],[ProductID]],Products!A:A,Products!C:C)</f>
        <v>Clothing</v>
      </c>
    </row>
    <row r="1423" spans="1:12" x14ac:dyDescent="0.3">
      <c r="A1423">
        <v>1422</v>
      </c>
      <c r="B1423">
        <v>1066</v>
      </c>
      <c r="C1423">
        <v>73</v>
      </c>
      <c r="D1423" t="s">
        <v>1495</v>
      </c>
      <c r="E1423">
        <f t="shared" si="66"/>
        <v>2023</v>
      </c>
      <c r="F1423" t="str">
        <f t="shared" si="67"/>
        <v>Aug</v>
      </c>
      <c r="G1423">
        <v>1</v>
      </c>
      <c r="H1423">
        <f>_xlfn.XLOOKUP(C1423,Products!A:A,Products!D:D)</f>
        <v>943.04</v>
      </c>
      <c r="I1423">
        <v>20</v>
      </c>
      <c r="J1423">
        <f t="shared" si="68"/>
        <v>754.43200000000002</v>
      </c>
      <c r="K1423" t="s">
        <v>2024</v>
      </c>
      <c r="L1423" t="str">
        <f>_xlfn.XLOOKUP(Orders[[#This Row],[ProductID]],Products!A:A,Products!C:C)</f>
        <v>Home</v>
      </c>
    </row>
    <row r="1424" spans="1:12" x14ac:dyDescent="0.3">
      <c r="A1424">
        <v>1423</v>
      </c>
      <c r="B1424">
        <v>1067</v>
      </c>
      <c r="C1424">
        <v>69</v>
      </c>
      <c r="D1424" t="s">
        <v>16</v>
      </c>
      <c r="E1424">
        <f t="shared" si="66"/>
        <v>2023</v>
      </c>
      <c r="F1424" t="str">
        <f t="shared" si="67"/>
        <v>Sep</v>
      </c>
      <c r="G1424">
        <v>2</v>
      </c>
      <c r="H1424">
        <f>_xlfn.XLOOKUP(C1424,Products!A:A,Products!D:D)</f>
        <v>951.81</v>
      </c>
      <c r="I1424">
        <v>20</v>
      </c>
      <c r="J1424">
        <f t="shared" si="68"/>
        <v>1522.896</v>
      </c>
      <c r="K1424" t="s">
        <v>2024</v>
      </c>
      <c r="L1424" t="str">
        <f>_xlfn.XLOOKUP(Orders[[#This Row],[ProductID]],Products!A:A,Products!C:C)</f>
        <v>Clothing</v>
      </c>
    </row>
    <row r="1425" spans="1:12" x14ac:dyDescent="0.3">
      <c r="A1425">
        <v>1424</v>
      </c>
      <c r="B1425">
        <v>1067</v>
      </c>
      <c r="C1425">
        <v>9</v>
      </c>
      <c r="D1425" t="s">
        <v>2147</v>
      </c>
      <c r="E1425">
        <f t="shared" si="66"/>
        <v>2024</v>
      </c>
      <c r="F1425" t="str">
        <f t="shared" si="67"/>
        <v>Jan</v>
      </c>
      <c r="G1425">
        <v>1</v>
      </c>
      <c r="H1425">
        <f>_xlfn.XLOOKUP(C1425,Products!A:A,Products!D:D)</f>
        <v>43.26</v>
      </c>
      <c r="I1425">
        <v>20</v>
      </c>
      <c r="J1425">
        <f t="shared" si="68"/>
        <v>34.607999999999997</v>
      </c>
      <c r="K1425" t="s">
        <v>2019</v>
      </c>
      <c r="L1425" t="str">
        <f>_xlfn.XLOOKUP(Orders[[#This Row],[ProductID]],Products!A:A,Products!C:C)</f>
        <v>Electronics</v>
      </c>
    </row>
    <row r="1426" spans="1:12" x14ac:dyDescent="0.3">
      <c r="A1426">
        <v>1425</v>
      </c>
      <c r="B1426">
        <v>1067</v>
      </c>
      <c r="C1426">
        <v>72</v>
      </c>
      <c r="D1426" t="s">
        <v>2180</v>
      </c>
      <c r="E1426">
        <f t="shared" si="66"/>
        <v>2024</v>
      </c>
      <c r="F1426" t="str">
        <f t="shared" si="67"/>
        <v>Feb</v>
      </c>
      <c r="G1426">
        <v>1</v>
      </c>
      <c r="H1426">
        <f>_xlfn.XLOOKUP(C1426,Products!A:A,Products!D:D)</f>
        <v>1157.27</v>
      </c>
      <c r="I1426">
        <v>20</v>
      </c>
      <c r="J1426">
        <f t="shared" si="68"/>
        <v>925.81600000000003</v>
      </c>
      <c r="K1426" t="s">
        <v>2021</v>
      </c>
      <c r="L1426" t="str">
        <f>_xlfn.XLOOKUP(Orders[[#This Row],[ProductID]],Products!A:A,Products!C:C)</f>
        <v>Electronics</v>
      </c>
    </row>
    <row r="1427" spans="1:12" x14ac:dyDescent="0.3">
      <c r="A1427">
        <v>1426</v>
      </c>
      <c r="B1427">
        <v>1067</v>
      </c>
      <c r="C1427">
        <v>66</v>
      </c>
      <c r="D1427" t="s">
        <v>2142</v>
      </c>
      <c r="E1427">
        <f t="shared" si="66"/>
        <v>2024</v>
      </c>
      <c r="F1427" t="str">
        <f t="shared" si="67"/>
        <v>Mar</v>
      </c>
      <c r="G1427">
        <v>1</v>
      </c>
      <c r="H1427">
        <f>_xlfn.XLOOKUP(C1427,Products!A:A,Products!D:D)</f>
        <v>783.37</v>
      </c>
      <c r="I1427">
        <v>20</v>
      </c>
      <c r="J1427">
        <f t="shared" si="68"/>
        <v>626.69600000000003</v>
      </c>
      <c r="K1427" t="s">
        <v>2017</v>
      </c>
      <c r="L1427" t="str">
        <f>_xlfn.XLOOKUP(Orders[[#This Row],[ProductID]],Products!A:A,Products!C:C)</f>
        <v>Home</v>
      </c>
    </row>
    <row r="1428" spans="1:12" x14ac:dyDescent="0.3">
      <c r="A1428">
        <v>1427</v>
      </c>
      <c r="B1428">
        <v>1068</v>
      </c>
      <c r="C1428">
        <v>79</v>
      </c>
      <c r="D1428" t="s">
        <v>2112</v>
      </c>
      <c r="E1428">
        <f t="shared" si="66"/>
        <v>2023</v>
      </c>
      <c r="F1428" t="str">
        <f t="shared" si="67"/>
        <v>Nov</v>
      </c>
      <c r="G1428">
        <v>1</v>
      </c>
      <c r="H1428">
        <f>_xlfn.XLOOKUP(C1428,Products!A:A,Products!D:D)</f>
        <v>488.34</v>
      </c>
      <c r="I1428">
        <v>0</v>
      </c>
      <c r="J1428">
        <f t="shared" si="68"/>
        <v>488.34</v>
      </c>
      <c r="K1428" t="s">
        <v>2017</v>
      </c>
      <c r="L1428" t="str">
        <f>_xlfn.XLOOKUP(Orders[[#This Row],[ProductID]],Products!A:A,Products!C:C)</f>
        <v>Electronics</v>
      </c>
    </row>
    <row r="1429" spans="1:12" x14ac:dyDescent="0.3">
      <c r="A1429">
        <v>1428</v>
      </c>
      <c r="B1429">
        <v>1068</v>
      </c>
      <c r="C1429">
        <v>36</v>
      </c>
      <c r="D1429" t="s">
        <v>2094</v>
      </c>
      <c r="E1429">
        <f t="shared" si="66"/>
        <v>2023</v>
      </c>
      <c r="F1429" t="str">
        <f t="shared" si="67"/>
        <v>Aug</v>
      </c>
      <c r="G1429">
        <v>2</v>
      </c>
      <c r="H1429">
        <f>_xlfn.XLOOKUP(C1429,Products!A:A,Products!D:D)</f>
        <v>992.01</v>
      </c>
      <c r="I1429">
        <v>5</v>
      </c>
      <c r="J1429">
        <f t="shared" si="68"/>
        <v>1884.819</v>
      </c>
      <c r="K1429" t="s">
        <v>2024</v>
      </c>
      <c r="L1429" t="str">
        <f>_xlfn.XLOOKUP(Orders[[#This Row],[ProductID]],Products!A:A,Products!C:C)</f>
        <v>Beauty</v>
      </c>
    </row>
    <row r="1430" spans="1:12" x14ac:dyDescent="0.3">
      <c r="A1430">
        <v>1429</v>
      </c>
      <c r="B1430">
        <v>1068</v>
      </c>
      <c r="C1430">
        <v>10</v>
      </c>
      <c r="D1430" t="s">
        <v>2080</v>
      </c>
      <c r="E1430">
        <f t="shared" si="66"/>
        <v>2023</v>
      </c>
      <c r="F1430" t="str">
        <f t="shared" si="67"/>
        <v>Apr</v>
      </c>
      <c r="G1430">
        <v>3</v>
      </c>
      <c r="H1430">
        <f>_xlfn.XLOOKUP(C1430,Products!A:A,Products!D:D)</f>
        <v>64.11</v>
      </c>
      <c r="I1430">
        <v>20</v>
      </c>
      <c r="J1430">
        <f t="shared" si="68"/>
        <v>153.864</v>
      </c>
      <c r="K1430" t="s">
        <v>2024</v>
      </c>
      <c r="L1430" t="str">
        <f>_xlfn.XLOOKUP(Orders[[#This Row],[ProductID]],Products!A:A,Products!C:C)</f>
        <v>Clothing</v>
      </c>
    </row>
    <row r="1431" spans="1:12" x14ac:dyDescent="0.3">
      <c r="A1431">
        <v>1430</v>
      </c>
      <c r="B1431">
        <v>1068</v>
      </c>
      <c r="C1431">
        <v>59</v>
      </c>
      <c r="D1431" t="s">
        <v>2172</v>
      </c>
      <c r="E1431">
        <f t="shared" si="66"/>
        <v>2023</v>
      </c>
      <c r="F1431" t="str">
        <f t="shared" si="67"/>
        <v>Sep</v>
      </c>
      <c r="G1431">
        <v>3</v>
      </c>
      <c r="H1431">
        <f>_xlfn.XLOOKUP(C1431,Products!A:A,Products!D:D)</f>
        <v>782.33</v>
      </c>
      <c r="I1431">
        <v>15</v>
      </c>
      <c r="J1431">
        <f t="shared" si="68"/>
        <v>1994.9415000000001</v>
      </c>
      <c r="K1431" t="s">
        <v>2019</v>
      </c>
      <c r="L1431" t="str">
        <f>_xlfn.XLOOKUP(Orders[[#This Row],[ProductID]],Products!A:A,Products!C:C)</f>
        <v>Clothing</v>
      </c>
    </row>
    <row r="1432" spans="1:12" x14ac:dyDescent="0.3">
      <c r="A1432">
        <v>1431</v>
      </c>
      <c r="B1432">
        <v>1069</v>
      </c>
      <c r="C1432">
        <v>52</v>
      </c>
      <c r="D1432" t="s">
        <v>1960</v>
      </c>
      <c r="E1432">
        <f t="shared" si="66"/>
        <v>2023</v>
      </c>
      <c r="F1432" t="str">
        <f t="shared" si="67"/>
        <v>Oct</v>
      </c>
      <c r="G1432">
        <v>2</v>
      </c>
      <c r="H1432">
        <f>_xlfn.XLOOKUP(C1432,Products!A:A,Products!D:D)</f>
        <v>256.76</v>
      </c>
      <c r="I1432">
        <v>0</v>
      </c>
      <c r="J1432">
        <f t="shared" si="68"/>
        <v>513.52</v>
      </c>
      <c r="K1432" t="s">
        <v>2015</v>
      </c>
      <c r="L1432" t="str">
        <f>_xlfn.XLOOKUP(Orders[[#This Row],[ProductID]],Products!A:A,Products!C:C)</f>
        <v>Home</v>
      </c>
    </row>
    <row r="1433" spans="1:12" x14ac:dyDescent="0.3">
      <c r="A1433">
        <v>1432</v>
      </c>
      <c r="B1433">
        <v>1069</v>
      </c>
      <c r="C1433">
        <v>50</v>
      </c>
      <c r="D1433" t="s">
        <v>759</v>
      </c>
      <c r="E1433">
        <f t="shared" si="66"/>
        <v>2023</v>
      </c>
      <c r="F1433" t="str">
        <f t="shared" si="67"/>
        <v>Jan</v>
      </c>
      <c r="G1433">
        <v>1</v>
      </c>
      <c r="H1433">
        <f>_xlfn.XLOOKUP(C1433,Products!A:A,Products!D:D)</f>
        <v>1122.8699999999999</v>
      </c>
      <c r="I1433">
        <v>5</v>
      </c>
      <c r="J1433">
        <f t="shared" si="68"/>
        <v>1066.7264999999998</v>
      </c>
      <c r="K1433" t="s">
        <v>2024</v>
      </c>
      <c r="L1433" t="str">
        <f>_xlfn.XLOOKUP(Orders[[#This Row],[ProductID]],Products!A:A,Products!C:C)</f>
        <v>Home</v>
      </c>
    </row>
    <row r="1434" spans="1:12" x14ac:dyDescent="0.3">
      <c r="A1434">
        <v>1433</v>
      </c>
      <c r="B1434">
        <v>1069</v>
      </c>
      <c r="C1434">
        <v>55</v>
      </c>
      <c r="D1434" t="s">
        <v>2060</v>
      </c>
      <c r="E1434">
        <f t="shared" si="66"/>
        <v>2023</v>
      </c>
      <c r="F1434" t="str">
        <f t="shared" si="67"/>
        <v>Mar</v>
      </c>
      <c r="G1434">
        <v>2</v>
      </c>
      <c r="H1434">
        <f>_xlfn.XLOOKUP(C1434,Products!A:A,Products!D:D)</f>
        <v>1016.06</v>
      </c>
      <c r="I1434">
        <v>5</v>
      </c>
      <c r="J1434">
        <f t="shared" si="68"/>
        <v>1930.5139999999999</v>
      </c>
      <c r="K1434" t="s">
        <v>2015</v>
      </c>
      <c r="L1434" t="str">
        <f>_xlfn.XLOOKUP(Orders[[#This Row],[ProductID]],Products!A:A,Products!C:C)</f>
        <v>Clothing</v>
      </c>
    </row>
    <row r="1435" spans="1:12" x14ac:dyDescent="0.3">
      <c r="A1435">
        <v>1434</v>
      </c>
      <c r="B1435">
        <v>1070</v>
      </c>
      <c r="C1435">
        <v>42</v>
      </c>
      <c r="D1435" t="s">
        <v>399</v>
      </c>
      <c r="E1435">
        <f t="shared" si="66"/>
        <v>2023</v>
      </c>
      <c r="F1435" t="str">
        <f t="shared" si="67"/>
        <v>Sep</v>
      </c>
      <c r="G1435">
        <v>2</v>
      </c>
      <c r="H1435">
        <f>_xlfn.XLOOKUP(C1435,Products!A:A,Products!D:D)</f>
        <v>233.11</v>
      </c>
      <c r="I1435">
        <v>5</v>
      </c>
      <c r="J1435">
        <f t="shared" si="68"/>
        <v>442.90899999999999</v>
      </c>
      <c r="K1435" t="s">
        <v>2015</v>
      </c>
      <c r="L1435" t="str">
        <f>_xlfn.XLOOKUP(Orders[[#This Row],[ProductID]],Products!A:A,Products!C:C)</f>
        <v>Home</v>
      </c>
    </row>
    <row r="1436" spans="1:12" x14ac:dyDescent="0.3">
      <c r="A1436">
        <v>1435</v>
      </c>
      <c r="B1436">
        <v>1070</v>
      </c>
      <c r="C1436">
        <v>46</v>
      </c>
      <c r="D1436" t="s">
        <v>2047</v>
      </c>
      <c r="E1436">
        <f t="shared" si="66"/>
        <v>2024</v>
      </c>
      <c r="F1436" t="str">
        <f t="shared" si="67"/>
        <v>Apr</v>
      </c>
      <c r="G1436">
        <v>3</v>
      </c>
      <c r="H1436">
        <f>_xlfn.XLOOKUP(C1436,Products!A:A,Products!D:D)</f>
        <v>1155.3</v>
      </c>
      <c r="I1436">
        <v>20</v>
      </c>
      <c r="J1436">
        <f t="shared" si="68"/>
        <v>2772.72</v>
      </c>
      <c r="K1436" t="s">
        <v>2021</v>
      </c>
      <c r="L1436" t="str">
        <f>_xlfn.XLOOKUP(Orders[[#This Row],[ProductID]],Products!A:A,Products!C:C)</f>
        <v>Beauty</v>
      </c>
    </row>
    <row r="1437" spans="1:12" x14ac:dyDescent="0.3">
      <c r="A1437">
        <v>1436</v>
      </c>
      <c r="B1437">
        <v>1070</v>
      </c>
      <c r="C1437">
        <v>25</v>
      </c>
      <c r="D1437" t="s">
        <v>2226</v>
      </c>
      <c r="E1437">
        <f t="shared" si="66"/>
        <v>2024</v>
      </c>
      <c r="F1437" t="str">
        <f t="shared" si="67"/>
        <v>Jan</v>
      </c>
      <c r="G1437">
        <v>1</v>
      </c>
      <c r="H1437">
        <f>_xlfn.XLOOKUP(C1437,Products!A:A,Products!D:D)</f>
        <v>1011.65</v>
      </c>
      <c r="I1437">
        <v>5</v>
      </c>
      <c r="J1437">
        <f t="shared" si="68"/>
        <v>961.06749999999988</v>
      </c>
      <c r="K1437" t="s">
        <v>2024</v>
      </c>
      <c r="L1437" t="str">
        <f>_xlfn.XLOOKUP(Orders[[#This Row],[ProductID]],Products!A:A,Products!C:C)</f>
        <v>Electronics</v>
      </c>
    </row>
    <row r="1438" spans="1:12" x14ac:dyDescent="0.3">
      <c r="A1438">
        <v>1437</v>
      </c>
      <c r="B1438">
        <v>1070</v>
      </c>
      <c r="C1438">
        <v>24</v>
      </c>
      <c r="D1438" t="s">
        <v>323</v>
      </c>
      <c r="E1438">
        <f t="shared" si="66"/>
        <v>2023</v>
      </c>
      <c r="F1438" t="str">
        <f t="shared" si="67"/>
        <v>Feb</v>
      </c>
      <c r="G1438">
        <v>1</v>
      </c>
      <c r="H1438">
        <f>_xlfn.XLOOKUP(C1438,Products!A:A,Products!D:D)</f>
        <v>1019.85</v>
      </c>
      <c r="I1438">
        <v>20</v>
      </c>
      <c r="J1438">
        <f t="shared" si="68"/>
        <v>815.88000000000011</v>
      </c>
      <c r="K1438" t="s">
        <v>2015</v>
      </c>
      <c r="L1438" t="str">
        <f>_xlfn.XLOOKUP(Orders[[#This Row],[ProductID]],Products!A:A,Products!C:C)</f>
        <v>Beauty</v>
      </c>
    </row>
    <row r="1439" spans="1:12" x14ac:dyDescent="0.3">
      <c r="A1439">
        <v>1438</v>
      </c>
      <c r="B1439">
        <v>1071</v>
      </c>
      <c r="C1439">
        <v>6</v>
      </c>
      <c r="D1439" t="s">
        <v>2180</v>
      </c>
      <c r="E1439">
        <f t="shared" si="66"/>
        <v>2024</v>
      </c>
      <c r="F1439" t="str">
        <f t="shared" si="67"/>
        <v>Feb</v>
      </c>
      <c r="G1439">
        <v>1</v>
      </c>
      <c r="H1439">
        <f>_xlfn.XLOOKUP(C1439,Products!A:A,Products!D:D)</f>
        <v>719.19</v>
      </c>
      <c r="I1439">
        <v>20</v>
      </c>
      <c r="J1439">
        <f t="shared" si="68"/>
        <v>575.35200000000009</v>
      </c>
      <c r="K1439" t="s">
        <v>2024</v>
      </c>
      <c r="L1439" t="str">
        <f>_xlfn.XLOOKUP(Orders[[#This Row],[ProductID]],Products!A:A,Products!C:C)</f>
        <v>Clothing</v>
      </c>
    </row>
    <row r="1440" spans="1:12" x14ac:dyDescent="0.3">
      <c r="A1440">
        <v>1439</v>
      </c>
      <c r="B1440">
        <v>1071</v>
      </c>
      <c r="C1440">
        <v>9</v>
      </c>
      <c r="D1440" t="s">
        <v>211</v>
      </c>
      <c r="E1440">
        <f t="shared" si="66"/>
        <v>2023</v>
      </c>
      <c r="F1440" t="str">
        <f t="shared" si="67"/>
        <v>Jun</v>
      </c>
      <c r="G1440">
        <v>2</v>
      </c>
      <c r="H1440">
        <f>_xlfn.XLOOKUP(C1440,Products!A:A,Products!D:D)</f>
        <v>43.26</v>
      </c>
      <c r="I1440">
        <v>5</v>
      </c>
      <c r="J1440">
        <f t="shared" si="68"/>
        <v>82.193999999999988</v>
      </c>
      <c r="K1440" t="s">
        <v>2021</v>
      </c>
      <c r="L1440" t="str">
        <f>_xlfn.XLOOKUP(Orders[[#This Row],[ProductID]],Products!A:A,Products!C:C)</f>
        <v>Electronics</v>
      </c>
    </row>
    <row r="1441" spans="1:12" x14ac:dyDescent="0.3">
      <c r="A1441">
        <v>1440</v>
      </c>
      <c r="B1441">
        <v>1071</v>
      </c>
      <c r="C1441">
        <v>26</v>
      </c>
      <c r="D1441" t="s">
        <v>1373</v>
      </c>
      <c r="E1441">
        <f t="shared" si="66"/>
        <v>2023</v>
      </c>
      <c r="F1441" t="str">
        <f t="shared" si="67"/>
        <v>Jun</v>
      </c>
      <c r="G1441">
        <v>1</v>
      </c>
      <c r="H1441">
        <f>_xlfn.XLOOKUP(C1441,Products!A:A,Products!D:D)</f>
        <v>272.61</v>
      </c>
      <c r="I1441">
        <v>15</v>
      </c>
      <c r="J1441">
        <f t="shared" si="68"/>
        <v>231.71850000000001</v>
      </c>
      <c r="K1441" t="s">
        <v>2024</v>
      </c>
      <c r="L1441" t="str">
        <f>_xlfn.XLOOKUP(Orders[[#This Row],[ProductID]],Products!A:A,Products!C:C)</f>
        <v>Home</v>
      </c>
    </row>
    <row r="1442" spans="1:12" x14ac:dyDescent="0.3">
      <c r="A1442">
        <v>1441</v>
      </c>
      <c r="B1442">
        <v>1071</v>
      </c>
      <c r="C1442">
        <v>30</v>
      </c>
      <c r="D1442" t="s">
        <v>2191</v>
      </c>
      <c r="E1442">
        <f t="shared" si="66"/>
        <v>2024</v>
      </c>
      <c r="F1442" t="str">
        <f t="shared" si="67"/>
        <v>Apr</v>
      </c>
      <c r="G1442">
        <v>1</v>
      </c>
      <c r="H1442">
        <f>_xlfn.XLOOKUP(C1442,Products!A:A,Products!D:D)</f>
        <v>866.89</v>
      </c>
      <c r="I1442">
        <v>10</v>
      </c>
      <c r="J1442">
        <f t="shared" si="68"/>
        <v>780.20100000000002</v>
      </c>
      <c r="K1442" t="s">
        <v>2019</v>
      </c>
      <c r="L1442" t="str">
        <f>_xlfn.XLOOKUP(Orders[[#This Row],[ProductID]],Products!A:A,Products!C:C)</f>
        <v>Electronics</v>
      </c>
    </row>
    <row r="1443" spans="1:12" x14ac:dyDescent="0.3">
      <c r="A1443">
        <v>1442</v>
      </c>
      <c r="B1443">
        <v>1072</v>
      </c>
      <c r="C1443">
        <v>18</v>
      </c>
      <c r="D1443" t="s">
        <v>2018</v>
      </c>
      <c r="E1443">
        <f t="shared" si="66"/>
        <v>2024</v>
      </c>
      <c r="F1443" t="str">
        <f t="shared" si="67"/>
        <v>Mar</v>
      </c>
      <c r="G1443">
        <v>2</v>
      </c>
      <c r="H1443">
        <f>_xlfn.XLOOKUP(C1443,Products!A:A,Products!D:D)</f>
        <v>138.07</v>
      </c>
      <c r="I1443">
        <v>0</v>
      </c>
      <c r="J1443">
        <f t="shared" si="68"/>
        <v>276.14</v>
      </c>
      <c r="K1443" t="s">
        <v>2017</v>
      </c>
      <c r="L1443" t="str">
        <f>_xlfn.XLOOKUP(Orders[[#This Row],[ProductID]],Products!A:A,Products!C:C)</f>
        <v>Home</v>
      </c>
    </row>
    <row r="1444" spans="1:12" x14ac:dyDescent="0.3">
      <c r="A1444">
        <v>1443</v>
      </c>
      <c r="B1444">
        <v>1072</v>
      </c>
      <c r="C1444">
        <v>4</v>
      </c>
      <c r="D1444" t="s">
        <v>292</v>
      </c>
      <c r="E1444">
        <f t="shared" si="66"/>
        <v>2023</v>
      </c>
      <c r="F1444" t="str">
        <f t="shared" si="67"/>
        <v>Aug</v>
      </c>
      <c r="G1444">
        <v>3</v>
      </c>
      <c r="H1444">
        <f>_xlfn.XLOOKUP(C1444,Products!A:A,Products!D:D)</f>
        <v>800.26</v>
      </c>
      <c r="I1444">
        <v>5</v>
      </c>
      <c r="J1444">
        <f t="shared" si="68"/>
        <v>2280.7409999999995</v>
      </c>
      <c r="K1444" t="s">
        <v>2017</v>
      </c>
      <c r="L1444" t="str">
        <f>_xlfn.XLOOKUP(Orders[[#This Row],[ProductID]],Products!A:A,Products!C:C)</f>
        <v>Electronics</v>
      </c>
    </row>
    <row r="1445" spans="1:12" x14ac:dyDescent="0.3">
      <c r="A1445">
        <v>1444</v>
      </c>
      <c r="B1445">
        <v>1072</v>
      </c>
      <c r="C1445">
        <v>7</v>
      </c>
      <c r="D1445" t="s">
        <v>1816</v>
      </c>
      <c r="E1445">
        <f t="shared" si="66"/>
        <v>2023</v>
      </c>
      <c r="F1445" t="str">
        <f t="shared" si="67"/>
        <v>Aug</v>
      </c>
      <c r="G1445">
        <v>2</v>
      </c>
      <c r="H1445">
        <f>_xlfn.XLOOKUP(C1445,Products!A:A,Products!D:D)</f>
        <v>97.29</v>
      </c>
      <c r="I1445">
        <v>15</v>
      </c>
      <c r="J1445">
        <f t="shared" si="68"/>
        <v>165.393</v>
      </c>
      <c r="K1445" t="s">
        <v>2021</v>
      </c>
      <c r="L1445" t="str">
        <f>_xlfn.XLOOKUP(Orders[[#This Row],[ProductID]],Products!A:A,Products!C:C)</f>
        <v>Beauty</v>
      </c>
    </row>
    <row r="1446" spans="1:12" x14ac:dyDescent="0.3">
      <c r="A1446">
        <v>1445</v>
      </c>
      <c r="B1446">
        <v>1072</v>
      </c>
      <c r="C1446">
        <v>27</v>
      </c>
      <c r="D1446" t="s">
        <v>2115</v>
      </c>
      <c r="E1446">
        <f t="shared" si="66"/>
        <v>2024</v>
      </c>
      <c r="F1446" t="str">
        <f t="shared" si="67"/>
        <v>Jan</v>
      </c>
      <c r="G1446">
        <v>2</v>
      </c>
      <c r="H1446">
        <f>_xlfn.XLOOKUP(C1446,Products!A:A,Products!D:D)</f>
        <v>76.09</v>
      </c>
      <c r="I1446">
        <v>20</v>
      </c>
      <c r="J1446">
        <f t="shared" si="68"/>
        <v>121.74400000000001</v>
      </c>
      <c r="K1446" t="s">
        <v>2019</v>
      </c>
      <c r="L1446" t="str">
        <f>_xlfn.XLOOKUP(Orders[[#This Row],[ProductID]],Products!A:A,Products!C:C)</f>
        <v>Clothing</v>
      </c>
    </row>
    <row r="1447" spans="1:12" x14ac:dyDescent="0.3">
      <c r="A1447">
        <v>1446</v>
      </c>
      <c r="B1447">
        <v>1073</v>
      </c>
      <c r="C1447">
        <v>12</v>
      </c>
      <c r="D1447" t="s">
        <v>2059</v>
      </c>
      <c r="E1447">
        <f t="shared" si="66"/>
        <v>2024</v>
      </c>
      <c r="F1447" t="str">
        <f t="shared" si="67"/>
        <v>May</v>
      </c>
      <c r="G1447">
        <v>1</v>
      </c>
      <c r="H1447">
        <f>_xlfn.XLOOKUP(C1447,Products!A:A,Products!D:D)</f>
        <v>627.41999999999996</v>
      </c>
      <c r="I1447">
        <v>20</v>
      </c>
      <c r="J1447">
        <f t="shared" si="68"/>
        <v>501.93599999999998</v>
      </c>
      <c r="K1447" t="s">
        <v>2015</v>
      </c>
      <c r="L1447" t="str">
        <f>_xlfn.XLOOKUP(Orders[[#This Row],[ProductID]],Products!A:A,Products!C:C)</f>
        <v>Beauty</v>
      </c>
    </row>
    <row r="1448" spans="1:12" x14ac:dyDescent="0.3">
      <c r="A1448">
        <v>1447</v>
      </c>
      <c r="B1448">
        <v>1073</v>
      </c>
      <c r="C1448">
        <v>67</v>
      </c>
      <c r="D1448" t="s">
        <v>2167</v>
      </c>
      <c r="E1448">
        <f t="shared" si="66"/>
        <v>2023</v>
      </c>
      <c r="F1448" t="str">
        <f t="shared" si="67"/>
        <v>Mar</v>
      </c>
      <c r="G1448">
        <v>1</v>
      </c>
      <c r="H1448">
        <f>_xlfn.XLOOKUP(C1448,Products!A:A,Products!D:D)</f>
        <v>258.35000000000002</v>
      </c>
      <c r="I1448">
        <v>5</v>
      </c>
      <c r="J1448">
        <f t="shared" si="68"/>
        <v>245.4325</v>
      </c>
      <c r="K1448" t="s">
        <v>2019</v>
      </c>
      <c r="L1448" t="str">
        <f>_xlfn.XLOOKUP(Orders[[#This Row],[ProductID]],Products!A:A,Products!C:C)</f>
        <v>Electronics</v>
      </c>
    </row>
    <row r="1449" spans="1:12" x14ac:dyDescent="0.3">
      <c r="A1449">
        <v>1448</v>
      </c>
      <c r="B1449">
        <v>1073</v>
      </c>
      <c r="C1449">
        <v>63</v>
      </c>
      <c r="D1449" t="s">
        <v>2189</v>
      </c>
      <c r="E1449">
        <f t="shared" si="66"/>
        <v>2024</v>
      </c>
      <c r="F1449" t="str">
        <f t="shared" si="67"/>
        <v>Jan</v>
      </c>
      <c r="G1449">
        <v>3</v>
      </c>
      <c r="H1449">
        <f>_xlfn.XLOOKUP(C1449,Products!A:A,Products!D:D)</f>
        <v>309.79000000000002</v>
      </c>
      <c r="I1449">
        <v>10</v>
      </c>
      <c r="J1449">
        <f t="shared" si="68"/>
        <v>836.43300000000011</v>
      </c>
      <c r="K1449" t="s">
        <v>2024</v>
      </c>
      <c r="L1449" t="str">
        <f>_xlfn.XLOOKUP(Orders[[#This Row],[ProductID]],Products!A:A,Products!C:C)</f>
        <v>Electronics</v>
      </c>
    </row>
    <row r="1450" spans="1:12" x14ac:dyDescent="0.3">
      <c r="A1450">
        <v>1449</v>
      </c>
      <c r="B1450">
        <v>1074</v>
      </c>
      <c r="C1450">
        <v>54</v>
      </c>
      <c r="D1450" t="s">
        <v>1706</v>
      </c>
      <c r="E1450">
        <f t="shared" si="66"/>
        <v>2023</v>
      </c>
      <c r="F1450" t="str">
        <f t="shared" si="67"/>
        <v>Apr</v>
      </c>
      <c r="G1450">
        <v>1</v>
      </c>
      <c r="H1450">
        <f>_xlfn.XLOOKUP(C1450,Products!A:A,Products!D:D)</f>
        <v>900.79</v>
      </c>
      <c r="I1450">
        <v>0</v>
      </c>
      <c r="J1450">
        <f t="shared" si="68"/>
        <v>900.79</v>
      </c>
      <c r="K1450" t="s">
        <v>2015</v>
      </c>
      <c r="L1450" t="str">
        <f>_xlfn.XLOOKUP(Orders[[#This Row],[ProductID]],Products!A:A,Products!C:C)</f>
        <v>Electronics</v>
      </c>
    </row>
    <row r="1451" spans="1:12" x14ac:dyDescent="0.3">
      <c r="A1451">
        <v>1450</v>
      </c>
      <c r="B1451">
        <v>1074</v>
      </c>
      <c r="C1451">
        <v>47</v>
      </c>
      <c r="D1451" t="s">
        <v>1680</v>
      </c>
      <c r="E1451">
        <f t="shared" si="66"/>
        <v>2023</v>
      </c>
      <c r="F1451" t="str">
        <f t="shared" si="67"/>
        <v>Sep</v>
      </c>
      <c r="G1451">
        <v>2</v>
      </c>
      <c r="H1451">
        <f>_xlfn.XLOOKUP(C1451,Products!A:A,Products!D:D)</f>
        <v>1126.96</v>
      </c>
      <c r="I1451">
        <v>20</v>
      </c>
      <c r="J1451">
        <f t="shared" si="68"/>
        <v>1803.1360000000002</v>
      </c>
      <c r="K1451" t="s">
        <v>2019</v>
      </c>
      <c r="L1451" t="str">
        <f>_xlfn.XLOOKUP(Orders[[#This Row],[ProductID]],Products!A:A,Products!C:C)</f>
        <v>Beauty</v>
      </c>
    </row>
    <row r="1452" spans="1:12" x14ac:dyDescent="0.3">
      <c r="A1452">
        <v>1451</v>
      </c>
      <c r="B1452">
        <v>1074</v>
      </c>
      <c r="C1452">
        <v>59</v>
      </c>
      <c r="D1452" t="s">
        <v>2157</v>
      </c>
      <c r="E1452">
        <f t="shared" si="66"/>
        <v>2023</v>
      </c>
      <c r="F1452" t="str">
        <f t="shared" si="67"/>
        <v>Jan</v>
      </c>
      <c r="G1452">
        <v>1</v>
      </c>
      <c r="H1452">
        <f>_xlfn.XLOOKUP(C1452,Products!A:A,Products!D:D)</f>
        <v>782.33</v>
      </c>
      <c r="I1452">
        <v>15</v>
      </c>
      <c r="J1452">
        <f t="shared" si="68"/>
        <v>664.98050000000001</v>
      </c>
      <c r="K1452" t="s">
        <v>2017</v>
      </c>
      <c r="L1452" t="str">
        <f>_xlfn.XLOOKUP(Orders[[#This Row],[ProductID]],Products!A:A,Products!C:C)</f>
        <v>Clothing</v>
      </c>
    </row>
    <row r="1453" spans="1:12" x14ac:dyDescent="0.3">
      <c r="A1453">
        <v>1452</v>
      </c>
      <c r="B1453">
        <v>1075</v>
      </c>
      <c r="C1453">
        <v>52</v>
      </c>
      <c r="D1453" t="s">
        <v>2077</v>
      </c>
      <c r="E1453">
        <f t="shared" si="66"/>
        <v>2024</v>
      </c>
      <c r="F1453" t="str">
        <f t="shared" si="67"/>
        <v>May</v>
      </c>
      <c r="G1453">
        <v>1</v>
      </c>
      <c r="H1453">
        <f>_xlfn.XLOOKUP(C1453,Products!A:A,Products!D:D)</f>
        <v>256.76</v>
      </c>
      <c r="I1453">
        <v>10</v>
      </c>
      <c r="J1453">
        <f t="shared" si="68"/>
        <v>231.084</v>
      </c>
      <c r="K1453" t="s">
        <v>2024</v>
      </c>
      <c r="L1453" t="str">
        <f>_xlfn.XLOOKUP(Orders[[#This Row],[ProductID]],Products!A:A,Products!C:C)</f>
        <v>Home</v>
      </c>
    </row>
    <row r="1454" spans="1:12" x14ac:dyDescent="0.3">
      <c r="A1454">
        <v>1453</v>
      </c>
      <c r="B1454">
        <v>1075</v>
      </c>
      <c r="C1454">
        <v>40</v>
      </c>
      <c r="D1454" t="s">
        <v>2161</v>
      </c>
      <c r="E1454">
        <f t="shared" si="66"/>
        <v>2024</v>
      </c>
      <c r="F1454" t="str">
        <f t="shared" si="67"/>
        <v>Mar</v>
      </c>
      <c r="G1454">
        <v>1</v>
      </c>
      <c r="H1454">
        <f>_xlfn.XLOOKUP(C1454,Products!A:A,Products!D:D)</f>
        <v>316.49</v>
      </c>
      <c r="I1454">
        <v>15</v>
      </c>
      <c r="J1454">
        <f t="shared" si="68"/>
        <v>269.01650000000001</v>
      </c>
      <c r="K1454" t="s">
        <v>2024</v>
      </c>
      <c r="L1454" t="str">
        <f>_xlfn.XLOOKUP(Orders[[#This Row],[ProductID]],Products!A:A,Products!C:C)</f>
        <v>Home</v>
      </c>
    </row>
    <row r="1455" spans="1:12" x14ac:dyDescent="0.3">
      <c r="A1455">
        <v>1454</v>
      </c>
      <c r="B1455">
        <v>1075</v>
      </c>
      <c r="C1455">
        <v>30</v>
      </c>
      <c r="D1455" t="s">
        <v>2214</v>
      </c>
      <c r="E1455">
        <f t="shared" si="66"/>
        <v>2023</v>
      </c>
      <c r="F1455" t="str">
        <f t="shared" si="67"/>
        <v>Dec</v>
      </c>
      <c r="G1455">
        <v>1</v>
      </c>
      <c r="H1455">
        <f>_xlfn.XLOOKUP(C1455,Products!A:A,Products!D:D)</f>
        <v>866.89</v>
      </c>
      <c r="I1455">
        <v>15</v>
      </c>
      <c r="J1455">
        <f t="shared" si="68"/>
        <v>736.85649999999998</v>
      </c>
      <c r="K1455" t="s">
        <v>2017</v>
      </c>
      <c r="L1455" t="str">
        <f>_xlfn.XLOOKUP(Orders[[#This Row],[ProductID]],Products!A:A,Products!C:C)</f>
        <v>Electronics</v>
      </c>
    </row>
    <row r="1456" spans="1:12" x14ac:dyDescent="0.3">
      <c r="A1456">
        <v>1455</v>
      </c>
      <c r="B1456">
        <v>1075</v>
      </c>
      <c r="C1456">
        <v>3</v>
      </c>
      <c r="D1456" t="s">
        <v>2062</v>
      </c>
      <c r="E1456">
        <f t="shared" si="66"/>
        <v>2024</v>
      </c>
      <c r="F1456" t="str">
        <f t="shared" si="67"/>
        <v>May</v>
      </c>
      <c r="G1456">
        <v>2</v>
      </c>
      <c r="H1456">
        <f>_xlfn.XLOOKUP(C1456,Products!A:A,Products!D:D)</f>
        <v>506.08</v>
      </c>
      <c r="I1456">
        <v>10</v>
      </c>
      <c r="J1456">
        <f t="shared" si="68"/>
        <v>910.94399999999996</v>
      </c>
      <c r="K1456" t="s">
        <v>2019</v>
      </c>
      <c r="L1456" t="str">
        <f>_xlfn.XLOOKUP(Orders[[#This Row],[ProductID]],Products!A:A,Products!C:C)</f>
        <v>Clothing</v>
      </c>
    </row>
    <row r="1457" spans="1:12" x14ac:dyDescent="0.3">
      <c r="A1457">
        <v>1456</v>
      </c>
      <c r="B1457">
        <v>1076</v>
      </c>
      <c r="C1457">
        <v>19</v>
      </c>
      <c r="D1457" t="s">
        <v>2142</v>
      </c>
      <c r="E1457">
        <f t="shared" si="66"/>
        <v>2024</v>
      </c>
      <c r="F1457" t="str">
        <f t="shared" si="67"/>
        <v>Mar</v>
      </c>
      <c r="G1457">
        <v>1</v>
      </c>
      <c r="H1457">
        <f>_xlfn.XLOOKUP(C1457,Products!A:A,Products!D:D)</f>
        <v>262.97000000000003</v>
      </c>
      <c r="I1457">
        <v>5</v>
      </c>
      <c r="J1457">
        <f t="shared" si="68"/>
        <v>249.82150000000001</v>
      </c>
      <c r="K1457" t="s">
        <v>2015</v>
      </c>
      <c r="L1457" t="str">
        <f>_xlfn.XLOOKUP(Orders[[#This Row],[ProductID]],Products!A:A,Products!C:C)</f>
        <v>Beauty</v>
      </c>
    </row>
    <row r="1458" spans="1:12" x14ac:dyDescent="0.3">
      <c r="A1458">
        <v>1457</v>
      </c>
      <c r="B1458">
        <v>1076</v>
      </c>
      <c r="C1458">
        <v>2</v>
      </c>
      <c r="D1458" t="s">
        <v>262</v>
      </c>
      <c r="E1458">
        <f t="shared" si="66"/>
        <v>2023</v>
      </c>
      <c r="F1458" t="str">
        <f t="shared" si="67"/>
        <v>Mar</v>
      </c>
      <c r="G1458">
        <v>3</v>
      </c>
      <c r="H1458">
        <f>_xlfn.XLOOKUP(C1458,Products!A:A,Products!D:D)</f>
        <v>427.27</v>
      </c>
      <c r="I1458">
        <v>5</v>
      </c>
      <c r="J1458">
        <f t="shared" si="68"/>
        <v>1217.7194999999999</v>
      </c>
      <c r="K1458" t="s">
        <v>2021</v>
      </c>
      <c r="L1458" t="str">
        <f>_xlfn.XLOOKUP(Orders[[#This Row],[ProductID]],Products!A:A,Products!C:C)</f>
        <v>Home</v>
      </c>
    </row>
    <row r="1459" spans="1:12" x14ac:dyDescent="0.3">
      <c r="A1459">
        <v>1458</v>
      </c>
      <c r="B1459">
        <v>1076</v>
      </c>
      <c r="C1459">
        <v>61</v>
      </c>
      <c r="D1459" t="s">
        <v>2127</v>
      </c>
      <c r="E1459">
        <f t="shared" si="66"/>
        <v>2024</v>
      </c>
      <c r="F1459" t="str">
        <f t="shared" si="67"/>
        <v>Jan</v>
      </c>
      <c r="G1459">
        <v>1</v>
      </c>
      <c r="H1459">
        <f>_xlfn.XLOOKUP(C1459,Products!A:A,Products!D:D)</f>
        <v>498.92</v>
      </c>
      <c r="I1459">
        <v>0</v>
      </c>
      <c r="J1459">
        <f t="shared" si="68"/>
        <v>498.92</v>
      </c>
      <c r="K1459" t="s">
        <v>2015</v>
      </c>
      <c r="L1459" t="str">
        <f>_xlfn.XLOOKUP(Orders[[#This Row],[ProductID]],Products!A:A,Products!C:C)</f>
        <v>Clothing</v>
      </c>
    </row>
    <row r="1460" spans="1:12" x14ac:dyDescent="0.3">
      <c r="A1460">
        <v>1459</v>
      </c>
      <c r="B1460">
        <v>1077</v>
      </c>
      <c r="C1460">
        <v>27</v>
      </c>
      <c r="D1460" t="s">
        <v>2076</v>
      </c>
      <c r="E1460">
        <f t="shared" si="66"/>
        <v>2024</v>
      </c>
      <c r="F1460" t="str">
        <f t="shared" si="67"/>
        <v>Mar</v>
      </c>
      <c r="G1460">
        <v>3</v>
      </c>
      <c r="H1460">
        <f>_xlfn.XLOOKUP(C1460,Products!A:A,Products!D:D)</f>
        <v>76.09</v>
      </c>
      <c r="I1460">
        <v>10</v>
      </c>
      <c r="J1460">
        <f t="shared" si="68"/>
        <v>205.44300000000001</v>
      </c>
      <c r="K1460" t="s">
        <v>2024</v>
      </c>
      <c r="L1460" t="str">
        <f>_xlfn.XLOOKUP(Orders[[#This Row],[ProductID]],Products!A:A,Products!C:C)</f>
        <v>Clothing</v>
      </c>
    </row>
    <row r="1461" spans="1:12" x14ac:dyDescent="0.3">
      <c r="A1461">
        <v>1460</v>
      </c>
      <c r="B1461">
        <v>1077</v>
      </c>
      <c r="C1461">
        <v>80</v>
      </c>
      <c r="D1461" t="s">
        <v>594</v>
      </c>
      <c r="E1461">
        <f t="shared" si="66"/>
        <v>2023</v>
      </c>
      <c r="F1461" t="str">
        <f t="shared" si="67"/>
        <v>Aug</v>
      </c>
      <c r="G1461">
        <v>1</v>
      </c>
      <c r="H1461">
        <f>_xlfn.XLOOKUP(C1461,Products!A:A,Products!D:D)</f>
        <v>1014.45</v>
      </c>
      <c r="I1461">
        <v>15</v>
      </c>
      <c r="J1461">
        <f t="shared" si="68"/>
        <v>862.28250000000003</v>
      </c>
      <c r="K1461" t="s">
        <v>2021</v>
      </c>
      <c r="L1461" t="str">
        <f>_xlfn.XLOOKUP(Orders[[#This Row],[ProductID]],Products!A:A,Products!C:C)</f>
        <v>Beauty</v>
      </c>
    </row>
    <row r="1462" spans="1:12" x14ac:dyDescent="0.3">
      <c r="A1462">
        <v>1461</v>
      </c>
      <c r="B1462">
        <v>1077</v>
      </c>
      <c r="C1462">
        <v>23</v>
      </c>
      <c r="D1462" t="s">
        <v>2191</v>
      </c>
      <c r="E1462">
        <f t="shared" si="66"/>
        <v>2024</v>
      </c>
      <c r="F1462" t="str">
        <f t="shared" si="67"/>
        <v>Apr</v>
      </c>
      <c r="G1462">
        <v>3</v>
      </c>
      <c r="H1462">
        <f>_xlfn.XLOOKUP(C1462,Products!A:A,Products!D:D)</f>
        <v>258.08</v>
      </c>
      <c r="I1462">
        <v>5</v>
      </c>
      <c r="J1462">
        <f t="shared" si="68"/>
        <v>735.52800000000002</v>
      </c>
      <c r="K1462" t="s">
        <v>2021</v>
      </c>
      <c r="L1462" t="str">
        <f>_xlfn.XLOOKUP(Orders[[#This Row],[ProductID]],Products!A:A,Products!C:C)</f>
        <v>Home</v>
      </c>
    </row>
    <row r="1463" spans="1:12" x14ac:dyDescent="0.3">
      <c r="A1463">
        <v>1462</v>
      </c>
      <c r="B1463">
        <v>1078</v>
      </c>
      <c r="C1463">
        <v>47</v>
      </c>
      <c r="D1463" t="s">
        <v>2097</v>
      </c>
      <c r="E1463">
        <f t="shared" si="66"/>
        <v>2024</v>
      </c>
      <c r="F1463" t="str">
        <f t="shared" si="67"/>
        <v>Mar</v>
      </c>
      <c r="G1463">
        <v>1</v>
      </c>
      <c r="H1463">
        <f>_xlfn.XLOOKUP(C1463,Products!A:A,Products!D:D)</f>
        <v>1126.96</v>
      </c>
      <c r="I1463">
        <v>5</v>
      </c>
      <c r="J1463">
        <f t="shared" si="68"/>
        <v>1070.6120000000001</v>
      </c>
      <c r="K1463" t="s">
        <v>2019</v>
      </c>
      <c r="L1463" t="str">
        <f>_xlfn.XLOOKUP(Orders[[#This Row],[ProductID]],Products!A:A,Products!C:C)</f>
        <v>Beauty</v>
      </c>
    </row>
    <row r="1464" spans="1:12" x14ac:dyDescent="0.3">
      <c r="A1464">
        <v>1463</v>
      </c>
      <c r="B1464">
        <v>1078</v>
      </c>
      <c r="C1464">
        <v>64</v>
      </c>
      <c r="D1464" t="s">
        <v>1588</v>
      </c>
      <c r="E1464">
        <f t="shared" si="66"/>
        <v>2023</v>
      </c>
      <c r="F1464" t="str">
        <f t="shared" si="67"/>
        <v>Apr</v>
      </c>
      <c r="G1464">
        <v>2</v>
      </c>
      <c r="H1464">
        <f>_xlfn.XLOOKUP(C1464,Products!A:A,Products!D:D)</f>
        <v>567.71</v>
      </c>
      <c r="I1464">
        <v>15</v>
      </c>
      <c r="J1464">
        <f t="shared" si="68"/>
        <v>965.10700000000008</v>
      </c>
      <c r="K1464" t="s">
        <v>2024</v>
      </c>
      <c r="L1464" t="str">
        <f>_xlfn.XLOOKUP(Orders[[#This Row],[ProductID]],Products!A:A,Products!C:C)</f>
        <v>Clothing</v>
      </c>
    </row>
    <row r="1465" spans="1:12" x14ac:dyDescent="0.3">
      <c r="A1465">
        <v>1464</v>
      </c>
      <c r="B1465">
        <v>1078</v>
      </c>
      <c r="C1465">
        <v>34</v>
      </c>
      <c r="D1465" t="s">
        <v>163</v>
      </c>
      <c r="E1465">
        <f t="shared" si="66"/>
        <v>2023</v>
      </c>
      <c r="F1465" t="str">
        <f t="shared" si="67"/>
        <v>Nov</v>
      </c>
      <c r="G1465">
        <v>2</v>
      </c>
      <c r="H1465">
        <f>_xlfn.XLOOKUP(C1465,Products!A:A,Products!D:D)</f>
        <v>523.98</v>
      </c>
      <c r="I1465">
        <v>0</v>
      </c>
      <c r="J1465">
        <f t="shared" si="68"/>
        <v>1047.96</v>
      </c>
      <c r="K1465" t="s">
        <v>2019</v>
      </c>
      <c r="L1465" t="str">
        <f>_xlfn.XLOOKUP(Orders[[#This Row],[ProductID]],Products!A:A,Products!C:C)</f>
        <v>Home</v>
      </c>
    </row>
    <row r="1466" spans="1:12" x14ac:dyDescent="0.3">
      <c r="A1466">
        <v>1465</v>
      </c>
      <c r="B1466">
        <v>1078</v>
      </c>
      <c r="C1466">
        <v>43</v>
      </c>
      <c r="D1466" t="s">
        <v>41</v>
      </c>
      <c r="E1466">
        <f t="shared" si="66"/>
        <v>2023</v>
      </c>
      <c r="F1466" t="str">
        <f t="shared" si="67"/>
        <v>Jan</v>
      </c>
      <c r="G1466">
        <v>2</v>
      </c>
      <c r="H1466">
        <f>_xlfn.XLOOKUP(C1466,Products!A:A,Products!D:D)</f>
        <v>760.86</v>
      </c>
      <c r="I1466">
        <v>0</v>
      </c>
      <c r="J1466">
        <f t="shared" si="68"/>
        <v>1521.72</v>
      </c>
      <c r="K1466" t="s">
        <v>2021</v>
      </c>
      <c r="L1466" t="str">
        <f>_xlfn.XLOOKUP(Orders[[#This Row],[ProductID]],Products!A:A,Products!C:C)</f>
        <v>Electronics</v>
      </c>
    </row>
    <row r="1467" spans="1:12" x14ac:dyDescent="0.3">
      <c r="A1467">
        <v>1466</v>
      </c>
      <c r="B1467">
        <v>1079</v>
      </c>
      <c r="C1467">
        <v>53</v>
      </c>
      <c r="D1467" t="s">
        <v>2171</v>
      </c>
      <c r="E1467">
        <f t="shared" si="66"/>
        <v>2023</v>
      </c>
      <c r="F1467" t="str">
        <f t="shared" si="67"/>
        <v>Jan</v>
      </c>
      <c r="G1467">
        <v>3</v>
      </c>
      <c r="H1467">
        <f>_xlfn.XLOOKUP(C1467,Products!A:A,Products!D:D)</f>
        <v>194.34</v>
      </c>
      <c r="I1467">
        <v>15</v>
      </c>
      <c r="J1467">
        <f t="shared" si="68"/>
        <v>495.56699999999995</v>
      </c>
      <c r="K1467" t="s">
        <v>2015</v>
      </c>
      <c r="L1467" t="str">
        <f>_xlfn.XLOOKUP(Orders[[#This Row],[ProductID]],Products!A:A,Products!C:C)</f>
        <v>Home</v>
      </c>
    </row>
    <row r="1468" spans="1:12" x14ac:dyDescent="0.3">
      <c r="A1468">
        <v>1467</v>
      </c>
      <c r="B1468">
        <v>1079</v>
      </c>
      <c r="C1468">
        <v>68</v>
      </c>
      <c r="D1468" t="s">
        <v>467</v>
      </c>
      <c r="E1468">
        <f t="shared" si="66"/>
        <v>2023</v>
      </c>
      <c r="F1468" t="str">
        <f t="shared" si="67"/>
        <v>Mar</v>
      </c>
      <c r="G1468">
        <v>1</v>
      </c>
      <c r="H1468">
        <f>_xlfn.XLOOKUP(C1468,Products!A:A,Products!D:D)</f>
        <v>180.99</v>
      </c>
      <c r="I1468">
        <v>0</v>
      </c>
      <c r="J1468">
        <f t="shared" si="68"/>
        <v>180.99</v>
      </c>
      <c r="K1468" t="s">
        <v>2019</v>
      </c>
      <c r="L1468" t="str">
        <f>_xlfn.XLOOKUP(Orders[[#This Row],[ProductID]],Products!A:A,Products!C:C)</f>
        <v>Clothing</v>
      </c>
    </row>
    <row r="1469" spans="1:12" x14ac:dyDescent="0.3">
      <c r="A1469">
        <v>1468</v>
      </c>
      <c r="B1469">
        <v>1079</v>
      </c>
      <c r="C1469">
        <v>45</v>
      </c>
      <c r="D1469" t="s">
        <v>2164</v>
      </c>
      <c r="E1469">
        <f t="shared" si="66"/>
        <v>2024</v>
      </c>
      <c r="F1469" t="str">
        <f t="shared" si="67"/>
        <v>Apr</v>
      </c>
      <c r="G1469">
        <v>1</v>
      </c>
      <c r="H1469">
        <f>_xlfn.XLOOKUP(C1469,Products!A:A,Products!D:D)</f>
        <v>609.05999999999995</v>
      </c>
      <c r="I1469">
        <v>0</v>
      </c>
      <c r="J1469">
        <f t="shared" si="68"/>
        <v>609.05999999999995</v>
      </c>
      <c r="K1469" t="s">
        <v>2017</v>
      </c>
      <c r="L1469" t="str">
        <f>_xlfn.XLOOKUP(Orders[[#This Row],[ProductID]],Products!A:A,Products!C:C)</f>
        <v>Beauty</v>
      </c>
    </row>
    <row r="1470" spans="1:12" x14ac:dyDescent="0.3">
      <c r="A1470">
        <v>1469</v>
      </c>
      <c r="B1470">
        <v>1079</v>
      </c>
      <c r="C1470">
        <v>9</v>
      </c>
      <c r="D1470" t="s">
        <v>787</v>
      </c>
      <c r="E1470">
        <f t="shared" si="66"/>
        <v>2023</v>
      </c>
      <c r="F1470" t="str">
        <f t="shared" si="67"/>
        <v>Feb</v>
      </c>
      <c r="G1470">
        <v>2</v>
      </c>
      <c r="H1470">
        <f>_xlfn.XLOOKUP(C1470,Products!A:A,Products!D:D)</f>
        <v>43.26</v>
      </c>
      <c r="I1470">
        <v>15</v>
      </c>
      <c r="J1470">
        <f t="shared" si="68"/>
        <v>73.542000000000002</v>
      </c>
      <c r="K1470" t="s">
        <v>2017</v>
      </c>
      <c r="L1470" t="str">
        <f>_xlfn.XLOOKUP(Orders[[#This Row],[ProductID]],Products!A:A,Products!C:C)</f>
        <v>Electronics</v>
      </c>
    </row>
    <row r="1471" spans="1:12" x14ac:dyDescent="0.3">
      <c r="A1471">
        <v>1470</v>
      </c>
      <c r="B1471">
        <v>1080</v>
      </c>
      <c r="C1471">
        <v>69</v>
      </c>
      <c r="D1471" t="s">
        <v>1603</v>
      </c>
      <c r="E1471">
        <f t="shared" si="66"/>
        <v>2023</v>
      </c>
      <c r="F1471" t="str">
        <f t="shared" si="67"/>
        <v>Aug</v>
      </c>
      <c r="G1471">
        <v>1</v>
      </c>
      <c r="H1471">
        <f>_xlfn.XLOOKUP(C1471,Products!A:A,Products!D:D)</f>
        <v>951.81</v>
      </c>
      <c r="I1471">
        <v>20</v>
      </c>
      <c r="J1471">
        <f t="shared" si="68"/>
        <v>761.44799999999998</v>
      </c>
      <c r="K1471" t="s">
        <v>2019</v>
      </c>
      <c r="L1471" t="str">
        <f>_xlfn.XLOOKUP(Orders[[#This Row],[ProductID]],Products!A:A,Products!C:C)</f>
        <v>Clothing</v>
      </c>
    </row>
    <row r="1472" spans="1:12" x14ac:dyDescent="0.3">
      <c r="A1472">
        <v>1471</v>
      </c>
      <c r="B1472">
        <v>1080</v>
      </c>
      <c r="C1472">
        <v>40</v>
      </c>
      <c r="D1472" t="s">
        <v>148</v>
      </c>
      <c r="E1472">
        <f t="shared" si="66"/>
        <v>2023</v>
      </c>
      <c r="F1472" t="str">
        <f t="shared" si="67"/>
        <v>Sep</v>
      </c>
      <c r="G1472">
        <v>2</v>
      </c>
      <c r="H1472">
        <f>_xlfn.XLOOKUP(C1472,Products!A:A,Products!D:D)</f>
        <v>316.49</v>
      </c>
      <c r="I1472">
        <v>10</v>
      </c>
      <c r="J1472">
        <f t="shared" si="68"/>
        <v>569.68200000000002</v>
      </c>
      <c r="K1472" t="s">
        <v>2021</v>
      </c>
      <c r="L1472" t="str">
        <f>_xlfn.XLOOKUP(Orders[[#This Row],[ProductID]],Products!A:A,Products!C:C)</f>
        <v>Home</v>
      </c>
    </row>
    <row r="1473" spans="1:12" x14ac:dyDescent="0.3">
      <c r="A1473">
        <v>1472</v>
      </c>
      <c r="B1473">
        <v>1080</v>
      </c>
      <c r="C1473">
        <v>42</v>
      </c>
      <c r="D1473" t="s">
        <v>2136</v>
      </c>
      <c r="E1473">
        <f t="shared" si="66"/>
        <v>2023</v>
      </c>
      <c r="F1473" t="str">
        <f t="shared" si="67"/>
        <v>Dec</v>
      </c>
      <c r="G1473">
        <v>3</v>
      </c>
      <c r="H1473">
        <f>_xlfn.XLOOKUP(C1473,Products!A:A,Products!D:D)</f>
        <v>233.11</v>
      </c>
      <c r="I1473">
        <v>10</v>
      </c>
      <c r="J1473">
        <f t="shared" si="68"/>
        <v>629.39700000000005</v>
      </c>
      <c r="K1473" t="s">
        <v>2015</v>
      </c>
      <c r="L1473" t="str">
        <f>_xlfn.XLOOKUP(Orders[[#This Row],[ProductID]],Products!A:A,Products!C:C)</f>
        <v>Home</v>
      </c>
    </row>
    <row r="1474" spans="1:12" x14ac:dyDescent="0.3">
      <c r="A1474">
        <v>1473</v>
      </c>
      <c r="B1474">
        <v>1080</v>
      </c>
      <c r="C1474">
        <v>13</v>
      </c>
      <c r="D1474" t="s">
        <v>1680</v>
      </c>
      <c r="E1474">
        <f t="shared" si="66"/>
        <v>2023</v>
      </c>
      <c r="F1474" t="str">
        <f t="shared" si="67"/>
        <v>Sep</v>
      </c>
      <c r="G1474">
        <v>2</v>
      </c>
      <c r="H1474">
        <f>_xlfn.XLOOKUP(C1474,Products!A:A,Products!D:D)</f>
        <v>334.61</v>
      </c>
      <c r="I1474">
        <v>20</v>
      </c>
      <c r="J1474">
        <f t="shared" si="68"/>
        <v>535.37600000000009</v>
      </c>
      <c r="K1474" t="s">
        <v>2021</v>
      </c>
      <c r="L1474" t="str">
        <f>_xlfn.XLOOKUP(Orders[[#This Row],[ProductID]],Products!A:A,Products!C:C)</f>
        <v>Home</v>
      </c>
    </row>
    <row r="1475" spans="1:12" x14ac:dyDescent="0.3">
      <c r="A1475">
        <v>1474</v>
      </c>
      <c r="B1475">
        <v>1081</v>
      </c>
      <c r="C1475">
        <v>17</v>
      </c>
      <c r="D1475" t="s">
        <v>721</v>
      </c>
      <c r="E1475">
        <f t="shared" ref="E1475:E1538" si="69">YEAR(D1475)</f>
        <v>2023</v>
      </c>
      <c r="F1475" t="str">
        <f t="shared" ref="F1475:F1538" si="70">TEXT(D1475,"mmm")</f>
        <v>Apr</v>
      </c>
      <c r="G1475">
        <v>3</v>
      </c>
      <c r="H1475">
        <f>_xlfn.XLOOKUP(C1475,Products!A:A,Products!D:D)</f>
        <v>695.6</v>
      </c>
      <c r="I1475">
        <v>5</v>
      </c>
      <c r="J1475">
        <f t="shared" ref="J1475:J1538" si="71">G1475*H1475*(1-I1475/100)</f>
        <v>1982.46</v>
      </c>
      <c r="K1475" t="s">
        <v>2021</v>
      </c>
      <c r="L1475" t="str">
        <f>_xlfn.XLOOKUP(Orders[[#This Row],[ProductID]],Products!A:A,Products!C:C)</f>
        <v>Clothing</v>
      </c>
    </row>
    <row r="1476" spans="1:12" x14ac:dyDescent="0.3">
      <c r="A1476">
        <v>1475</v>
      </c>
      <c r="B1476">
        <v>1081</v>
      </c>
      <c r="C1476">
        <v>29</v>
      </c>
      <c r="D1476" t="s">
        <v>2229</v>
      </c>
      <c r="E1476">
        <f t="shared" si="69"/>
        <v>2023</v>
      </c>
      <c r="F1476" t="str">
        <f t="shared" si="70"/>
        <v>Dec</v>
      </c>
      <c r="G1476">
        <v>1</v>
      </c>
      <c r="H1476">
        <f>_xlfn.XLOOKUP(C1476,Products!A:A,Products!D:D)</f>
        <v>757</v>
      </c>
      <c r="I1476">
        <v>0</v>
      </c>
      <c r="J1476">
        <f t="shared" si="71"/>
        <v>757</v>
      </c>
      <c r="K1476" t="s">
        <v>2017</v>
      </c>
      <c r="L1476" t="str">
        <f>_xlfn.XLOOKUP(Orders[[#This Row],[ProductID]],Products!A:A,Products!C:C)</f>
        <v>Clothing</v>
      </c>
    </row>
    <row r="1477" spans="1:12" x14ac:dyDescent="0.3">
      <c r="A1477">
        <v>1476</v>
      </c>
      <c r="B1477">
        <v>1081</v>
      </c>
      <c r="C1477">
        <v>37</v>
      </c>
      <c r="D1477" t="s">
        <v>2064</v>
      </c>
      <c r="E1477">
        <f t="shared" si="69"/>
        <v>2024</v>
      </c>
      <c r="F1477" t="str">
        <f t="shared" si="70"/>
        <v>Mar</v>
      </c>
      <c r="G1477">
        <v>3</v>
      </c>
      <c r="H1477">
        <f>_xlfn.XLOOKUP(C1477,Products!A:A,Products!D:D)</f>
        <v>968.87</v>
      </c>
      <c r="I1477">
        <v>0</v>
      </c>
      <c r="J1477">
        <f t="shared" si="71"/>
        <v>2906.61</v>
      </c>
      <c r="K1477" t="s">
        <v>2021</v>
      </c>
      <c r="L1477" t="str">
        <f>_xlfn.XLOOKUP(Orders[[#This Row],[ProductID]],Products!A:A,Products!C:C)</f>
        <v>Home</v>
      </c>
    </row>
    <row r="1478" spans="1:12" x14ac:dyDescent="0.3">
      <c r="A1478">
        <v>1477</v>
      </c>
      <c r="B1478">
        <v>1082</v>
      </c>
      <c r="C1478">
        <v>29</v>
      </c>
      <c r="D1478" t="s">
        <v>475</v>
      </c>
      <c r="E1478">
        <f t="shared" si="69"/>
        <v>2023</v>
      </c>
      <c r="F1478" t="str">
        <f t="shared" si="70"/>
        <v>May</v>
      </c>
      <c r="G1478">
        <v>1</v>
      </c>
      <c r="H1478">
        <f>_xlfn.XLOOKUP(C1478,Products!A:A,Products!D:D)</f>
        <v>757</v>
      </c>
      <c r="I1478">
        <v>10</v>
      </c>
      <c r="J1478">
        <f t="shared" si="71"/>
        <v>681.30000000000007</v>
      </c>
      <c r="K1478" t="s">
        <v>2024</v>
      </c>
      <c r="L1478" t="str">
        <f>_xlfn.XLOOKUP(Orders[[#This Row],[ProductID]],Products!A:A,Products!C:C)</f>
        <v>Clothing</v>
      </c>
    </row>
    <row r="1479" spans="1:12" x14ac:dyDescent="0.3">
      <c r="A1479">
        <v>1478</v>
      </c>
      <c r="B1479">
        <v>1082</v>
      </c>
      <c r="C1479">
        <v>60</v>
      </c>
      <c r="D1479" t="s">
        <v>2220</v>
      </c>
      <c r="E1479">
        <f t="shared" si="69"/>
        <v>2023</v>
      </c>
      <c r="F1479" t="str">
        <f t="shared" si="70"/>
        <v>Dec</v>
      </c>
      <c r="G1479">
        <v>3</v>
      </c>
      <c r="H1479">
        <f>_xlfn.XLOOKUP(C1479,Products!A:A,Products!D:D)</f>
        <v>830.49</v>
      </c>
      <c r="I1479">
        <v>20</v>
      </c>
      <c r="J1479">
        <f t="shared" si="71"/>
        <v>1993.1760000000004</v>
      </c>
      <c r="K1479" t="s">
        <v>2015</v>
      </c>
      <c r="L1479" t="str">
        <f>_xlfn.XLOOKUP(Orders[[#This Row],[ProductID]],Products!A:A,Products!C:C)</f>
        <v>Clothing</v>
      </c>
    </row>
    <row r="1480" spans="1:12" x14ac:dyDescent="0.3">
      <c r="A1480">
        <v>1479</v>
      </c>
      <c r="B1480">
        <v>1082</v>
      </c>
      <c r="C1480">
        <v>74</v>
      </c>
      <c r="D1480" t="s">
        <v>2095</v>
      </c>
      <c r="E1480">
        <f t="shared" si="69"/>
        <v>2024</v>
      </c>
      <c r="F1480" t="str">
        <f t="shared" si="70"/>
        <v>Mar</v>
      </c>
      <c r="G1480">
        <v>2</v>
      </c>
      <c r="H1480">
        <f>_xlfn.XLOOKUP(C1480,Products!A:A,Products!D:D)</f>
        <v>1034.31</v>
      </c>
      <c r="I1480">
        <v>5</v>
      </c>
      <c r="J1480">
        <f t="shared" si="71"/>
        <v>1965.1889999999999</v>
      </c>
      <c r="K1480" t="s">
        <v>2024</v>
      </c>
      <c r="L1480" t="str">
        <f>_xlfn.XLOOKUP(Orders[[#This Row],[ProductID]],Products!A:A,Products!C:C)</f>
        <v>Electronics</v>
      </c>
    </row>
    <row r="1481" spans="1:12" x14ac:dyDescent="0.3">
      <c r="A1481">
        <v>1480</v>
      </c>
      <c r="B1481">
        <v>1082</v>
      </c>
      <c r="C1481">
        <v>55</v>
      </c>
      <c r="D1481" t="s">
        <v>802</v>
      </c>
      <c r="E1481">
        <f t="shared" si="69"/>
        <v>2023</v>
      </c>
      <c r="F1481" t="str">
        <f t="shared" si="70"/>
        <v>Jul</v>
      </c>
      <c r="G1481">
        <v>3</v>
      </c>
      <c r="H1481">
        <f>_xlfn.XLOOKUP(C1481,Products!A:A,Products!D:D)</f>
        <v>1016.06</v>
      </c>
      <c r="I1481">
        <v>5</v>
      </c>
      <c r="J1481">
        <f t="shared" si="71"/>
        <v>2895.7709999999997</v>
      </c>
      <c r="K1481" t="s">
        <v>2015</v>
      </c>
      <c r="L1481" t="str">
        <f>_xlfn.XLOOKUP(Orders[[#This Row],[ProductID]],Products!A:A,Products!C:C)</f>
        <v>Clothing</v>
      </c>
    </row>
    <row r="1482" spans="1:12" x14ac:dyDescent="0.3">
      <c r="A1482">
        <v>1481</v>
      </c>
      <c r="B1482">
        <v>1083</v>
      </c>
      <c r="C1482">
        <v>5</v>
      </c>
      <c r="D1482" t="s">
        <v>2038</v>
      </c>
      <c r="E1482">
        <f t="shared" si="69"/>
        <v>2024</v>
      </c>
      <c r="F1482" t="str">
        <f t="shared" si="70"/>
        <v>Jan</v>
      </c>
      <c r="G1482">
        <v>2</v>
      </c>
      <c r="H1482">
        <f>_xlfn.XLOOKUP(C1482,Products!A:A,Products!D:D)</f>
        <v>296.85000000000002</v>
      </c>
      <c r="I1482">
        <v>0</v>
      </c>
      <c r="J1482">
        <f t="shared" si="71"/>
        <v>593.70000000000005</v>
      </c>
      <c r="K1482" t="s">
        <v>2021</v>
      </c>
      <c r="L1482" t="str">
        <f>_xlfn.XLOOKUP(Orders[[#This Row],[ProductID]],Products!A:A,Products!C:C)</f>
        <v>Clothing</v>
      </c>
    </row>
    <row r="1483" spans="1:12" x14ac:dyDescent="0.3">
      <c r="A1483">
        <v>1482</v>
      </c>
      <c r="B1483">
        <v>1083</v>
      </c>
      <c r="C1483">
        <v>24</v>
      </c>
      <c r="D1483" t="s">
        <v>2195</v>
      </c>
      <c r="E1483">
        <f t="shared" si="69"/>
        <v>2023</v>
      </c>
      <c r="F1483" t="str">
        <f t="shared" si="70"/>
        <v>Jan</v>
      </c>
      <c r="G1483">
        <v>1</v>
      </c>
      <c r="H1483">
        <f>_xlfn.XLOOKUP(C1483,Products!A:A,Products!D:D)</f>
        <v>1019.85</v>
      </c>
      <c r="I1483">
        <v>0</v>
      </c>
      <c r="J1483">
        <f t="shared" si="71"/>
        <v>1019.85</v>
      </c>
      <c r="K1483" t="s">
        <v>2021</v>
      </c>
      <c r="L1483" t="str">
        <f>_xlfn.XLOOKUP(Orders[[#This Row],[ProductID]],Products!A:A,Products!C:C)</f>
        <v>Beauty</v>
      </c>
    </row>
    <row r="1484" spans="1:12" x14ac:dyDescent="0.3">
      <c r="A1484">
        <v>1483</v>
      </c>
      <c r="B1484">
        <v>1083</v>
      </c>
      <c r="C1484">
        <v>21</v>
      </c>
      <c r="D1484" t="s">
        <v>2200</v>
      </c>
      <c r="E1484">
        <f t="shared" si="69"/>
        <v>2023</v>
      </c>
      <c r="F1484" t="str">
        <f t="shared" si="70"/>
        <v>Jul</v>
      </c>
      <c r="G1484">
        <v>2</v>
      </c>
      <c r="H1484">
        <f>_xlfn.XLOOKUP(C1484,Products!A:A,Products!D:D)</f>
        <v>420.66</v>
      </c>
      <c r="I1484">
        <v>0</v>
      </c>
      <c r="J1484">
        <f t="shared" si="71"/>
        <v>841.32</v>
      </c>
      <c r="K1484" t="s">
        <v>2015</v>
      </c>
      <c r="L1484" t="str">
        <f>_xlfn.XLOOKUP(Orders[[#This Row],[ProductID]],Products!A:A,Products!C:C)</f>
        <v>Beauty</v>
      </c>
    </row>
    <row r="1485" spans="1:12" x14ac:dyDescent="0.3">
      <c r="A1485">
        <v>1484</v>
      </c>
      <c r="B1485">
        <v>1084</v>
      </c>
      <c r="C1485">
        <v>62</v>
      </c>
      <c r="D1485" t="s">
        <v>2174</v>
      </c>
      <c r="E1485">
        <f t="shared" si="69"/>
        <v>2023</v>
      </c>
      <c r="F1485" t="str">
        <f t="shared" si="70"/>
        <v>Sep</v>
      </c>
      <c r="G1485">
        <v>2</v>
      </c>
      <c r="H1485">
        <f>_xlfn.XLOOKUP(C1485,Products!A:A,Products!D:D)</f>
        <v>196.96</v>
      </c>
      <c r="I1485">
        <v>5</v>
      </c>
      <c r="J1485">
        <f t="shared" si="71"/>
        <v>374.22399999999999</v>
      </c>
      <c r="K1485" t="s">
        <v>2015</v>
      </c>
      <c r="L1485" t="str">
        <f>_xlfn.XLOOKUP(Orders[[#This Row],[ProductID]],Products!A:A,Products!C:C)</f>
        <v>Electronics</v>
      </c>
    </row>
    <row r="1486" spans="1:12" x14ac:dyDescent="0.3">
      <c r="A1486">
        <v>1485</v>
      </c>
      <c r="B1486">
        <v>1084</v>
      </c>
      <c r="C1486">
        <v>52</v>
      </c>
      <c r="D1486" t="s">
        <v>1207</v>
      </c>
      <c r="E1486">
        <f t="shared" si="69"/>
        <v>2023</v>
      </c>
      <c r="F1486" t="str">
        <f t="shared" si="70"/>
        <v>Aug</v>
      </c>
      <c r="G1486">
        <v>1</v>
      </c>
      <c r="H1486">
        <f>_xlfn.XLOOKUP(C1486,Products!A:A,Products!D:D)</f>
        <v>256.76</v>
      </c>
      <c r="I1486">
        <v>15</v>
      </c>
      <c r="J1486">
        <f t="shared" si="71"/>
        <v>218.24599999999998</v>
      </c>
      <c r="K1486" t="s">
        <v>2015</v>
      </c>
      <c r="L1486" t="str">
        <f>_xlfn.XLOOKUP(Orders[[#This Row],[ProductID]],Products!A:A,Products!C:C)</f>
        <v>Home</v>
      </c>
    </row>
    <row r="1487" spans="1:12" x14ac:dyDescent="0.3">
      <c r="A1487">
        <v>1486</v>
      </c>
      <c r="B1487">
        <v>1084</v>
      </c>
      <c r="C1487">
        <v>34</v>
      </c>
      <c r="D1487" t="s">
        <v>778</v>
      </c>
      <c r="E1487">
        <f t="shared" si="69"/>
        <v>2023</v>
      </c>
      <c r="F1487" t="str">
        <f t="shared" si="70"/>
        <v>Oct</v>
      </c>
      <c r="G1487">
        <v>2</v>
      </c>
      <c r="H1487">
        <f>_xlfn.XLOOKUP(C1487,Products!A:A,Products!D:D)</f>
        <v>523.98</v>
      </c>
      <c r="I1487">
        <v>0</v>
      </c>
      <c r="J1487">
        <f t="shared" si="71"/>
        <v>1047.96</v>
      </c>
      <c r="K1487" t="s">
        <v>2024</v>
      </c>
      <c r="L1487" t="str">
        <f>_xlfn.XLOOKUP(Orders[[#This Row],[ProductID]],Products!A:A,Products!C:C)</f>
        <v>Home</v>
      </c>
    </row>
    <row r="1488" spans="1:12" x14ac:dyDescent="0.3">
      <c r="A1488">
        <v>1487</v>
      </c>
      <c r="B1488">
        <v>1084</v>
      </c>
      <c r="C1488">
        <v>66</v>
      </c>
      <c r="D1488" t="s">
        <v>2148</v>
      </c>
      <c r="E1488">
        <f t="shared" si="69"/>
        <v>2024</v>
      </c>
      <c r="F1488" t="str">
        <f t="shared" si="70"/>
        <v>Apr</v>
      </c>
      <c r="G1488">
        <v>2</v>
      </c>
      <c r="H1488">
        <f>_xlfn.XLOOKUP(C1488,Products!A:A,Products!D:D)</f>
        <v>783.37</v>
      </c>
      <c r="I1488">
        <v>10</v>
      </c>
      <c r="J1488">
        <f t="shared" si="71"/>
        <v>1410.066</v>
      </c>
      <c r="K1488" t="s">
        <v>2021</v>
      </c>
      <c r="L1488" t="str">
        <f>_xlfn.XLOOKUP(Orders[[#This Row],[ProductID]],Products!A:A,Products!C:C)</f>
        <v>Home</v>
      </c>
    </row>
    <row r="1489" spans="1:12" x14ac:dyDescent="0.3">
      <c r="A1489">
        <v>1488</v>
      </c>
      <c r="B1489">
        <v>1085</v>
      </c>
      <c r="C1489">
        <v>33</v>
      </c>
      <c r="D1489" t="s">
        <v>623</v>
      </c>
      <c r="E1489">
        <f t="shared" si="69"/>
        <v>2023</v>
      </c>
      <c r="F1489" t="str">
        <f t="shared" si="70"/>
        <v>Jun</v>
      </c>
      <c r="G1489">
        <v>2</v>
      </c>
      <c r="H1489">
        <f>_xlfn.XLOOKUP(C1489,Products!A:A,Products!D:D)</f>
        <v>965.4</v>
      </c>
      <c r="I1489">
        <v>20</v>
      </c>
      <c r="J1489">
        <f t="shared" si="71"/>
        <v>1544.64</v>
      </c>
      <c r="K1489" t="s">
        <v>2017</v>
      </c>
      <c r="L1489" t="str">
        <f>_xlfn.XLOOKUP(Orders[[#This Row],[ProductID]],Products!A:A,Products!C:C)</f>
        <v>Beauty</v>
      </c>
    </row>
    <row r="1490" spans="1:12" x14ac:dyDescent="0.3">
      <c r="A1490">
        <v>1489</v>
      </c>
      <c r="B1490">
        <v>1085</v>
      </c>
      <c r="C1490">
        <v>13</v>
      </c>
      <c r="D1490" t="s">
        <v>2220</v>
      </c>
      <c r="E1490">
        <f t="shared" si="69"/>
        <v>2023</v>
      </c>
      <c r="F1490" t="str">
        <f t="shared" si="70"/>
        <v>Dec</v>
      </c>
      <c r="G1490">
        <v>2</v>
      </c>
      <c r="H1490">
        <f>_xlfn.XLOOKUP(C1490,Products!A:A,Products!D:D)</f>
        <v>334.61</v>
      </c>
      <c r="I1490">
        <v>20</v>
      </c>
      <c r="J1490">
        <f t="shared" si="71"/>
        <v>535.37600000000009</v>
      </c>
      <c r="K1490" t="s">
        <v>2024</v>
      </c>
      <c r="L1490" t="str">
        <f>_xlfn.XLOOKUP(Orders[[#This Row],[ProductID]],Products!A:A,Products!C:C)</f>
        <v>Home</v>
      </c>
    </row>
    <row r="1491" spans="1:12" x14ac:dyDescent="0.3">
      <c r="A1491">
        <v>1490</v>
      </c>
      <c r="B1491">
        <v>1085</v>
      </c>
      <c r="C1491">
        <v>9</v>
      </c>
      <c r="D1491" t="s">
        <v>2193</v>
      </c>
      <c r="E1491">
        <f t="shared" si="69"/>
        <v>2024</v>
      </c>
      <c r="F1491" t="str">
        <f t="shared" si="70"/>
        <v>Feb</v>
      </c>
      <c r="G1491">
        <v>2</v>
      </c>
      <c r="H1491">
        <f>_xlfn.XLOOKUP(C1491,Products!A:A,Products!D:D)</f>
        <v>43.26</v>
      </c>
      <c r="I1491">
        <v>15</v>
      </c>
      <c r="J1491">
        <f t="shared" si="71"/>
        <v>73.542000000000002</v>
      </c>
      <c r="K1491" t="s">
        <v>2019</v>
      </c>
      <c r="L1491" t="str">
        <f>_xlfn.XLOOKUP(Orders[[#This Row],[ProductID]],Products!A:A,Products!C:C)</f>
        <v>Electronics</v>
      </c>
    </row>
    <row r="1492" spans="1:12" x14ac:dyDescent="0.3">
      <c r="A1492">
        <v>1491</v>
      </c>
      <c r="B1492">
        <v>1085</v>
      </c>
      <c r="C1492">
        <v>70</v>
      </c>
      <c r="D1492" t="s">
        <v>1138</v>
      </c>
      <c r="E1492">
        <f t="shared" si="69"/>
        <v>2023</v>
      </c>
      <c r="F1492" t="str">
        <f t="shared" si="70"/>
        <v>Mar</v>
      </c>
      <c r="G1492">
        <v>1</v>
      </c>
      <c r="H1492">
        <f>_xlfn.XLOOKUP(C1492,Products!A:A,Products!D:D)</f>
        <v>797.23</v>
      </c>
      <c r="I1492">
        <v>5</v>
      </c>
      <c r="J1492">
        <f t="shared" si="71"/>
        <v>757.36849999999993</v>
      </c>
      <c r="K1492" t="s">
        <v>2017</v>
      </c>
      <c r="L1492" t="str">
        <f>_xlfn.XLOOKUP(Orders[[#This Row],[ProductID]],Products!A:A,Products!C:C)</f>
        <v>Clothing</v>
      </c>
    </row>
    <row r="1493" spans="1:12" x14ac:dyDescent="0.3">
      <c r="A1493">
        <v>1492</v>
      </c>
      <c r="B1493">
        <v>1086</v>
      </c>
      <c r="C1493">
        <v>15</v>
      </c>
      <c r="D1493" t="s">
        <v>353</v>
      </c>
      <c r="E1493">
        <f t="shared" si="69"/>
        <v>2023</v>
      </c>
      <c r="F1493" t="str">
        <f t="shared" si="70"/>
        <v>Mar</v>
      </c>
      <c r="G1493">
        <v>3</v>
      </c>
      <c r="H1493">
        <f>_xlfn.XLOOKUP(C1493,Products!A:A,Products!D:D)</f>
        <v>1183.2</v>
      </c>
      <c r="I1493">
        <v>10</v>
      </c>
      <c r="J1493">
        <f t="shared" si="71"/>
        <v>3194.6400000000003</v>
      </c>
      <c r="K1493" t="s">
        <v>2021</v>
      </c>
      <c r="L1493" t="str">
        <f>_xlfn.XLOOKUP(Orders[[#This Row],[ProductID]],Products!A:A,Products!C:C)</f>
        <v>Electronics</v>
      </c>
    </row>
    <row r="1494" spans="1:12" x14ac:dyDescent="0.3">
      <c r="A1494">
        <v>1493</v>
      </c>
      <c r="B1494">
        <v>1086</v>
      </c>
      <c r="C1494">
        <v>45</v>
      </c>
      <c r="D1494" t="s">
        <v>588</v>
      </c>
      <c r="E1494">
        <f t="shared" si="69"/>
        <v>2023</v>
      </c>
      <c r="F1494" t="str">
        <f t="shared" si="70"/>
        <v>Jun</v>
      </c>
      <c r="G1494">
        <v>2</v>
      </c>
      <c r="H1494">
        <f>_xlfn.XLOOKUP(C1494,Products!A:A,Products!D:D)</f>
        <v>609.05999999999995</v>
      </c>
      <c r="I1494">
        <v>15</v>
      </c>
      <c r="J1494">
        <f t="shared" si="71"/>
        <v>1035.4019999999998</v>
      </c>
      <c r="K1494" t="s">
        <v>2015</v>
      </c>
      <c r="L1494" t="str">
        <f>_xlfn.XLOOKUP(Orders[[#This Row],[ProductID]],Products!A:A,Products!C:C)</f>
        <v>Beauty</v>
      </c>
    </row>
    <row r="1495" spans="1:12" x14ac:dyDescent="0.3">
      <c r="A1495">
        <v>1494</v>
      </c>
      <c r="B1495">
        <v>1086</v>
      </c>
      <c r="C1495">
        <v>11</v>
      </c>
      <c r="D1495" t="s">
        <v>2159</v>
      </c>
      <c r="E1495">
        <f t="shared" si="69"/>
        <v>2024</v>
      </c>
      <c r="F1495" t="str">
        <f t="shared" si="70"/>
        <v>May</v>
      </c>
      <c r="G1495">
        <v>3</v>
      </c>
      <c r="H1495">
        <f>_xlfn.XLOOKUP(C1495,Products!A:A,Products!D:D)</f>
        <v>1038.77</v>
      </c>
      <c r="I1495">
        <v>5</v>
      </c>
      <c r="J1495">
        <f t="shared" si="71"/>
        <v>2960.4944999999998</v>
      </c>
      <c r="K1495" t="s">
        <v>2017</v>
      </c>
      <c r="L1495" t="str">
        <f>_xlfn.XLOOKUP(Orders[[#This Row],[ProductID]],Products!A:A,Products!C:C)</f>
        <v>Beauty</v>
      </c>
    </row>
    <row r="1496" spans="1:12" x14ac:dyDescent="0.3">
      <c r="A1496">
        <v>1495</v>
      </c>
      <c r="B1496">
        <v>1086</v>
      </c>
      <c r="C1496">
        <v>66</v>
      </c>
      <c r="D1496" t="s">
        <v>2091</v>
      </c>
      <c r="E1496">
        <f t="shared" si="69"/>
        <v>2023</v>
      </c>
      <c r="F1496" t="str">
        <f t="shared" si="70"/>
        <v>Apr</v>
      </c>
      <c r="G1496">
        <v>1</v>
      </c>
      <c r="H1496">
        <f>_xlfn.XLOOKUP(C1496,Products!A:A,Products!D:D)</f>
        <v>783.37</v>
      </c>
      <c r="I1496">
        <v>5</v>
      </c>
      <c r="J1496">
        <f t="shared" si="71"/>
        <v>744.20150000000001</v>
      </c>
      <c r="K1496" t="s">
        <v>2019</v>
      </c>
      <c r="L1496" t="str">
        <f>_xlfn.XLOOKUP(Orders[[#This Row],[ProductID]],Products!A:A,Products!C:C)</f>
        <v>Home</v>
      </c>
    </row>
    <row r="1497" spans="1:12" x14ac:dyDescent="0.3">
      <c r="A1497">
        <v>1496</v>
      </c>
      <c r="B1497">
        <v>1087</v>
      </c>
      <c r="C1497">
        <v>26</v>
      </c>
      <c r="D1497" t="s">
        <v>2152</v>
      </c>
      <c r="E1497">
        <f t="shared" si="69"/>
        <v>2024</v>
      </c>
      <c r="F1497" t="str">
        <f t="shared" si="70"/>
        <v>Jan</v>
      </c>
      <c r="G1497">
        <v>3</v>
      </c>
      <c r="H1497">
        <f>_xlfn.XLOOKUP(C1497,Products!A:A,Products!D:D)</f>
        <v>272.61</v>
      </c>
      <c r="I1497">
        <v>10</v>
      </c>
      <c r="J1497">
        <f t="shared" si="71"/>
        <v>736.04700000000003</v>
      </c>
      <c r="K1497" t="s">
        <v>2015</v>
      </c>
      <c r="L1497" t="str">
        <f>_xlfn.XLOOKUP(Orders[[#This Row],[ProductID]],Products!A:A,Products!C:C)</f>
        <v>Home</v>
      </c>
    </row>
    <row r="1498" spans="1:12" x14ac:dyDescent="0.3">
      <c r="A1498">
        <v>1497</v>
      </c>
      <c r="B1498">
        <v>1087</v>
      </c>
      <c r="C1498">
        <v>77</v>
      </c>
      <c r="D1498" t="s">
        <v>2180</v>
      </c>
      <c r="E1498">
        <f t="shared" si="69"/>
        <v>2024</v>
      </c>
      <c r="F1498" t="str">
        <f t="shared" si="70"/>
        <v>Feb</v>
      </c>
      <c r="G1498">
        <v>1</v>
      </c>
      <c r="H1498">
        <f>_xlfn.XLOOKUP(C1498,Products!A:A,Products!D:D)</f>
        <v>1078.19</v>
      </c>
      <c r="I1498">
        <v>20</v>
      </c>
      <c r="J1498">
        <f t="shared" si="71"/>
        <v>862.55200000000013</v>
      </c>
      <c r="K1498" t="s">
        <v>2015</v>
      </c>
      <c r="L1498" t="str">
        <f>_xlfn.XLOOKUP(Orders[[#This Row],[ProductID]],Products!A:A,Products!C:C)</f>
        <v>Home</v>
      </c>
    </row>
    <row r="1499" spans="1:12" x14ac:dyDescent="0.3">
      <c r="A1499">
        <v>1498</v>
      </c>
      <c r="B1499">
        <v>1087</v>
      </c>
      <c r="C1499">
        <v>68</v>
      </c>
      <c r="D1499" t="s">
        <v>954</v>
      </c>
      <c r="E1499">
        <f t="shared" si="69"/>
        <v>2023</v>
      </c>
      <c r="F1499" t="str">
        <f t="shared" si="70"/>
        <v>Jan</v>
      </c>
      <c r="G1499">
        <v>3</v>
      </c>
      <c r="H1499">
        <f>_xlfn.XLOOKUP(C1499,Products!A:A,Products!D:D)</f>
        <v>180.99</v>
      </c>
      <c r="I1499">
        <v>10</v>
      </c>
      <c r="J1499">
        <f t="shared" si="71"/>
        <v>488.67300000000006</v>
      </c>
      <c r="K1499" t="s">
        <v>2015</v>
      </c>
      <c r="L1499" t="str">
        <f>_xlfn.XLOOKUP(Orders[[#This Row],[ProductID]],Products!A:A,Products!C:C)</f>
        <v>Clothing</v>
      </c>
    </row>
    <row r="1500" spans="1:12" x14ac:dyDescent="0.3">
      <c r="A1500">
        <v>1499</v>
      </c>
      <c r="B1500">
        <v>1087</v>
      </c>
      <c r="C1500">
        <v>30</v>
      </c>
      <c r="D1500" t="s">
        <v>2071</v>
      </c>
      <c r="E1500">
        <f t="shared" si="69"/>
        <v>2023</v>
      </c>
      <c r="F1500" t="str">
        <f t="shared" si="70"/>
        <v>Dec</v>
      </c>
      <c r="G1500">
        <v>3</v>
      </c>
      <c r="H1500">
        <f>_xlfn.XLOOKUP(C1500,Products!A:A,Products!D:D)</f>
        <v>866.89</v>
      </c>
      <c r="I1500">
        <v>5</v>
      </c>
      <c r="J1500">
        <f t="shared" si="71"/>
        <v>2470.6365000000001</v>
      </c>
      <c r="K1500" t="s">
        <v>2024</v>
      </c>
      <c r="L1500" t="str">
        <f>_xlfn.XLOOKUP(Orders[[#This Row],[ProductID]],Products!A:A,Products!C:C)</f>
        <v>Electronics</v>
      </c>
    </row>
    <row r="1501" spans="1:12" x14ac:dyDescent="0.3">
      <c r="A1501">
        <v>1500</v>
      </c>
      <c r="B1501">
        <v>1088</v>
      </c>
      <c r="C1501">
        <v>21</v>
      </c>
      <c r="D1501" t="s">
        <v>323</v>
      </c>
      <c r="E1501">
        <f t="shared" si="69"/>
        <v>2023</v>
      </c>
      <c r="F1501" t="str">
        <f t="shared" si="70"/>
        <v>Feb</v>
      </c>
      <c r="G1501">
        <v>3</v>
      </c>
      <c r="H1501">
        <f>_xlfn.XLOOKUP(C1501,Products!A:A,Products!D:D)</f>
        <v>420.66</v>
      </c>
      <c r="I1501">
        <v>5</v>
      </c>
      <c r="J1501">
        <f t="shared" si="71"/>
        <v>1198.8809999999999</v>
      </c>
      <c r="K1501" t="s">
        <v>2015</v>
      </c>
      <c r="L1501" t="str">
        <f>_xlfn.XLOOKUP(Orders[[#This Row],[ProductID]],Products!A:A,Products!C:C)</f>
        <v>Beauty</v>
      </c>
    </row>
    <row r="1502" spans="1:12" x14ac:dyDescent="0.3">
      <c r="A1502">
        <v>1501</v>
      </c>
      <c r="B1502">
        <v>1088</v>
      </c>
      <c r="C1502">
        <v>29</v>
      </c>
      <c r="D1502" t="s">
        <v>2041</v>
      </c>
      <c r="E1502">
        <f t="shared" si="69"/>
        <v>2024</v>
      </c>
      <c r="F1502" t="str">
        <f t="shared" si="70"/>
        <v>Mar</v>
      </c>
      <c r="G1502">
        <v>3</v>
      </c>
      <c r="H1502">
        <f>_xlfn.XLOOKUP(C1502,Products!A:A,Products!D:D)</f>
        <v>757</v>
      </c>
      <c r="I1502">
        <v>5</v>
      </c>
      <c r="J1502">
        <f t="shared" si="71"/>
        <v>2157.4499999999998</v>
      </c>
      <c r="K1502" t="s">
        <v>2015</v>
      </c>
      <c r="L1502" t="str">
        <f>_xlfn.XLOOKUP(Orders[[#This Row],[ProductID]],Products!A:A,Products!C:C)</f>
        <v>Clothing</v>
      </c>
    </row>
    <row r="1503" spans="1:12" x14ac:dyDescent="0.3">
      <c r="A1503">
        <v>1502</v>
      </c>
      <c r="B1503">
        <v>1088</v>
      </c>
      <c r="C1503">
        <v>79</v>
      </c>
      <c r="D1503" t="s">
        <v>1299</v>
      </c>
      <c r="E1503">
        <f t="shared" si="69"/>
        <v>2023</v>
      </c>
      <c r="F1503" t="str">
        <f t="shared" si="70"/>
        <v>Aug</v>
      </c>
      <c r="G1503">
        <v>1</v>
      </c>
      <c r="H1503">
        <f>_xlfn.XLOOKUP(C1503,Products!A:A,Products!D:D)</f>
        <v>488.34</v>
      </c>
      <c r="I1503">
        <v>10</v>
      </c>
      <c r="J1503">
        <f t="shared" si="71"/>
        <v>439.50599999999997</v>
      </c>
      <c r="K1503" t="s">
        <v>2019</v>
      </c>
      <c r="L1503" t="str">
        <f>_xlfn.XLOOKUP(Orders[[#This Row],[ProductID]],Products!A:A,Products!C:C)</f>
        <v>Electronics</v>
      </c>
    </row>
    <row r="1504" spans="1:12" x14ac:dyDescent="0.3">
      <c r="A1504">
        <v>1503</v>
      </c>
      <c r="B1504">
        <v>1088</v>
      </c>
      <c r="C1504">
        <v>52</v>
      </c>
      <c r="D1504" t="s">
        <v>246</v>
      </c>
      <c r="E1504">
        <f t="shared" si="69"/>
        <v>2023</v>
      </c>
      <c r="F1504" t="str">
        <f t="shared" si="70"/>
        <v>Jun</v>
      </c>
      <c r="G1504">
        <v>2</v>
      </c>
      <c r="H1504">
        <f>_xlfn.XLOOKUP(C1504,Products!A:A,Products!D:D)</f>
        <v>256.76</v>
      </c>
      <c r="I1504">
        <v>20</v>
      </c>
      <c r="J1504">
        <f t="shared" si="71"/>
        <v>410.81600000000003</v>
      </c>
      <c r="K1504" t="s">
        <v>2017</v>
      </c>
      <c r="L1504" t="str">
        <f>_xlfn.XLOOKUP(Orders[[#This Row],[ProductID]],Products!A:A,Products!C:C)</f>
        <v>Home</v>
      </c>
    </row>
    <row r="1505" spans="1:12" x14ac:dyDescent="0.3">
      <c r="A1505">
        <v>1504</v>
      </c>
      <c r="B1505">
        <v>1089</v>
      </c>
      <c r="C1505">
        <v>61</v>
      </c>
      <c r="D1505" t="s">
        <v>1411</v>
      </c>
      <c r="E1505">
        <f t="shared" si="69"/>
        <v>2023</v>
      </c>
      <c r="F1505" t="str">
        <f t="shared" si="70"/>
        <v>Aug</v>
      </c>
      <c r="G1505">
        <v>2</v>
      </c>
      <c r="H1505">
        <f>_xlfn.XLOOKUP(C1505,Products!A:A,Products!D:D)</f>
        <v>498.92</v>
      </c>
      <c r="I1505">
        <v>5</v>
      </c>
      <c r="J1505">
        <f t="shared" si="71"/>
        <v>947.94799999999998</v>
      </c>
      <c r="K1505" t="s">
        <v>2024</v>
      </c>
      <c r="L1505" t="str">
        <f>_xlfn.XLOOKUP(Orders[[#This Row],[ProductID]],Products!A:A,Products!C:C)</f>
        <v>Clothing</v>
      </c>
    </row>
    <row r="1506" spans="1:12" x14ac:dyDescent="0.3">
      <c r="A1506">
        <v>1505</v>
      </c>
      <c r="B1506">
        <v>1089</v>
      </c>
      <c r="C1506">
        <v>1</v>
      </c>
      <c r="D1506" t="s">
        <v>2233</v>
      </c>
      <c r="E1506">
        <f t="shared" si="69"/>
        <v>2023</v>
      </c>
      <c r="F1506" t="str">
        <f t="shared" si="70"/>
        <v>Feb</v>
      </c>
      <c r="G1506">
        <v>2</v>
      </c>
      <c r="H1506">
        <f>_xlfn.XLOOKUP(C1506,Products!A:A,Products!D:D)</f>
        <v>469.08</v>
      </c>
      <c r="I1506">
        <v>20</v>
      </c>
      <c r="J1506">
        <f t="shared" si="71"/>
        <v>750.52800000000002</v>
      </c>
      <c r="K1506" t="s">
        <v>2024</v>
      </c>
      <c r="L1506" t="str">
        <f>_xlfn.XLOOKUP(Orders[[#This Row],[ProductID]],Products!A:A,Products!C:C)</f>
        <v>Clothing</v>
      </c>
    </row>
    <row r="1507" spans="1:12" x14ac:dyDescent="0.3">
      <c r="A1507">
        <v>1506</v>
      </c>
      <c r="B1507">
        <v>1089</v>
      </c>
      <c r="C1507">
        <v>27</v>
      </c>
      <c r="D1507" t="s">
        <v>2122</v>
      </c>
      <c r="E1507">
        <f t="shared" si="69"/>
        <v>2024</v>
      </c>
      <c r="F1507" t="str">
        <f t="shared" si="70"/>
        <v>Apr</v>
      </c>
      <c r="G1507">
        <v>3</v>
      </c>
      <c r="H1507">
        <f>_xlfn.XLOOKUP(C1507,Products!A:A,Products!D:D)</f>
        <v>76.09</v>
      </c>
      <c r="I1507">
        <v>20</v>
      </c>
      <c r="J1507">
        <f t="shared" si="71"/>
        <v>182.61600000000001</v>
      </c>
      <c r="K1507" t="s">
        <v>2015</v>
      </c>
      <c r="L1507" t="str">
        <f>_xlfn.XLOOKUP(Orders[[#This Row],[ProductID]],Products!A:A,Products!C:C)</f>
        <v>Clothing</v>
      </c>
    </row>
    <row r="1508" spans="1:12" x14ac:dyDescent="0.3">
      <c r="A1508">
        <v>1507</v>
      </c>
      <c r="B1508">
        <v>1090</v>
      </c>
      <c r="C1508">
        <v>9</v>
      </c>
      <c r="D1508" t="s">
        <v>763</v>
      </c>
      <c r="E1508">
        <f t="shared" si="69"/>
        <v>2023</v>
      </c>
      <c r="F1508" t="str">
        <f t="shared" si="70"/>
        <v>Jan</v>
      </c>
      <c r="G1508">
        <v>2</v>
      </c>
      <c r="H1508">
        <f>_xlfn.XLOOKUP(C1508,Products!A:A,Products!D:D)</f>
        <v>43.26</v>
      </c>
      <c r="I1508">
        <v>5</v>
      </c>
      <c r="J1508">
        <f t="shared" si="71"/>
        <v>82.193999999999988</v>
      </c>
      <c r="K1508" t="s">
        <v>2021</v>
      </c>
      <c r="L1508" t="str">
        <f>_xlfn.XLOOKUP(Orders[[#This Row],[ProductID]],Products!A:A,Products!C:C)</f>
        <v>Electronics</v>
      </c>
    </row>
    <row r="1509" spans="1:12" x14ac:dyDescent="0.3">
      <c r="A1509">
        <v>1508</v>
      </c>
      <c r="B1509">
        <v>1090</v>
      </c>
      <c r="C1509">
        <v>62</v>
      </c>
      <c r="D1509" t="s">
        <v>2057</v>
      </c>
      <c r="E1509">
        <f t="shared" si="69"/>
        <v>2024</v>
      </c>
      <c r="F1509" t="str">
        <f t="shared" si="70"/>
        <v>Feb</v>
      </c>
      <c r="G1509">
        <v>1</v>
      </c>
      <c r="H1509">
        <f>_xlfn.XLOOKUP(C1509,Products!A:A,Products!D:D)</f>
        <v>196.96</v>
      </c>
      <c r="I1509">
        <v>5</v>
      </c>
      <c r="J1509">
        <f t="shared" si="71"/>
        <v>187.11199999999999</v>
      </c>
      <c r="K1509" t="s">
        <v>2017</v>
      </c>
      <c r="L1509" t="str">
        <f>_xlfn.XLOOKUP(Orders[[#This Row],[ProductID]],Products!A:A,Products!C:C)</f>
        <v>Electronics</v>
      </c>
    </row>
    <row r="1510" spans="1:12" x14ac:dyDescent="0.3">
      <c r="A1510">
        <v>1509</v>
      </c>
      <c r="B1510">
        <v>1090</v>
      </c>
      <c r="C1510">
        <v>21</v>
      </c>
      <c r="D1510" t="s">
        <v>691</v>
      </c>
      <c r="E1510">
        <f t="shared" si="69"/>
        <v>2023</v>
      </c>
      <c r="F1510" t="str">
        <f t="shared" si="70"/>
        <v>Nov</v>
      </c>
      <c r="G1510">
        <v>2</v>
      </c>
      <c r="H1510">
        <f>_xlfn.XLOOKUP(C1510,Products!A:A,Products!D:D)</f>
        <v>420.66</v>
      </c>
      <c r="I1510">
        <v>15</v>
      </c>
      <c r="J1510">
        <f t="shared" si="71"/>
        <v>715.12200000000007</v>
      </c>
      <c r="K1510" t="s">
        <v>2015</v>
      </c>
      <c r="L1510" t="str">
        <f>_xlfn.XLOOKUP(Orders[[#This Row],[ProductID]],Products!A:A,Products!C:C)</f>
        <v>Beauty</v>
      </c>
    </row>
    <row r="1511" spans="1:12" x14ac:dyDescent="0.3">
      <c r="A1511">
        <v>1510</v>
      </c>
      <c r="B1511">
        <v>1091</v>
      </c>
      <c r="C1511">
        <v>25</v>
      </c>
      <c r="D1511" t="s">
        <v>644</v>
      </c>
      <c r="E1511">
        <f t="shared" si="69"/>
        <v>2023</v>
      </c>
      <c r="F1511" t="str">
        <f t="shared" si="70"/>
        <v>May</v>
      </c>
      <c r="G1511">
        <v>2</v>
      </c>
      <c r="H1511">
        <f>_xlfn.XLOOKUP(C1511,Products!A:A,Products!D:D)</f>
        <v>1011.65</v>
      </c>
      <c r="I1511">
        <v>0</v>
      </c>
      <c r="J1511">
        <f t="shared" si="71"/>
        <v>2023.3</v>
      </c>
      <c r="K1511" t="s">
        <v>2021</v>
      </c>
      <c r="L1511" t="str">
        <f>_xlfn.XLOOKUP(Orders[[#This Row],[ProductID]],Products!A:A,Products!C:C)</f>
        <v>Electronics</v>
      </c>
    </row>
    <row r="1512" spans="1:12" x14ac:dyDescent="0.3">
      <c r="A1512">
        <v>1511</v>
      </c>
      <c r="B1512">
        <v>1091</v>
      </c>
      <c r="C1512">
        <v>36</v>
      </c>
      <c r="D1512" t="s">
        <v>1131</v>
      </c>
      <c r="E1512">
        <f t="shared" si="69"/>
        <v>2023</v>
      </c>
      <c r="F1512" t="str">
        <f t="shared" si="70"/>
        <v>Mar</v>
      </c>
      <c r="G1512">
        <v>2</v>
      </c>
      <c r="H1512">
        <f>_xlfn.XLOOKUP(C1512,Products!A:A,Products!D:D)</f>
        <v>992.01</v>
      </c>
      <c r="I1512">
        <v>0</v>
      </c>
      <c r="J1512">
        <f t="shared" si="71"/>
        <v>1984.02</v>
      </c>
      <c r="K1512" t="s">
        <v>2015</v>
      </c>
      <c r="L1512" t="str">
        <f>_xlfn.XLOOKUP(Orders[[#This Row],[ProductID]],Products!A:A,Products!C:C)</f>
        <v>Beauty</v>
      </c>
    </row>
    <row r="1513" spans="1:12" x14ac:dyDescent="0.3">
      <c r="A1513">
        <v>1512</v>
      </c>
      <c r="B1513">
        <v>1091</v>
      </c>
      <c r="C1513">
        <v>20</v>
      </c>
      <c r="D1513" t="s">
        <v>1312</v>
      </c>
      <c r="E1513">
        <f t="shared" si="69"/>
        <v>2023</v>
      </c>
      <c r="F1513" t="str">
        <f t="shared" si="70"/>
        <v>Apr</v>
      </c>
      <c r="G1513">
        <v>2</v>
      </c>
      <c r="H1513">
        <f>_xlfn.XLOOKUP(C1513,Products!A:A,Products!D:D)</f>
        <v>613.27</v>
      </c>
      <c r="I1513">
        <v>5</v>
      </c>
      <c r="J1513">
        <f t="shared" si="71"/>
        <v>1165.213</v>
      </c>
      <c r="K1513" t="s">
        <v>2024</v>
      </c>
      <c r="L1513" t="str">
        <f>_xlfn.XLOOKUP(Orders[[#This Row],[ProductID]],Products!A:A,Products!C:C)</f>
        <v>Home</v>
      </c>
    </row>
    <row r="1514" spans="1:12" x14ac:dyDescent="0.3">
      <c r="A1514">
        <v>1513</v>
      </c>
      <c r="B1514">
        <v>1091</v>
      </c>
      <c r="C1514">
        <v>42</v>
      </c>
      <c r="D1514" t="s">
        <v>842</v>
      </c>
      <c r="E1514">
        <f t="shared" si="69"/>
        <v>2023</v>
      </c>
      <c r="F1514" t="str">
        <f t="shared" si="70"/>
        <v>Jan</v>
      </c>
      <c r="G1514">
        <v>3</v>
      </c>
      <c r="H1514">
        <f>_xlfn.XLOOKUP(C1514,Products!A:A,Products!D:D)</f>
        <v>233.11</v>
      </c>
      <c r="I1514">
        <v>0</v>
      </c>
      <c r="J1514">
        <f t="shared" si="71"/>
        <v>699.33</v>
      </c>
      <c r="K1514" t="s">
        <v>2015</v>
      </c>
      <c r="L1514" t="str">
        <f>_xlfn.XLOOKUP(Orders[[#This Row],[ProductID]],Products!A:A,Products!C:C)</f>
        <v>Home</v>
      </c>
    </row>
    <row r="1515" spans="1:12" x14ac:dyDescent="0.3">
      <c r="A1515">
        <v>1514</v>
      </c>
      <c r="B1515">
        <v>1092</v>
      </c>
      <c r="C1515">
        <v>40</v>
      </c>
      <c r="D1515" t="s">
        <v>1305</v>
      </c>
      <c r="E1515">
        <f t="shared" si="69"/>
        <v>2023</v>
      </c>
      <c r="F1515" t="str">
        <f t="shared" si="70"/>
        <v>Sep</v>
      </c>
      <c r="G1515">
        <v>1</v>
      </c>
      <c r="H1515">
        <f>_xlfn.XLOOKUP(C1515,Products!A:A,Products!D:D)</f>
        <v>316.49</v>
      </c>
      <c r="I1515">
        <v>20</v>
      </c>
      <c r="J1515">
        <f t="shared" si="71"/>
        <v>253.19200000000001</v>
      </c>
      <c r="K1515" t="s">
        <v>2017</v>
      </c>
      <c r="L1515" t="str">
        <f>_xlfn.XLOOKUP(Orders[[#This Row],[ProductID]],Products!A:A,Products!C:C)</f>
        <v>Home</v>
      </c>
    </row>
    <row r="1516" spans="1:12" x14ac:dyDescent="0.3">
      <c r="A1516">
        <v>1515</v>
      </c>
      <c r="B1516">
        <v>1092</v>
      </c>
      <c r="C1516">
        <v>30</v>
      </c>
      <c r="D1516" t="s">
        <v>2108</v>
      </c>
      <c r="E1516">
        <f t="shared" si="69"/>
        <v>2023</v>
      </c>
      <c r="F1516" t="str">
        <f t="shared" si="70"/>
        <v>Dec</v>
      </c>
      <c r="G1516">
        <v>2</v>
      </c>
      <c r="H1516">
        <f>_xlfn.XLOOKUP(C1516,Products!A:A,Products!D:D)</f>
        <v>866.89</v>
      </c>
      <c r="I1516">
        <v>10</v>
      </c>
      <c r="J1516">
        <f t="shared" si="71"/>
        <v>1560.402</v>
      </c>
      <c r="K1516" t="s">
        <v>2019</v>
      </c>
      <c r="L1516" t="str">
        <f>_xlfn.XLOOKUP(Orders[[#This Row],[ProductID]],Products!A:A,Products!C:C)</f>
        <v>Electronics</v>
      </c>
    </row>
    <row r="1517" spans="1:12" x14ac:dyDescent="0.3">
      <c r="A1517">
        <v>1516</v>
      </c>
      <c r="B1517">
        <v>1092</v>
      </c>
      <c r="C1517">
        <v>70</v>
      </c>
      <c r="D1517" t="s">
        <v>2089</v>
      </c>
      <c r="E1517">
        <f t="shared" si="69"/>
        <v>2024</v>
      </c>
      <c r="F1517" t="str">
        <f t="shared" si="70"/>
        <v>Jan</v>
      </c>
      <c r="G1517">
        <v>3</v>
      </c>
      <c r="H1517">
        <f>_xlfn.XLOOKUP(C1517,Products!A:A,Products!D:D)</f>
        <v>797.23</v>
      </c>
      <c r="I1517">
        <v>15</v>
      </c>
      <c r="J1517">
        <f t="shared" si="71"/>
        <v>2032.9365</v>
      </c>
      <c r="K1517" t="s">
        <v>2021</v>
      </c>
      <c r="L1517" t="str">
        <f>_xlfn.XLOOKUP(Orders[[#This Row],[ProductID]],Products!A:A,Products!C:C)</f>
        <v>Clothing</v>
      </c>
    </row>
    <row r="1518" spans="1:12" x14ac:dyDescent="0.3">
      <c r="A1518">
        <v>1517</v>
      </c>
      <c r="B1518">
        <v>1093</v>
      </c>
      <c r="C1518">
        <v>10</v>
      </c>
      <c r="D1518" t="s">
        <v>2097</v>
      </c>
      <c r="E1518">
        <f t="shared" si="69"/>
        <v>2024</v>
      </c>
      <c r="F1518" t="str">
        <f t="shared" si="70"/>
        <v>Mar</v>
      </c>
      <c r="G1518">
        <v>3</v>
      </c>
      <c r="H1518">
        <f>_xlfn.XLOOKUP(C1518,Products!A:A,Products!D:D)</f>
        <v>64.11</v>
      </c>
      <c r="I1518">
        <v>10</v>
      </c>
      <c r="J1518">
        <f t="shared" si="71"/>
        <v>173.09699999999998</v>
      </c>
      <c r="K1518" t="s">
        <v>2024</v>
      </c>
      <c r="L1518" t="str">
        <f>_xlfn.XLOOKUP(Orders[[#This Row],[ProductID]],Products!A:A,Products!C:C)</f>
        <v>Clothing</v>
      </c>
    </row>
    <row r="1519" spans="1:12" x14ac:dyDescent="0.3">
      <c r="A1519">
        <v>1518</v>
      </c>
      <c r="B1519">
        <v>1093</v>
      </c>
      <c r="C1519">
        <v>6</v>
      </c>
      <c r="D1519" t="s">
        <v>1339</v>
      </c>
      <c r="E1519">
        <f t="shared" si="69"/>
        <v>2023</v>
      </c>
      <c r="F1519" t="str">
        <f t="shared" si="70"/>
        <v>Jul</v>
      </c>
      <c r="G1519">
        <v>2</v>
      </c>
      <c r="H1519">
        <f>_xlfn.XLOOKUP(C1519,Products!A:A,Products!D:D)</f>
        <v>719.19</v>
      </c>
      <c r="I1519">
        <v>0</v>
      </c>
      <c r="J1519">
        <f t="shared" si="71"/>
        <v>1438.38</v>
      </c>
      <c r="K1519" t="s">
        <v>2017</v>
      </c>
      <c r="L1519" t="str">
        <f>_xlfn.XLOOKUP(Orders[[#This Row],[ProductID]],Products!A:A,Products!C:C)</f>
        <v>Clothing</v>
      </c>
    </row>
    <row r="1520" spans="1:12" x14ac:dyDescent="0.3">
      <c r="A1520">
        <v>1519</v>
      </c>
      <c r="B1520">
        <v>1093</v>
      </c>
      <c r="C1520">
        <v>55</v>
      </c>
      <c r="D1520" t="s">
        <v>1513</v>
      </c>
      <c r="E1520">
        <f t="shared" si="69"/>
        <v>2023</v>
      </c>
      <c r="F1520" t="str">
        <f t="shared" si="70"/>
        <v>Oct</v>
      </c>
      <c r="G1520">
        <v>1</v>
      </c>
      <c r="H1520">
        <f>_xlfn.XLOOKUP(C1520,Products!A:A,Products!D:D)</f>
        <v>1016.06</v>
      </c>
      <c r="I1520">
        <v>15</v>
      </c>
      <c r="J1520">
        <f t="shared" si="71"/>
        <v>863.65099999999995</v>
      </c>
      <c r="K1520" t="s">
        <v>2024</v>
      </c>
      <c r="L1520" t="str">
        <f>_xlfn.XLOOKUP(Orders[[#This Row],[ProductID]],Products!A:A,Products!C:C)</f>
        <v>Clothing</v>
      </c>
    </row>
    <row r="1521" spans="1:12" x14ac:dyDescent="0.3">
      <c r="A1521">
        <v>1520</v>
      </c>
      <c r="B1521">
        <v>1093</v>
      </c>
      <c r="C1521">
        <v>29</v>
      </c>
      <c r="D1521" t="s">
        <v>434</v>
      </c>
      <c r="E1521">
        <f t="shared" si="69"/>
        <v>2023</v>
      </c>
      <c r="F1521" t="str">
        <f t="shared" si="70"/>
        <v>Sep</v>
      </c>
      <c r="G1521">
        <v>1</v>
      </c>
      <c r="H1521">
        <f>_xlfn.XLOOKUP(C1521,Products!A:A,Products!D:D)</f>
        <v>757</v>
      </c>
      <c r="I1521">
        <v>0</v>
      </c>
      <c r="J1521">
        <f t="shared" si="71"/>
        <v>757</v>
      </c>
      <c r="K1521" t="s">
        <v>2015</v>
      </c>
      <c r="L1521" t="str">
        <f>_xlfn.XLOOKUP(Orders[[#This Row],[ProductID]],Products!A:A,Products!C:C)</f>
        <v>Clothing</v>
      </c>
    </row>
    <row r="1522" spans="1:12" x14ac:dyDescent="0.3">
      <c r="A1522">
        <v>1521</v>
      </c>
      <c r="B1522">
        <v>1094</v>
      </c>
      <c r="C1522">
        <v>77</v>
      </c>
      <c r="D1522" t="s">
        <v>2207</v>
      </c>
      <c r="E1522">
        <f t="shared" si="69"/>
        <v>2024</v>
      </c>
      <c r="F1522" t="str">
        <f t="shared" si="70"/>
        <v>Mar</v>
      </c>
      <c r="G1522">
        <v>2</v>
      </c>
      <c r="H1522">
        <f>_xlfn.XLOOKUP(C1522,Products!A:A,Products!D:D)</f>
        <v>1078.19</v>
      </c>
      <c r="I1522">
        <v>5</v>
      </c>
      <c r="J1522">
        <f t="shared" si="71"/>
        <v>2048.5610000000001</v>
      </c>
      <c r="K1522" t="s">
        <v>2017</v>
      </c>
      <c r="L1522" t="str">
        <f>_xlfn.XLOOKUP(Orders[[#This Row],[ProductID]],Products!A:A,Products!C:C)</f>
        <v>Home</v>
      </c>
    </row>
    <row r="1523" spans="1:12" x14ac:dyDescent="0.3">
      <c r="A1523">
        <v>1522</v>
      </c>
      <c r="B1523">
        <v>1094</v>
      </c>
      <c r="C1523">
        <v>56</v>
      </c>
      <c r="D1523" t="s">
        <v>88</v>
      </c>
      <c r="E1523">
        <f t="shared" si="69"/>
        <v>2023</v>
      </c>
      <c r="F1523" t="str">
        <f t="shared" si="70"/>
        <v>Aug</v>
      </c>
      <c r="G1523">
        <v>1</v>
      </c>
      <c r="H1523">
        <f>_xlfn.XLOOKUP(C1523,Products!A:A,Products!D:D)</f>
        <v>396.01</v>
      </c>
      <c r="I1523">
        <v>0</v>
      </c>
      <c r="J1523">
        <f t="shared" si="71"/>
        <v>396.01</v>
      </c>
      <c r="K1523" t="s">
        <v>2024</v>
      </c>
      <c r="L1523" t="str">
        <f>_xlfn.XLOOKUP(Orders[[#This Row],[ProductID]],Products!A:A,Products!C:C)</f>
        <v>Home</v>
      </c>
    </row>
    <row r="1524" spans="1:12" x14ac:dyDescent="0.3">
      <c r="A1524">
        <v>1523</v>
      </c>
      <c r="B1524">
        <v>1094</v>
      </c>
      <c r="C1524">
        <v>36</v>
      </c>
      <c r="D1524" t="s">
        <v>2090</v>
      </c>
      <c r="E1524">
        <f t="shared" si="69"/>
        <v>2024</v>
      </c>
      <c r="F1524" t="str">
        <f t="shared" si="70"/>
        <v>Apr</v>
      </c>
      <c r="G1524">
        <v>2</v>
      </c>
      <c r="H1524">
        <f>_xlfn.XLOOKUP(C1524,Products!A:A,Products!D:D)</f>
        <v>992.01</v>
      </c>
      <c r="I1524">
        <v>20</v>
      </c>
      <c r="J1524">
        <f t="shared" si="71"/>
        <v>1587.2160000000001</v>
      </c>
      <c r="K1524" t="s">
        <v>2024</v>
      </c>
      <c r="L1524" t="str">
        <f>_xlfn.XLOOKUP(Orders[[#This Row],[ProductID]],Products!A:A,Products!C:C)</f>
        <v>Beauty</v>
      </c>
    </row>
    <row r="1525" spans="1:12" x14ac:dyDescent="0.3">
      <c r="A1525">
        <v>1524</v>
      </c>
      <c r="B1525">
        <v>1094</v>
      </c>
      <c r="C1525">
        <v>54</v>
      </c>
      <c r="D1525" t="s">
        <v>2192</v>
      </c>
      <c r="E1525">
        <f t="shared" si="69"/>
        <v>2023</v>
      </c>
      <c r="F1525" t="str">
        <f t="shared" si="70"/>
        <v>Dec</v>
      </c>
      <c r="G1525">
        <v>2</v>
      </c>
      <c r="H1525">
        <f>_xlfn.XLOOKUP(C1525,Products!A:A,Products!D:D)</f>
        <v>900.79</v>
      </c>
      <c r="I1525">
        <v>10</v>
      </c>
      <c r="J1525">
        <f t="shared" si="71"/>
        <v>1621.422</v>
      </c>
      <c r="K1525" t="s">
        <v>2019</v>
      </c>
      <c r="L1525" t="str">
        <f>_xlfn.XLOOKUP(Orders[[#This Row],[ProductID]],Products!A:A,Products!C:C)</f>
        <v>Electronics</v>
      </c>
    </row>
    <row r="1526" spans="1:12" x14ac:dyDescent="0.3">
      <c r="A1526">
        <v>1525</v>
      </c>
      <c r="B1526">
        <v>1095</v>
      </c>
      <c r="C1526">
        <v>2</v>
      </c>
      <c r="D1526" t="s">
        <v>323</v>
      </c>
      <c r="E1526">
        <f t="shared" si="69"/>
        <v>2023</v>
      </c>
      <c r="F1526" t="str">
        <f t="shared" si="70"/>
        <v>Feb</v>
      </c>
      <c r="G1526">
        <v>3</v>
      </c>
      <c r="H1526">
        <f>_xlfn.XLOOKUP(C1526,Products!A:A,Products!D:D)</f>
        <v>427.27</v>
      </c>
      <c r="I1526">
        <v>15</v>
      </c>
      <c r="J1526">
        <f t="shared" si="71"/>
        <v>1089.5384999999999</v>
      </c>
      <c r="K1526" t="s">
        <v>2021</v>
      </c>
      <c r="L1526" t="str">
        <f>_xlfn.XLOOKUP(Orders[[#This Row],[ProductID]],Products!A:A,Products!C:C)</f>
        <v>Home</v>
      </c>
    </row>
    <row r="1527" spans="1:12" x14ac:dyDescent="0.3">
      <c r="A1527">
        <v>1526</v>
      </c>
      <c r="B1527">
        <v>1095</v>
      </c>
      <c r="C1527">
        <v>75</v>
      </c>
      <c r="D1527" t="s">
        <v>1758</v>
      </c>
      <c r="E1527">
        <f t="shared" si="69"/>
        <v>2023</v>
      </c>
      <c r="F1527" t="str">
        <f t="shared" si="70"/>
        <v>Sep</v>
      </c>
      <c r="G1527">
        <v>1</v>
      </c>
      <c r="H1527">
        <f>_xlfn.XLOOKUP(C1527,Products!A:A,Products!D:D)</f>
        <v>390.41</v>
      </c>
      <c r="I1527">
        <v>20</v>
      </c>
      <c r="J1527">
        <f t="shared" si="71"/>
        <v>312.32800000000003</v>
      </c>
      <c r="K1527" t="s">
        <v>2017</v>
      </c>
      <c r="L1527" t="str">
        <f>_xlfn.XLOOKUP(Orders[[#This Row],[ProductID]],Products!A:A,Products!C:C)</f>
        <v>Electronics</v>
      </c>
    </row>
    <row r="1528" spans="1:12" x14ac:dyDescent="0.3">
      <c r="A1528">
        <v>1527</v>
      </c>
      <c r="B1528">
        <v>1095</v>
      </c>
      <c r="C1528">
        <v>35</v>
      </c>
      <c r="D1528" t="s">
        <v>1452</v>
      </c>
      <c r="E1528">
        <f t="shared" si="69"/>
        <v>2023</v>
      </c>
      <c r="F1528" t="str">
        <f t="shared" si="70"/>
        <v>Feb</v>
      </c>
      <c r="G1528">
        <v>3</v>
      </c>
      <c r="H1528">
        <f>_xlfn.XLOOKUP(C1528,Products!A:A,Products!D:D)</f>
        <v>958.87</v>
      </c>
      <c r="I1528">
        <v>15</v>
      </c>
      <c r="J1528">
        <f t="shared" si="71"/>
        <v>2445.1185</v>
      </c>
      <c r="K1528" t="s">
        <v>2015</v>
      </c>
      <c r="L1528" t="str">
        <f>_xlfn.XLOOKUP(Orders[[#This Row],[ProductID]],Products!A:A,Products!C:C)</f>
        <v>Clothing</v>
      </c>
    </row>
    <row r="1529" spans="1:12" x14ac:dyDescent="0.3">
      <c r="A1529">
        <v>1528</v>
      </c>
      <c r="B1529">
        <v>1095</v>
      </c>
      <c r="C1529">
        <v>78</v>
      </c>
      <c r="D1529" t="s">
        <v>2161</v>
      </c>
      <c r="E1529">
        <f t="shared" si="69"/>
        <v>2024</v>
      </c>
      <c r="F1529" t="str">
        <f t="shared" si="70"/>
        <v>Mar</v>
      </c>
      <c r="G1529">
        <v>3</v>
      </c>
      <c r="H1529">
        <f>_xlfn.XLOOKUP(C1529,Products!A:A,Products!D:D)</f>
        <v>795.77</v>
      </c>
      <c r="I1529">
        <v>15</v>
      </c>
      <c r="J1529">
        <f t="shared" si="71"/>
        <v>2029.2134999999998</v>
      </c>
      <c r="K1529" t="s">
        <v>2015</v>
      </c>
      <c r="L1529" t="str">
        <f>_xlfn.XLOOKUP(Orders[[#This Row],[ProductID]],Products!A:A,Products!C:C)</f>
        <v>Beauty</v>
      </c>
    </row>
    <row r="1530" spans="1:12" x14ac:dyDescent="0.3">
      <c r="A1530">
        <v>1529</v>
      </c>
      <c r="B1530">
        <v>1096</v>
      </c>
      <c r="C1530">
        <v>67</v>
      </c>
      <c r="D1530" t="s">
        <v>2073</v>
      </c>
      <c r="E1530">
        <f t="shared" si="69"/>
        <v>2024</v>
      </c>
      <c r="F1530" t="str">
        <f t="shared" si="70"/>
        <v>Mar</v>
      </c>
      <c r="G1530">
        <v>3</v>
      </c>
      <c r="H1530">
        <f>_xlfn.XLOOKUP(C1530,Products!A:A,Products!D:D)</f>
        <v>258.35000000000002</v>
      </c>
      <c r="I1530">
        <v>15</v>
      </c>
      <c r="J1530">
        <f t="shared" si="71"/>
        <v>658.79250000000002</v>
      </c>
      <c r="K1530" t="s">
        <v>2019</v>
      </c>
      <c r="L1530" t="str">
        <f>_xlfn.XLOOKUP(Orders[[#This Row],[ProductID]],Products!A:A,Products!C:C)</f>
        <v>Electronics</v>
      </c>
    </row>
    <row r="1531" spans="1:12" x14ac:dyDescent="0.3">
      <c r="A1531">
        <v>1530</v>
      </c>
      <c r="B1531">
        <v>1096</v>
      </c>
      <c r="C1531">
        <v>78</v>
      </c>
      <c r="D1531" t="s">
        <v>1432</v>
      </c>
      <c r="E1531">
        <f t="shared" si="69"/>
        <v>2023</v>
      </c>
      <c r="F1531" t="str">
        <f t="shared" si="70"/>
        <v>Feb</v>
      </c>
      <c r="G1531">
        <v>3</v>
      </c>
      <c r="H1531">
        <f>_xlfn.XLOOKUP(C1531,Products!A:A,Products!D:D)</f>
        <v>795.77</v>
      </c>
      <c r="I1531">
        <v>0</v>
      </c>
      <c r="J1531">
        <f t="shared" si="71"/>
        <v>2387.31</v>
      </c>
      <c r="K1531" t="s">
        <v>2015</v>
      </c>
      <c r="L1531" t="str">
        <f>_xlfn.XLOOKUP(Orders[[#This Row],[ProductID]],Products!A:A,Products!C:C)</f>
        <v>Beauty</v>
      </c>
    </row>
    <row r="1532" spans="1:12" x14ac:dyDescent="0.3">
      <c r="A1532">
        <v>1531</v>
      </c>
      <c r="B1532">
        <v>1096</v>
      </c>
      <c r="C1532">
        <v>13</v>
      </c>
      <c r="D1532" t="s">
        <v>838</v>
      </c>
      <c r="E1532">
        <f t="shared" si="69"/>
        <v>2023</v>
      </c>
      <c r="F1532" t="str">
        <f t="shared" si="70"/>
        <v>Mar</v>
      </c>
      <c r="G1532">
        <v>1</v>
      </c>
      <c r="H1532">
        <f>_xlfn.XLOOKUP(C1532,Products!A:A,Products!D:D)</f>
        <v>334.61</v>
      </c>
      <c r="I1532">
        <v>10</v>
      </c>
      <c r="J1532">
        <f t="shared" si="71"/>
        <v>301.149</v>
      </c>
      <c r="K1532" t="s">
        <v>2015</v>
      </c>
      <c r="L1532" t="str">
        <f>_xlfn.XLOOKUP(Orders[[#This Row],[ProductID]],Products!A:A,Products!C:C)</f>
        <v>Home</v>
      </c>
    </row>
    <row r="1533" spans="1:12" x14ac:dyDescent="0.3">
      <c r="A1533">
        <v>1532</v>
      </c>
      <c r="B1533">
        <v>1096</v>
      </c>
      <c r="C1533">
        <v>78</v>
      </c>
      <c r="D1533" t="s">
        <v>88</v>
      </c>
      <c r="E1533">
        <f t="shared" si="69"/>
        <v>2023</v>
      </c>
      <c r="F1533" t="str">
        <f t="shared" si="70"/>
        <v>Aug</v>
      </c>
      <c r="G1533">
        <v>2</v>
      </c>
      <c r="H1533">
        <f>_xlfn.XLOOKUP(C1533,Products!A:A,Products!D:D)</f>
        <v>795.77</v>
      </c>
      <c r="I1533">
        <v>0</v>
      </c>
      <c r="J1533">
        <f t="shared" si="71"/>
        <v>1591.54</v>
      </c>
      <c r="K1533" t="s">
        <v>2024</v>
      </c>
      <c r="L1533" t="str">
        <f>_xlfn.XLOOKUP(Orders[[#This Row],[ProductID]],Products!A:A,Products!C:C)</f>
        <v>Beauty</v>
      </c>
    </row>
    <row r="1534" spans="1:12" x14ac:dyDescent="0.3">
      <c r="A1534">
        <v>1533</v>
      </c>
      <c r="B1534">
        <v>1097</v>
      </c>
      <c r="C1534">
        <v>57</v>
      </c>
      <c r="D1534" t="s">
        <v>2106</v>
      </c>
      <c r="E1534">
        <f t="shared" si="69"/>
        <v>2024</v>
      </c>
      <c r="F1534" t="str">
        <f t="shared" si="70"/>
        <v>Mar</v>
      </c>
      <c r="G1534">
        <v>2</v>
      </c>
      <c r="H1534">
        <f>_xlfn.XLOOKUP(C1534,Products!A:A,Products!D:D)</f>
        <v>768.03</v>
      </c>
      <c r="I1534">
        <v>20</v>
      </c>
      <c r="J1534">
        <f t="shared" si="71"/>
        <v>1228.848</v>
      </c>
      <c r="K1534" t="s">
        <v>2015</v>
      </c>
      <c r="L1534" t="str">
        <f>_xlfn.XLOOKUP(Orders[[#This Row],[ProductID]],Products!A:A,Products!C:C)</f>
        <v>Electronics</v>
      </c>
    </row>
    <row r="1535" spans="1:12" x14ac:dyDescent="0.3">
      <c r="A1535">
        <v>1534</v>
      </c>
      <c r="B1535">
        <v>1097</v>
      </c>
      <c r="C1535">
        <v>5</v>
      </c>
      <c r="D1535" t="s">
        <v>2156</v>
      </c>
      <c r="E1535">
        <f t="shared" si="69"/>
        <v>2024</v>
      </c>
      <c r="F1535" t="str">
        <f t="shared" si="70"/>
        <v>Apr</v>
      </c>
      <c r="G1535">
        <v>2</v>
      </c>
      <c r="H1535">
        <f>_xlfn.XLOOKUP(C1535,Products!A:A,Products!D:D)</f>
        <v>296.85000000000002</v>
      </c>
      <c r="I1535">
        <v>15</v>
      </c>
      <c r="J1535">
        <f t="shared" si="71"/>
        <v>504.64500000000004</v>
      </c>
      <c r="K1535" t="s">
        <v>2019</v>
      </c>
      <c r="L1535" t="str">
        <f>_xlfn.XLOOKUP(Orders[[#This Row],[ProductID]],Products!A:A,Products!C:C)</f>
        <v>Clothing</v>
      </c>
    </row>
    <row r="1536" spans="1:12" x14ac:dyDescent="0.3">
      <c r="A1536">
        <v>1535</v>
      </c>
      <c r="B1536">
        <v>1097</v>
      </c>
      <c r="C1536">
        <v>28</v>
      </c>
      <c r="D1536" t="s">
        <v>993</v>
      </c>
      <c r="E1536">
        <f t="shared" si="69"/>
        <v>2023</v>
      </c>
      <c r="F1536" t="str">
        <f t="shared" si="70"/>
        <v>Oct</v>
      </c>
      <c r="G1536">
        <v>1</v>
      </c>
      <c r="H1536">
        <f>_xlfn.XLOOKUP(C1536,Products!A:A,Products!D:D)</f>
        <v>494.39</v>
      </c>
      <c r="I1536">
        <v>0</v>
      </c>
      <c r="J1536">
        <f t="shared" si="71"/>
        <v>494.39</v>
      </c>
      <c r="K1536" t="s">
        <v>2024</v>
      </c>
      <c r="L1536" t="str">
        <f>_xlfn.XLOOKUP(Orders[[#This Row],[ProductID]],Products!A:A,Products!C:C)</f>
        <v>Beauty</v>
      </c>
    </row>
    <row r="1537" spans="1:12" x14ac:dyDescent="0.3">
      <c r="A1537">
        <v>1536</v>
      </c>
      <c r="B1537">
        <v>1098</v>
      </c>
      <c r="C1537">
        <v>13</v>
      </c>
      <c r="D1537" t="s">
        <v>916</v>
      </c>
      <c r="E1537">
        <f t="shared" si="69"/>
        <v>2023</v>
      </c>
      <c r="F1537" t="str">
        <f t="shared" si="70"/>
        <v>May</v>
      </c>
      <c r="G1537">
        <v>2</v>
      </c>
      <c r="H1537">
        <f>_xlfn.XLOOKUP(C1537,Products!A:A,Products!D:D)</f>
        <v>334.61</v>
      </c>
      <c r="I1537">
        <v>0</v>
      </c>
      <c r="J1537">
        <f t="shared" si="71"/>
        <v>669.22</v>
      </c>
      <c r="K1537" t="s">
        <v>2017</v>
      </c>
      <c r="L1537" t="str">
        <f>_xlfn.XLOOKUP(Orders[[#This Row],[ProductID]],Products!A:A,Products!C:C)</f>
        <v>Home</v>
      </c>
    </row>
    <row r="1538" spans="1:12" x14ac:dyDescent="0.3">
      <c r="A1538">
        <v>1537</v>
      </c>
      <c r="B1538">
        <v>1098</v>
      </c>
      <c r="C1538">
        <v>33</v>
      </c>
      <c r="D1538" t="s">
        <v>337</v>
      </c>
      <c r="E1538">
        <f t="shared" si="69"/>
        <v>2023</v>
      </c>
      <c r="F1538" t="str">
        <f t="shared" si="70"/>
        <v>Jul</v>
      </c>
      <c r="G1538">
        <v>3</v>
      </c>
      <c r="H1538">
        <f>_xlfn.XLOOKUP(C1538,Products!A:A,Products!D:D)</f>
        <v>965.4</v>
      </c>
      <c r="I1538">
        <v>10</v>
      </c>
      <c r="J1538">
        <f t="shared" si="71"/>
        <v>2606.58</v>
      </c>
      <c r="K1538" t="s">
        <v>2024</v>
      </c>
      <c r="L1538" t="str">
        <f>_xlfn.XLOOKUP(Orders[[#This Row],[ProductID]],Products!A:A,Products!C:C)</f>
        <v>Beauty</v>
      </c>
    </row>
    <row r="1539" spans="1:12" x14ac:dyDescent="0.3">
      <c r="A1539">
        <v>1538</v>
      </c>
      <c r="B1539">
        <v>1098</v>
      </c>
      <c r="C1539">
        <v>32</v>
      </c>
      <c r="D1539" t="s">
        <v>1742</v>
      </c>
      <c r="E1539">
        <f t="shared" ref="E1539:E1602" si="72">YEAR(D1539)</f>
        <v>2023</v>
      </c>
      <c r="F1539" t="str">
        <f t="shared" ref="F1539:F1602" si="73">TEXT(D1539,"mmm")</f>
        <v>May</v>
      </c>
      <c r="G1539">
        <v>2</v>
      </c>
      <c r="H1539">
        <f>_xlfn.XLOOKUP(C1539,Products!A:A,Products!D:D)</f>
        <v>342.57</v>
      </c>
      <c r="I1539">
        <v>0</v>
      </c>
      <c r="J1539">
        <f t="shared" ref="J1539:J1602" si="74">G1539*H1539*(1-I1539/100)</f>
        <v>685.14</v>
      </c>
      <c r="K1539" t="s">
        <v>2024</v>
      </c>
      <c r="L1539" t="str">
        <f>_xlfn.XLOOKUP(Orders[[#This Row],[ProductID]],Products!A:A,Products!C:C)</f>
        <v>Clothing</v>
      </c>
    </row>
    <row r="1540" spans="1:12" x14ac:dyDescent="0.3">
      <c r="A1540">
        <v>1539</v>
      </c>
      <c r="B1540">
        <v>1099</v>
      </c>
      <c r="C1540">
        <v>59</v>
      </c>
      <c r="D1540" t="s">
        <v>2065</v>
      </c>
      <c r="E1540">
        <f t="shared" si="72"/>
        <v>2023</v>
      </c>
      <c r="F1540" t="str">
        <f t="shared" si="73"/>
        <v>Dec</v>
      </c>
      <c r="G1540">
        <v>3</v>
      </c>
      <c r="H1540">
        <f>_xlfn.XLOOKUP(C1540,Products!A:A,Products!D:D)</f>
        <v>782.33</v>
      </c>
      <c r="I1540">
        <v>10</v>
      </c>
      <c r="J1540">
        <f t="shared" si="74"/>
        <v>2112.2910000000002</v>
      </c>
      <c r="K1540" t="s">
        <v>2021</v>
      </c>
      <c r="L1540" t="str">
        <f>_xlfn.XLOOKUP(Orders[[#This Row],[ProductID]],Products!A:A,Products!C:C)</f>
        <v>Clothing</v>
      </c>
    </row>
    <row r="1541" spans="1:12" x14ac:dyDescent="0.3">
      <c r="A1541">
        <v>1540</v>
      </c>
      <c r="B1541">
        <v>1099</v>
      </c>
      <c r="C1541">
        <v>27</v>
      </c>
      <c r="D1541" t="s">
        <v>667</v>
      </c>
      <c r="E1541">
        <f t="shared" si="72"/>
        <v>2023</v>
      </c>
      <c r="F1541" t="str">
        <f t="shared" si="73"/>
        <v>Oct</v>
      </c>
      <c r="G1541">
        <v>3</v>
      </c>
      <c r="H1541">
        <f>_xlfn.XLOOKUP(C1541,Products!A:A,Products!D:D)</f>
        <v>76.09</v>
      </c>
      <c r="I1541">
        <v>10</v>
      </c>
      <c r="J1541">
        <f t="shared" si="74"/>
        <v>205.44300000000001</v>
      </c>
      <c r="K1541" t="s">
        <v>2017</v>
      </c>
      <c r="L1541" t="str">
        <f>_xlfn.XLOOKUP(Orders[[#This Row],[ProductID]],Products!A:A,Products!C:C)</f>
        <v>Clothing</v>
      </c>
    </row>
    <row r="1542" spans="1:12" x14ac:dyDescent="0.3">
      <c r="A1542">
        <v>1541</v>
      </c>
      <c r="B1542">
        <v>1099</v>
      </c>
      <c r="C1542">
        <v>45</v>
      </c>
      <c r="D1542" t="s">
        <v>2180</v>
      </c>
      <c r="E1542">
        <f t="shared" si="72"/>
        <v>2024</v>
      </c>
      <c r="F1542" t="str">
        <f t="shared" si="73"/>
        <v>Feb</v>
      </c>
      <c r="G1542">
        <v>1</v>
      </c>
      <c r="H1542">
        <f>_xlfn.XLOOKUP(C1542,Products!A:A,Products!D:D)</f>
        <v>609.05999999999995</v>
      </c>
      <c r="I1542">
        <v>15</v>
      </c>
      <c r="J1542">
        <f t="shared" si="74"/>
        <v>517.70099999999991</v>
      </c>
      <c r="K1542" t="s">
        <v>2019</v>
      </c>
      <c r="L1542" t="str">
        <f>_xlfn.XLOOKUP(Orders[[#This Row],[ProductID]],Products!A:A,Products!C:C)</f>
        <v>Beauty</v>
      </c>
    </row>
    <row r="1543" spans="1:12" x14ac:dyDescent="0.3">
      <c r="A1543">
        <v>1542</v>
      </c>
      <c r="B1543">
        <v>1100</v>
      </c>
      <c r="C1543">
        <v>43</v>
      </c>
      <c r="D1543" t="s">
        <v>575</v>
      </c>
      <c r="E1543">
        <f t="shared" si="72"/>
        <v>2023</v>
      </c>
      <c r="F1543" t="str">
        <f t="shared" si="73"/>
        <v>Jun</v>
      </c>
      <c r="G1543">
        <v>3</v>
      </c>
      <c r="H1543">
        <f>_xlfn.XLOOKUP(C1543,Products!A:A,Products!D:D)</f>
        <v>760.86</v>
      </c>
      <c r="I1543">
        <v>20</v>
      </c>
      <c r="J1543">
        <f t="shared" si="74"/>
        <v>1826.0640000000001</v>
      </c>
      <c r="K1543" t="s">
        <v>2021</v>
      </c>
      <c r="L1543" t="str">
        <f>_xlfn.XLOOKUP(Orders[[#This Row],[ProductID]],Products!A:A,Products!C:C)</f>
        <v>Electronics</v>
      </c>
    </row>
    <row r="1544" spans="1:12" x14ac:dyDescent="0.3">
      <c r="A1544">
        <v>1543</v>
      </c>
      <c r="B1544">
        <v>1100</v>
      </c>
      <c r="C1544">
        <v>41</v>
      </c>
      <c r="D1544" t="s">
        <v>2044</v>
      </c>
      <c r="E1544">
        <f t="shared" si="72"/>
        <v>2024</v>
      </c>
      <c r="F1544" t="str">
        <f t="shared" si="73"/>
        <v>Feb</v>
      </c>
      <c r="G1544">
        <v>2</v>
      </c>
      <c r="H1544">
        <f>_xlfn.XLOOKUP(C1544,Products!A:A,Products!D:D)</f>
        <v>554.80999999999995</v>
      </c>
      <c r="I1544">
        <v>0</v>
      </c>
      <c r="J1544">
        <f t="shared" si="74"/>
        <v>1109.6199999999999</v>
      </c>
      <c r="K1544" t="s">
        <v>2019</v>
      </c>
      <c r="L1544" t="str">
        <f>_xlfn.XLOOKUP(Orders[[#This Row],[ProductID]],Products!A:A,Products!C:C)</f>
        <v>Home</v>
      </c>
    </row>
    <row r="1545" spans="1:12" x14ac:dyDescent="0.3">
      <c r="A1545">
        <v>1544</v>
      </c>
      <c r="B1545">
        <v>1100</v>
      </c>
      <c r="C1545">
        <v>52</v>
      </c>
      <c r="D1545" t="s">
        <v>2025</v>
      </c>
      <c r="E1545">
        <f t="shared" si="72"/>
        <v>2023</v>
      </c>
      <c r="F1545" t="str">
        <f t="shared" si="73"/>
        <v>Jun</v>
      </c>
      <c r="G1545">
        <v>3</v>
      </c>
      <c r="H1545">
        <f>_xlfn.XLOOKUP(C1545,Products!A:A,Products!D:D)</f>
        <v>256.76</v>
      </c>
      <c r="I1545">
        <v>15</v>
      </c>
      <c r="J1545">
        <f t="shared" si="74"/>
        <v>654.73799999999994</v>
      </c>
      <c r="K1545" t="s">
        <v>2021</v>
      </c>
      <c r="L1545" t="str">
        <f>_xlfn.XLOOKUP(Orders[[#This Row],[ProductID]],Products!A:A,Products!C:C)</f>
        <v>Home</v>
      </c>
    </row>
    <row r="1546" spans="1:12" x14ac:dyDescent="0.3">
      <c r="A1546">
        <v>1545</v>
      </c>
      <c r="B1546">
        <v>1100</v>
      </c>
      <c r="C1546">
        <v>49</v>
      </c>
      <c r="D1546" t="s">
        <v>1630</v>
      </c>
      <c r="E1546">
        <f t="shared" si="72"/>
        <v>2023</v>
      </c>
      <c r="F1546" t="str">
        <f t="shared" si="73"/>
        <v>Apr</v>
      </c>
      <c r="G1546">
        <v>2</v>
      </c>
      <c r="H1546">
        <f>_xlfn.XLOOKUP(C1546,Products!A:A,Products!D:D)</f>
        <v>974.54</v>
      </c>
      <c r="I1546">
        <v>15</v>
      </c>
      <c r="J1546">
        <f t="shared" si="74"/>
        <v>1656.7179999999998</v>
      </c>
      <c r="K1546" t="s">
        <v>2024</v>
      </c>
      <c r="L1546" t="str">
        <f>_xlfn.XLOOKUP(Orders[[#This Row],[ProductID]],Products!A:A,Products!C:C)</f>
        <v>Home</v>
      </c>
    </row>
    <row r="1547" spans="1:12" x14ac:dyDescent="0.3">
      <c r="A1547">
        <v>1546</v>
      </c>
      <c r="B1547">
        <v>1101</v>
      </c>
      <c r="C1547">
        <v>44</v>
      </c>
      <c r="D1547" t="s">
        <v>2234</v>
      </c>
      <c r="E1547">
        <f t="shared" si="72"/>
        <v>2024</v>
      </c>
      <c r="F1547" t="str">
        <f t="shared" si="73"/>
        <v>Feb</v>
      </c>
      <c r="G1547">
        <v>2</v>
      </c>
      <c r="H1547">
        <f>_xlfn.XLOOKUP(C1547,Products!A:A,Products!D:D)</f>
        <v>1038</v>
      </c>
      <c r="I1547">
        <v>10</v>
      </c>
      <c r="J1547">
        <f t="shared" si="74"/>
        <v>1868.4</v>
      </c>
      <c r="K1547" t="s">
        <v>2021</v>
      </c>
      <c r="L1547" t="str">
        <f>_xlfn.XLOOKUP(Orders[[#This Row],[ProductID]],Products!A:A,Products!C:C)</f>
        <v>Home</v>
      </c>
    </row>
    <row r="1548" spans="1:12" x14ac:dyDescent="0.3">
      <c r="A1548">
        <v>1547</v>
      </c>
      <c r="B1548">
        <v>1101</v>
      </c>
      <c r="C1548">
        <v>22</v>
      </c>
      <c r="D1548" t="s">
        <v>1061</v>
      </c>
      <c r="E1548">
        <f t="shared" si="72"/>
        <v>2023</v>
      </c>
      <c r="F1548" t="str">
        <f t="shared" si="73"/>
        <v>Jun</v>
      </c>
      <c r="G1548">
        <v>1</v>
      </c>
      <c r="H1548">
        <f>_xlfn.XLOOKUP(C1548,Products!A:A,Products!D:D)</f>
        <v>373.43</v>
      </c>
      <c r="I1548">
        <v>0</v>
      </c>
      <c r="J1548">
        <f t="shared" si="74"/>
        <v>373.43</v>
      </c>
      <c r="K1548" t="s">
        <v>2021</v>
      </c>
      <c r="L1548" t="str">
        <f>_xlfn.XLOOKUP(Orders[[#This Row],[ProductID]],Products!A:A,Products!C:C)</f>
        <v>Beauty</v>
      </c>
    </row>
    <row r="1549" spans="1:12" x14ac:dyDescent="0.3">
      <c r="A1549">
        <v>1548</v>
      </c>
      <c r="B1549">
        <v>1101</v>
      </c>
      <c r="C1549">
        <v>75</v>
      </c>
      <c r="D1549" t="s">
        <v>1350</v>
      </c>
      <c r="E1549">
        <f t="shared" si="72"/>
        <v>2023</v>
      </c>
      <c r="F1549" t="str">
        <f t="shared" si="73"/>
        <v>Jun</v>
      </c>
      <c r="G1549">
        <v>3</v>
      </c>
      <c r="H1549">
        <f>_xlfn.XLOOKUP(C1549,Products!A:A,Products!D:D)</f>
        <v>390.41</v>
      </c>
      <c r="I1549">
        <v>20</v>
      </c>
      <c r="J1549">
        <f t="shared" si="74"/>
        <v>936.98400000000004</v>
      </c>
      <c r="K1549" t="s">
        <v>2024</v>
      </c>
      <c r="L1549" t="str">
        <f>_xlfn.XLOOKUP(Orders[[#This Row],[ProductID]],Products!A:A,Products!C:C)</f>
        <v>Electronics</v>
      </c>
    </row>
    <row r="1550" spans="1:12" x14ac:dyDescent="0.3">
      <c r="A1550">
        <v>1549</v>
      </c>
      <c r="B1550">
        <v>1102</v>
      </c>
      <c r="C1550">
        <v>72</v>
      </c>
      <c r="D1550" t="s">
        <v>1047</v>
      </c>
      <c r="E1550">
        <f t="shared" si="72"/>
        <v>2023</v>
      </c>
      <c r="F1550" t="str">
        <f t="shared" si="73"/>
        <v>Oct</v>
      </c>
      <c r="G1550">
        <v>1</v>
      </c>
      <c r="H1550">
        <f>_xlfn.XLOOKUP(C1550,Products!A:A,Products!D:D)</f>
        <v>1157.27</v>
      </c>
      <c r="I1550">
        <v>15</v>
      </c>
      <c r="J1550">
        <f t="shared" si="74"/>
        <v>983.67949999999996</v>
      </c>
      <c r="K1550" t="s">
        <v>2015</v>
      </c>
      <c r="L1550" t="str">
        <f>_xlfn.XLOOKUP(Orders[[#This Row],[ProductID]],Products!A:A,Products!C:C)</f>
        <v>Electronics</v>
      </c>
    </row>
    <row r="1551" spans="1:12" x14ac:dyDescent="0.3">
      <c r="A1551">
        <v>1550</v>
      </c>
      <c r="B1551">
        <v>1102</v>
      </c>
      <c r="C1551">
        <v>10</v>
      </c>
      <c r="D1551" t="s">
        <v>2107</v>
      </c>
      <c r="E1551">
        <f t="shared" si="72"/>
        <v>2023</v>
      </c>
      <c r="F1551" t="str">
        <f t="shared" si="73"/>
        <v>Apr</v>
      </c>
      <c r="G1551">
        <v>1</v>
      </c>
      <c r="H1551">
        <f>_xlfn.XLOOKUP(C1551,Products!A:A,Products!D:D)</f>
        <v>64.11</v>
      </c>
      <c r="I1551">
        <v>0</v>
      </c>
      <c r="J1551">
        <f t="shared" si="74"/>
        <v>64.11</v>
      </c>
      <c r="K1551" t="s">
        <v>2015</v>
      </c>
      <c r="L1551" t="str">
        <f>_xlfn.XLOOKUP(Orders[[#This Row],[ProductID]],Products!A:A,Products!C:C)</f>
        <v>Clothing</v>
      </c>
    </row>
    <row r="1552" spans="1:12" x14ac:dyDescent="0.3">
      <c r="A1552">
        <v>1551</v>
      </c>
      <c r="B1552">
        <v>1102</v>
      </c>
      <c r="C1552">
        <v>52</v>
      </c>
      <c r="D1552" t="s">
        <v>2106</v>
      </c>
      <c r="E1552">
        <f t="shared" si="72"/>
        <v>2024</v>
      </c>
      <c r="F1552" t="str">
        <f t="shared" si="73"/>
        <v>Mar</v>
      </c>
      <c r="G1552">
        <v>2</v>
      </c>
      <c r="H1552">
        <f>_xlfn.XLOOKUP(C1552,Products!A:A,Products!D:D)</f>
        <v>256.76</v>
      </c>
      <c r="I1552">
        <v>5</v>
      </c>
      <c r="J1552">
        <f t="shared" si="74"/>
        <v>487.84399999999994</v>
      </c>
      <c r="K1552" t="s">
        <v>2024</v>
      </c>
      <c r="L1552" t="str">
        <f>_xlfn.XLOOKUP(Orders[[#This Row],[ProductID]],Products!A:A,Products!C:C)</f>
        <v>Home</v>
      </c>
    </row>
    <row r="1553" spans="1:12" x14ac:dyDescent="0.3">
      <c r="A1553">
        <v>1552</v>
      </c>
      <c r="B1553">
        <v>1103</v>
      </c>
      <c r="C1553">
        <v>69</v>
      </c>
      <c r="D1553" t="s">
        <v>1144</v>
      </c>
      <c r="E1553">
        <f t="shared" si="72"/>
        <v>2023</v>
      </c>
      <c r="F1553" t="str">
        <f t="shared" si="73"/>
        <v>Jul</v>
      </c>
      <c r="G1553">
        <v>2</v>
      </c>
      <c r="H1553">
        <f>_xlfn.XLOOKUP(C1553,Products!A:A,Products!D:D)</f>
        <v>951.81</v>
      </c>
      <c r="I1553">
        <v>5</v>
      </c>
      <c r="J1553">
        <f t="shared" si="74"/>
        <v>1808.4389999999999</v>
      </c>
      <c r="K1553" t="s">
        <v>2017</v>
      </c>
      <c r="L1553" t="str">
        <f>_xlfn.XLOOKUP(Orders[[#This Row],[ProductID]],Products!A:A,Products!C:C)</f>
        <v>Clothing</v>
      </c>
    </row>
    <row r="1554" spans="1:12" x14ac:dyDescent="0.3">
      <c r="A1554">
        <v>1553</v>
      </c>
      <c r="B1554">
        <v>1103</v>
      </c>
      <c r="C1554">
        <v>14</v>
      </c>
      <c r="D1554" t="s">
        <v>2070</v>
      </c>
      <c r="E1554">
        <f t="shared" si="72"/>
        <v>2024</v>
      </c>
      <c r="F1554" t="str">
        <f t="shared" si="73"/>
        <v>Mar</v>
      </c>
      <c r="G1554">
        <v>3</v>
      </c>
      <c r="H1554">
        <f>_xlfn.XLOOKUP(C1554,Products!A:A,Products!D:D)</f>
        <v>574.25</v>
      </c>
      <c r="I1554">
        <v>10</v>
      </c>
      <c r="J1554">
        <f t="shared" si="74"/>
        <v>1550.4750000000001</v>
      </c>
      <c r="K1554" t="s">
        <v>2015</v>
      </c>
      <c r="L1554" t="str">
        <f>_xlfn.XLOOKUP(Orders[[#This Row],[ProductID]],Products!A:A,Products!C:C)</f>
        <v>Beauty</v>
      </c>
    </row>
    <row r="1555" spans="1:12" x14ac:dyDescent="0.3">
      <c r="A1555">
        <v>1554</v>
      </c>
      <c r="B1555">
        <v>1103</v>
      </c>
      <c r="C1555">
        <v>73</v>
      </c>
      <c r="D1555" t="s">
        <v>2087</v>
      </c>
      <c r="E1555">
        <f t="shared" si="72"/>
        <v>2024</v>
      </c>
      <c r="F1555" t="str">
        <f t="shared" si="73"/>
        <v>May</v>
      </c>
      <c r="G1555">
        <v>1</v>
      </c>
      <c r="H1555">
        <f>_xlfn.XLOOKUP(C1555,Products!A:A,Products!D:D)</f>
        <v>943.04</v>
      </c>
      <c r="I1555">
        <v>10</v>
      </c>
      <c r="J1555">
        <f t="shared" si="74"/>
        <v>848.73599999999999</v>
      </c>
      <c r="K1555" t="s">
        <v>2021</v>
      </c>
      <c r="L1555" t="str">
        <f>_xlfn.XLOOKUP(Orders[[#This Row],[ProductID]],Products!A:A,Products!C:C)</f>
        <v>Home</v>
      </c>
    </row>
    <row r="1556" spans="1:12" x14ac:dyDescent="0.3">
      <c r="A1556">
        <v>1555</v>
      </c>
      <c r="B1556">
        <v>1103</v>
      </c>
      <c r="C1556">
        <v>57</v>
      </c>
      <c r="D1556" t="s">
        <v>2231</v>
      </c>
      <c r="E1556">
        <f t="shared" si="72"/>
        <v>2024</v>
      </c>
      <c r="F1556" t="str">
        <f t="shared" si="73"/>
        <v>Feb</v>
      </c>
      <c r="G1556">
        <v>1</v>
      </c>
      <c r="H1556">
        <f>_xlfn.XLOOKUP(C1556,Products!A:A,Products!D:D)</f>
        <v>768.03</v>
      </c>
      <c r="I1556">
        <v>5</v>
      </c>
      <c r="J1556">
        <f t="shared" si="74"/>
        <v>729.62849999999992</v>
      </c>
      <c r="K1556" t="s">
        <v>2015</v>
      </c>
      <c r="L1556" t="str">
        <f>_xlfn.XLOOKUP(Orders[[#This Row],[ProductID]],Products!A:A,Products!C:C)</f>
        <v>Electronics</v>
      </c>
    </row>
    <row r="1557" spans="1:12" x14ac:dyDescent="0.3">
      <c r="A1557">
        <v>1556</v>
      </c>
      <c r="B1557">
        <v>1104</v>
      </c>
      <c r="C1557">
        <v>20</v>
      </c>
      <c r="D1557" t="s">
        <v>2192</v>
      </c>
      <c r="E1557">
        <f t="shared" si="72"/>
        <v>2023</v>
      </c>
      <c r="F1557" t="str">
        <f t="shared" si="73"/>
        <v>Dec</v>
      </c>
      <c r="G1557">
        <v>2</v>
      </c>
      <c r="H1557">
        <f>_xlfn.XLOOKUP(C1557,Products!A:A,Products!D:D)</f>
        <v>613.27</v>
      </c>
      <c r="I1557">
        <v>0</v>
      </c>
      <c r="J1557">
        <f t="shared" si="74"/>
        <v>1226.54</v>
      </c>
      <c r="K1557" t="s">
        <v>2017</v>
      </c>
      <c r="L1557" t="str">
        <f>_xlfn.XLOOKUP(Orders[[#This Row],[ProductID]],Products!A:A,Products!C:C)</f>
        <v>Home</v>
      </c>
    </row>
    <row r="1558" spans="1:12" x14ac:dyDescent="0.3">
      <c r="A1558">
        <v>1557</v>
      </c>
      <c r="B1558">
        <v>1104</v>
      </c>
      <c r="C1558">
        <v>29</v>
      </c>
      <c r="D1558" t="s">
        <v>2068</v>
      </c>
      <c r="E1558">
        <f t="shared" si="72"/>
        <v>2024</v>
      </c>
      <c r="F1558" t="str">
        <f t="shared" si="73"/>
        <v>Mar</v>
      </c>
      <c r="G1558">
        <v>3</v>
      </c>
      <c r="H1558">
        <f>_xlfn.XLOOKUP(C1558,Products!A:A,Products!D:D)</f>
        <v>757</v>
      </c>
      <c r="I1558">
        <v>5</v>
      </c>
      <c r="J1558">
        <f t="shared" si="74"/>
        <v>2157.4499999999998</v>
      </c>
      <c r="K1558" t="s">
        <v>2021</v>
      </c>
      <c r="L1558" t="str">
        <f>_xlfn.XLOOKUP(Orders[[#This Row],[ProductID]],Products!A:A,Products!C:C)</f>
        <v>Clothing</v>
      </c>
    </row>
    <row r="1559" spans="1:12" x14ac:dyDescent="0.3">
      <c r="A1559">
        <v>1558</v>
      </c>
      <c r="B1559">
        <v>1104</v>
      </c>
      <c r="C1559">
        <v>29</v>
      </c>
      <c r="D1559" t="s">
        <v>1603</v>
      </c>
      <c r="E1559">
        <f t="shared" si="72"/>
        <v>2023</v>
      </c>
      <c r="F1559" t="str">
        <f t="shared" si="73"/>
        <v>Aug</v>
      </c>
      <c r="G1559">
        <v>3</v>
      </c>
      <c r="H1559">
        <f>_xlfn.XLOOKUP(C1559,Products!A:A,Products!D:D)</f>
        <v>757</v>
      </c>
      <c r="I1559">
        <v>5</v>
      </c>
      <c r="J1559">
        <f t="shared" si="74"/>
        <v>2157.4499999999998</v>
      </c>
      <c r="K1559" t="s">
        <v>2021</v>
      </c>
      <c r="L1559" t="str">
        <f>_xlfn.XLOOKUP(Orders[[#This Row],[ProductID]],Products!A:A,Products!C:C)</f>
        <v>Clothing</v>
      </c>
    </row>
    <row r="1560" spans="1:12" x14ac:dyDescent="0.3">
      <c r="A1560">
        <v>1559</v>
      </c>
      <c r="B1560">
        <v>1105</v>
      </c>
      <c r="C1560">
        <v>2</v>
      </c>
      <c r="D1560" t="s">
        <v>246</v>
      </c>
      <c r="E1560">
        <f t="shared" si="72"/>
        <v>2023</v>
      </c>
      <c r="F1560" t="str">
        <f t="shared" si="73"/>
        <v>Jun</v>
      </c>
      <c r="G1560">
        <v>1</v>
      </c>
      <c r="H1560">
        <f>_xlfn.XLOOKUP(C1560,Products!A:A,Products!D:D)</f>
        <v>427.27</v>
      </c>
      <c r="I1560">
        <v>0</v>
      </c>
      <c r="J1560">
        <f t="shared" si="74"/>
        <v>427.27</v>
      </c>
      <c r="K1560" t="s">
        <v>2015</v>
      </c>
      <c r="L1560" t="str">
        <f>_xlfn.XLOOKUP(Orders[[#This Row],[ProductID]],Products!A:A,Products!C:C)</f>
        <v>Home</v>
      </c>
    </row>
    <row r="1561" spans="1:12" x14ac:dyDescent="0.3">
      <c r="A1561">
        <v>1560</v>
      </c>
      <c r="B1561">
        <v>1105</v>
      </c>
      <c r="C1561">
        <v>62</v>
      </c>
      <c r="D1561" t="s">
        <v>2131</v>
      </c>
      <c r="E1561">
        <f t="shared" si="72"/>
        <v>2024</v>
      </c>
      <c r="F1561" t="str">
        <f t="shared" si="73"/>
        <v>Mar</v>
      </c>
      <c r="G1561">
        <v>2</v>
      </c>
      <c r="H1561">
        <f>_xlfn.XLOOKUP(C1561,Products!A:A,Products!D:D)</f>
        <v>196.96</v>
      </c>
      <c r="I1561">
        <v>15</v>
      </c>
      <c r="J1561">
        <f t="shared" si="74"/>
        <v>334.83199999999999</v>
      </c>
      <c r="K1561" t="s">
        <v>2015</v>
      </c>
      <c r="L1561" t="str">
        <f>_xlfn.XLOOKUP(Orders[[#This Row],[ProductID]],Products!A:A,Products!C:C)</f>
        <v>Electronics</v>
      </c>
    </row>
    <row r="1562" spans="1:12" x14ac:dyDescent="0.3">
      <c r="A1562">
        <v>1561</v>
      </c>
      <c r="B1562">
        <v>1105</v>
      </c>
      <c r="C1562">
        <v>71</v>
      </c>
      <c r="D1562" t="s">
        <v>993</v>
      </c>
      <c r="E1562">
        <f t="shared" si="72"/>
        <v>2023</v>
      </c>
      <c r="F1562" t="str">
        <f t="shared" si="73"/>
        <v>Oct</v>
      </c>
      <c r="G1562">
        <v>1</v>
      </c>
      <c r="H1562">
        <f>_xlfn.XLOOKUP(C1562,Products!A:A,Products!D:D)</f>
        <v>780.27</v>
      </c>
      <c r="I1562">
        <v>15</v>
      </c>
      <c r="J1562">
        <f t="shared" si="74"/>
        <v>663.22949999999992</v>
      </c>
      <c r="K1562" t="s">
        <v>2021</v>
      </c>
      <c r="L1562" t="str">
        <f>_xlfn.XLOOKUP(Orders[[#This Row],[ProductID]],Products!A:A,Products!C:C)</f>
        <v>Electronics</v>
      </c>
    </row>
    <row r="1563" spans="1:12" x14ac:dyDescent="0.3">
      <c r="A1563">
        <v>1562</v>
      </c>
      <c r="B1563">
        <v>1105</v>
      </c>
      <c r="C1563">
        <v>67</v>
      </c>
      <c r="D1563" t="s">
        <v>678</v>
      </c>
      <c r="E1563">
        <f t="shared" si="72"/>
        <v>2023</v>
      </c>
      <c r="F1563" t="str">
        <f t="shared" si="73"/>
        <v>Oct</v>
      </c>
      <c r="G1563">
        <v>2</v>
      </c>
      <c r="H1563">
        <f>_xlfn.XLOOKUP(C1563,Products!A:A,Products!D:D)</f>
        <v>258.35000000000002</v>
      </c>
      <c r="I1563">
        <v>20</v>
      </c>
      <c r="J1563">
        <f t="shared" si="74"/>
        <v>413.36000000000007</v>
      </c>
      <c r="K1563" t="s">
        <v>2017</v>
      </c>
      <c r="L1563" t="str">
        <f>_xlfn.XLOOKUP(Orders[[#This Row],[ProductID]],Products!A:A,Products!C:C)</f>
        <v>Electronics</v>
      </c>
    </row>
    <row r="1564" spans="1:12" x14ac:dyDescent="0.3">
      <c r="A1564">
        <v>1563</v>
      </c>
      <c r="B1564">
        <v>1106</v>
      </c>
      <c r="C1564">
        <v>34</v>
      </c>
      <c r="D1564" t="s">
        <v>2055</v>
      </c>
      <c r="E1564">
        <f t="shared" si="72"/>
        <v>2023</v>
      </c>
      <c r="F1564" t="str">
        <f t="shared" si="73"/>
        <v>Dec</v>
      </c>
      <c r="G1564">
        <v>2</v>
      </c>
      <c r="H1564">
        <f>_xlfn.XLOOKUP(C1564,Products!A:A,Products!D:D)</f>
        <v>523.98</v>
      </c>
      <c r="I1564">
        <v>10</v>
      </c>
      <c r="J1564">
        <f t="shared" si="74"/>
        <v>943.1640000000001</v>
      </c>
      <c r="K1564" t="s">
        <v>2017</v>
      </c>
      <c r="L1564" t="str">
        <f>_xlfn.XLOOKUP(Orders[[#This Row],[ProductID]],Products!A:A,Products!C:C)</f>
        <v>Home</v>
      </c>
    </row>
    <row r="1565" spans="1:12" x14ac:dyDescent="0.3">
      <c r="A1565">
        <v>1564</v>
      </c>
      <c r="B1565">
        <v>1106</v>
      </c>
      <c r="C1565">
        <v>48</v>
      </c>
      <c r="D1565" t="s">
        <v>2178</v>
      </c>
      <c r="E1565">
        <f t="shared" si="72"/>
        <v>2023</v>
      </c>
      <c r="F1565" t="str">
        <f t="shared" si="73"/>
        <v>Jul</v>
      </c>
      <c r="G1565">
        <v>1</v>
      </c>
      <c r="H1565">
        <f>_xlfn.XLOOKUP(C1565,Products!A:A,Products!D:D)</f>
        <v>1125.8499999999999</v>
      </c>
      <c r="I1565">
        <v>10</v>
      </c>
      <c r="J1565">
        <f t="shared" si="74"/>
        <v>1013.265</v>
      </c>
      <c r="K1565" t="s">
        <v>2015</v>
      </c>
      <c r="L1565" t="str">
        <f>_xlfn.XLOOKUP(Orders[[#This Row],[ProductID]],Products!A:A,Products!C:C)</f>
        <v>Clothing</v>
      </c>
    </row>
    <row r="1566" spans="1:12" x14ac:dyDescent="0.3">
      <c r="A1566">
        <v>1565</v>
      </c>
      <c r="B1566">
        <v>1106</v>
      </c>
      <c r="C1566">
        <v>46</v>
      </c>
      <c r="D1566" t="s">
        <v>480</v>
      </c>
      <c r="E1566">
        <f t="shared" si="72"/>
        <v>2023</v>
      </c>
      <c r="F1566" t="str">
        <f t="shared" si="73"/>
        <v>Feb</v>
      </c>
      <c r="G1566">
        <v>3</v>
      </c>
      <c r="H1566">
        <f>_xlfn.XLOOKUP(C1566,Products!A:A,Products!D:D)</f>
        <v>1155.3</v>
      </c>
      <c r="I1566">
        <v>5</v>
      </c>
      <c r="J1566">
        <f t="shared" si="74"/>
        <v>3292.6049999999996</v>
      </c>
      <c r="K1566" t="s">
        <v>2024</v>
      </c>
      <c r="L1566" t="str">
        <f>_xlfn.XLOOKUP(Orders[[#This Row],[ProductID]],Products!A:A,Products!C:C)</f>
        <v>Beauty</v>
      </c>
    </row>
    <row r="1567" spans="1:12" x14ac:dyDescent="0.3">
      <c r="A1567">
        <v>1566</v>
      </c>
      <c r="B1567">
        <v>1106</v>
      </c>
      <c r="C1567">
        <v>32</v>
      </c>
      <c r="D1567" t="s">
        <v>2050</v>
      </c>
      <c r="E1567">
        <f t="shared" si="72"/>
        <v>2024</v>
      </c>
      <c r="F1567" t="str">
        <f t="shared" si="73"/>
        <v>Feb</v>
      </c>
      <c r="G1567">
        <v>3</v>
      </c>
      <c r="H1567">
        <f>_xlfn.XLOOKUP(C1567,Products!A:A,Products!D:D)</f>
        <v>342.57</v>
      </c>
      <c r="I1567">
        <v>20</v>
      </c>
      <c r="J1567">
        <f t="shared" si="74"/>
        <v>822.16800000000012</v>
      </c>
      <c r="K1567" t="s">
        <v>2021</v>
      </c>
      <c r="L1567" t="str">
        <f>_xlfn.XLOOKUP(Orders[[#This Row],[ProductID]],Products!A:A,Products!C:C)</f>
        <v>Clothing</v>
      </c>
    </row>
    <row r="1568" spans="1:12" x14ac:dyDescent="0.3">
      <c r="A1568">
        <v>1567</v>
      </c>
      <c r="B1568">
        <v>1107</v>
      </c>
      <c r="C1568">
        <v>13</v>
      </c>
      <c r="D1568" t="s">
        <v>2184</v>
      </c>
      <c r="E1568">
        <f t="shared" si="72"/>
        <v>2024</v>
      </c>
      <c r="F1568" t="str">
        <f t="shared" si="73"/>
        <v>Apr</v>
      </c>
      <c r="G1568">
        <v>3</v>
      </c>
      <c r="H1568">
        <f>_xlfn.XLOOKUP(C1568,Products!A:A,Products!D:D)</f>
        <v>334.61</v>
      </c>
      <c r="I1568">
        <v>15</v>
      </c>
      <c r="J1568">
        <f t="shared" si="74"/>
        <v>853.25549999999998</v>
      </c>
      <c r="K1568" t="s">
        <v>2015</v>
      </c>
      <c r="L1568" t="str">
        <f>_xlfn.XLOOKUP(Orders[[#This Row],[ProductID]],Products!A:A,Products!C:C)</f>
        <v>Home</v>
      </c>
    </row>
    <row r="1569" spans="1:12" x14ac:dyDescent="0.3">
      <c r="A1569">
        <v>1568</v>
      </c>
      <c r="B1569">
        <v>1107</v>
      </c>
      <c r="C1569">
        <v>41</v>
      </c>
      <c r="D1569" t="s">
        <v>1452</v>
      </c>
      <c r="E1569">
        <f t="shared" si="72"/>
        <v>2023</v>
      </c>
      <c r="F1569" t="str">
        <f t="shared" si="73"/>
        <v>Feb</v>
      </c>
      <c r="G1569">
        <v>3</v>
      </c>
      <c r="H1569">
        <f>_xlfn.XLOOKUP(C1569,Products!A:A,Products!D:D)</f>
        <v>554.80999999999995</v>
      </c>
      <c r="I1569">
        <v>5</v>
      </c>
      <c r="J1569">
        <f t="shared" si="74"/>
        <v>1581.2084999999997</v>
      </c>
      <c r="K1569" t="s">
        <v>2024</v>
      </c>
      <c r="L1569" t="str">
        <f>_xlfn.XLOOKUP(Orders[[#This Row],[ProductID]],Products!A:A,Products!C:C)</f>
        <v>Home</v>
      </c>
    </row>
    <row r="1570" spans="1:12" x14ac:dyDescent="0.3">
      <c r="A1570">
        <v>1569</v>
      </c>
      <c r="B1570">
        <v>1107</v>
      </c>
      <c r="C1570">
        <v>71</v>
      </c>
      <c r="D1570" t="s">
        <v>2224</v>
      </c>
      <c r="E1570">
        <f t="shared" si="72"/>
        <v>2024</v>
      </c>
      <c r="F1570" t="str">
        <f t="shared" si="73"/>
        <v>Feb</v>
      </c>
      <c r="G1570">
        <v>1</v>
      </c>
      <c r="H1570">
        <f>_xlfn.XLOOKUP(C1570,Products!A:A,Products!D:D)</f>
        <v>780.27</v>
      </c>
      <c r="I1570">
        <v>15</v>
      </c>
      <c r="J1570">
        <f t="shared" si="74"/>
        <v>663.22949999999992</v>
      </c>
      <c r="K1570" t="s">
        <v>2024</v>
      </c>
      <c r="L1570" t="str">
        <f>_xlfn.XLOOKUP(Orders[[#This Row],[ProductID]],Products!A:A,Products!C:C)</f>
        <v>Electronics</v>
      </c>
    </row>
    <row r="1571" spans="1:12" x14ac:dyDescent="0.3">
      <c r="A1571">
        <v>1570</v>
      </c>
      <c r="B1571">
        <v>1108</v>
      </c>
      <c r="C1571">
        <v>74</v>
      </c>
      <c r="D1571" t="s">
        <v>2161</v>
      </c>
      <c r="E1571">
        <f t="shared" si="72"/>
        <v>2024</v>
      </c>
      <c r="F1571" t="str">
        <f t="shared" si="73"/>
        <v>Mar</v>
      </c>
      <c r="G1571">
        <v>1</v>
      </c>
      <c r="H1571">
        <f>_xlfn.XLOOKUP(C1571,Products!A:A,Products!D:D)</f>
        <v>1034.31</v>
      </c>
      <c r="I1571">
        <v>15</v>
      </c>
      <c r="J1571">
        <f t="shared" si="74"/>
        <v>879.16349999999989</v>
      </c>
      <c r="K1571" t="s">
        <v>2015</v>
      </c>
      <c r="L1571" t="str">
        <f>_xlfn.XLOOKUP(Orders[[#This Row],[ProductID]],Products!A:A,Products!C:C)</f>
        <v>Electronics</v>
      </c>
    </row>
    <row r="1572" spans="1:12" x14ac:dyDescent="0.3">
      <c r="A1572">
        <v>1571</v>
      </c>
      <c r="B1572">
        <v>1108</v>
      </c>
      <c r="C1572">
        <v>57</v>
      </c>
      <c r="D1572" t="s">
        <v>1761</v>
      </c>
      <c r="E1572">
        <f t="shared" si="72"/>
        <v>2023</v>
      </c>
      <c r="F1572" t="str">
        <f t="shared" si="73"/>
        <v>Sep</v>
      </c>
      <c r="G1572">
        <v>3</v>
      </c>
      <c r="H1572">
        <f>_xlfn.XLOOKUP(C1572,Products!A:A,Products!D:D)</f>
        <v>768.03</v>
      </c>
      <c r="I1572">
        <v>15</v>
      </c>
      <c r="J1572">
        <f t="shared" si="74"/>
        <v>1958.4765</v>
      </c>
      <c r="K1572" t="s">
        <v>2019</v>
      </c>
      <c r="L1572" t="str">
        <f>_xlfn.XLOOKUP(Orders[[#This Row],[ProductID]],Products!A:A,Products!C:C)</f>
        <v>Electronics</v>
      </c>
    </row>
    <row r="1573" spans="1:12" x14ac:dyDescent="0.3">
      <c r="A1573">
        <v>1572</v>
      </c>
      <c r="B1573">
        <v>1108</v>
      </c>
      <c r="C1573">
        <v>22</v>
      </c>
      <c r="D1573" t="s">
        <v>2042</v>
      </c>
      <c r="E1573">
        <f t="shared" si="72"/>
        <v>2023</v>
      </c>
      <c r="F1573" t="str">
        <f t="shared" si="73"/>
        <v>Jan</v>
      </c>
      <c r="G1573">
        <v>3</v>
      </c>
      <c r="H1573">
        <f>_xlfn.XLOOKUP(C1573,Products!A:A,Products!D:D)</f>
        <v>373.43</v>
      </c>
      <c r="I1573">
        <v>15</v>
      </c>
      <c r="J1573">
        <f t="shared" si="74"/>
        <v>952.24649999999997</v>
      </c>
      <c r="K1573" t="s">
        <v>2015</v>
      </c>
      <c r="L1573" t="str">
        <f>_xlfn.XLOOKUP(Orders[[#This Row],[ProductID]],Products!A:A,Products!C:C)</f>
        <v>Beauty</v>
      </c>
    </row>
    <row r="1574" spans="1:12" x14ac:dyDescent="0.3">
      <c r="A1574">
        <v>1573</v>
      </c>
      <c r="B1574">
        <v>1109</v>
      </c>
      <c r="C1574">
        <v>8</v>
      </c>
      <c r="D1574" t="s">
        <v>2054</v>
      </c>
      <c r="E1574">
        <f t="shared" si="72"/>
        <v>2024</v>
      </c>
      <c r="F1574" t="str">
        <f t="shared" si="73"/>
        <v>Apr</v>
      </c>
      <c r="G1574">
        <v>2</v>
      </c>
      <c r="H1574">
        <f>_xlfn.XLOOKUP(C1574,Products!A:A,Products!D:D)</f>
        <v>155.08000000000001</v>
      </c>
      <c r="I1574">
        <v>15</v>
      </c>
      <c r="J1574">
        <f t="shared" si="74"/>
        <v>263.63600000000002</v>
      </c>
      <c r="K1574" t="s">
        <v>2021</v>
      </c>
      <c r="L1574" t="str">
        <f>_xlfn.XLOOKUP(Orders[[#This Row],[ProductID]],Products!A:A,Products!C:C)</f>
        <v>Clothing</v>
      </c>
    </row>
    <row r="1575" spans="1:12" x14ac:dyDescent="0.3">
      <c r="A1575">
        <v>1574</v>
      </c>
      <c r="B1575">
        <v>1109</v>
      </c>
      <c r="C1575">
        <v>9</v>
      </c>
      <c r="D1575" t="s">
        <v>2188</v>
      </c>
      <c r="E1575">
        <f t="shared" si="72"/>
        <v>2023</v>
      </c>
      <c r="F1575" t="str">
        <f t="shared" si="73"/>
        <v>Dec</v>
      </c>
      <c r="G1575">
        <v>2</v>
      </c>
      <c r="H1575">
        <f>_xlfn.XLOOKUP(C1575,Products!A:A,Products!D:D)</f>
        <v>43.26</v>
      </c>
      <c r="I1575">
        <v>0</v>
      </c>
      <c r="J1575">
        <f t="shared" si="74"/>
        <v>86.52</v>
      </c>
      <c r="K1575" t="s">
        <v>2024</v>
      </c>
      <c r="L1575" t="str">
        <f>_xlfn.XLOOKUP(Orders[[#This Row],[ProductID]],Products!A:A,Products!C:C)</f>
        <v>Electronics</v>
      </c>
    </row>
    <row r="1576" spans="1:12" x14ac:dyDescent="0.3">
      <c r="A1576">
        <v>1575</v>
      </c>
      <c r="B1576">
        <v>1109</v>
      </c>
      <c r="C1576">
        <v>73</v>
      </c>
      <c r="D1576" t="s">
        <v>410</v>
      </c>
      <c r="E1576">
        <f t="shared" si="72"/>
        <v>2023</v>
      </c>
      <c r="F1576" t="str">
        <f t="shared" si="73"/>
        <v>May</v>
      </c>
      <c r="G1576">
        <v>3</v>
      </c>
      <c r="H1576">
        <f>_xlfn.XLOOKUP(C1576,Products!A:A,Products!D:D)</f>
        <v>943.04</v>
      </c>
      <c r="I1576">
        <v>0</v>
      </c>
      <c r="J1576">
        <f t="shared" si="74"/>
        <v>2829.12</v>
      </c>
      <c r="K1576" t="s">
        <v>2015</v>
      </c>
      <c r="L1576" t="str">
        <f>_xlfn.XLOOKUP(Orders[[#This Row],[ProductID]],Products!A:A,Products!C:C)</f>
        <v>Home</v>
      </c>
    </row>
    <row r="1577" spans="1:12" x14ac:dyDescent="0.3">
      <c r="A1577">
        <v>1576</v>
      </c>
      <c r="B1577">
        <v>1110</v>
      </c>
      <c r="C1577">
        <v>63</v>
      </c>
      <c r="D1577" t="s">
        <v>458</v>
      </c>
      <c r="E1577">
        <f t="shared" si="72"/>
        <v>2023</v>
      </c>
      <c r="F1577" t="str">
        <f t="shared" si="73"/>
        <v>Aug</v>
      </c>
      <c r="G1577">
        <v>3</v>
      </c>
      <c r="H1577">
        <f>_xlfn.XLOOKUP(C1577,Products!A:A,Products!D:D)</f>
        <v>309.79000000000002</v>
      </c>
      <c r="I1577">
        <v>5</v>
      </c>
      <c r="J1577">
        <f t="shared" si="74"/>
        <v>882.90150000000006</v>
      </c>
      <c r="K1577" t="s">
        <v>2017</v>
      </c>
      <c r="L1577" t="str">
        <f>_xlfn.XLOOKUP(Orders[[#This Row],[ProductID]],Products!A:A,Products!C:C)</f>
        <v>Electronics</v>
      </c>
    </row>
    <row r="1578" spans="1:12" x14ac:dyDescent="0.3">
      <c r="A1578">
        <v>1577</v>
      </c>
      <c r="B1578">
        <v>1110</v>
      </c>
      <c r="C1578">
        <v>28</v>
      </c>
      <c r="D1578" t="s">
        <v>2108</v>
      </c>
      <c r="E1578">
        <f t="shared" si="72"/>
        <v>2023</v>
      </c>
      <c r="F1578" t="str">
        <f t="shared" si="73"/>
        <v>Dec</v>
      </c>
      <c r="G1578">
        <v>2</v>
      </c>
      <c r="H1578">
        <f>_xlfn.XLOOKUP(C1578,Products!A:A,Products!D:D)</f>
        <v>494.39</v>
      </c>
      <c r="I1578">
        <v>10</v>
      </c>
      <c r="J1578">
        <f t="shared" si="74"/>
        <v>889.90200000000004</v>
      </c>
      <c r="K1578" t="s">
        <v>2015</v>
      </c>
      <c r="L1578" t="str">
        <f>_xlfn.XLOOKUP(Orders[[#This Row],[ProductID]],Products!A:A,Products!C:C)</f>
        <v>Beauty</v>
      </c>
    </row>
    <row r="1579" spans="1:12" x14ac:dyDescent="0.3">
      <c r="A1579">
        <v>1578</v>
      </c>
      <c r="B1579">
        <v>1110</v>
      </c>
      <c r="C1579">
        <v>39</v>
      </c>
      <c r="D1579" t="s">
        <v>1323</v>
      </c>
      <c r="E1579">
        <f t="shared" si="72"/>
        <v>2023</v>
      </c>
      <c r="F1579" t="str">
        <f t="shared" si="73"/>
        <v>Jun</v>
      </c>
      <c r="G1579">
        <v>1</v>
      </c>
      <c r="H1579">
        <f>_xlfn.XLOOKUP(C1579,Products!A:A,Products!D:D)</f>
        <v>256.08999999999997</v>
      </c>
      <c r="I1579">
        <v>20</v>
      </c>
      <c r="J1579">
        <f t="shared" si="74"/>
        <v>204.87199999999999</v>
      </c>
      <c r="K1579" t="s">
        <v>2015</v>
      </c>
      <c r="L1579" t="str">
        <f>_xlfn.XLOOKUP(Orders[[#This Row],[ProductID]],Products!A:A,Products!C:C)</f>
        <v>Clothing</v>
      </c>
    </row>
    <row r="1580" spans="1:12" x14ac:dyDescent="0.3">
      <c r="A1580">
        <v>1579</v>
      </c>
      <c r="B1580">
        <v>1111</v>
      </c>
      <c r="C1580">
        <v>53</v>
      </c>
      <c r="D1580" t="s">
        <v>1952</v>
      </c>
      <c r="E1580">
        <f t="shared" si="72"/>
        <v>2023</v>
      </c>
      <c r="F1580" t="str">
        <f t="shared" si="73"/>
        <v>Mar</v>
      </c>
      <c r="G1580">
        <v>3</v>
      </c>
      <c r="H1580">
        <f>_xlfn.XLOOKUP(C1580,Products!A:A,Products!D:D)</f>
        <v>194.34</v>
      </c>
      <c r="I1580">
        <v>20</v>
      </c>
      <c r="J1580">
        <f t="shared" si="74"/>
        <v>466.416</v>
      </c>
      <c r="K1580" t="s">
        <v>2024</v>
      </c>
      <c r="L1580" t="str">
        <f>_xlfn.XLOOKUP(Orders[[#This Row],[ProductID]],Products!A:A,Products!C:C)</f>
        <v>Home</v>
      </c>
    </row>
    <row r="1581" spans="1:12" x14ac:dyDescent="0.3">
      <c r="A1581">
        <v>1580</v>
      </c>
      <c r="B1581">
        <v>1111</v>
      </c>
      <c r="C1581">
        <v>1</v>
      </c>
      <c r="D1581" t="s">
        <v>2087</v>
      </c>
      <c r="E1581">
        <f t="shared" si="72"/>
        <v>2024</v>
      </c>
      <c r="F1581" t="str">
        <f t="shared" si="73"/>
        <v>May</v>
      </c>
      <c r="G1581">
        <v>3</v>
      </c>
      <c r="H1581">
        <f>_xlfn.XLOOKUP(C1581,Products!A:A,Products!D:D)</f>
        <v>469.08</v>
      </c>
      <c r="I1581">
        <v>0</v>
      </c>
      <c r="J1581">
        <f t="shared" si="74"/>
        <v>1407.24</v>
      </c>
      <c r="K1581" t="s">
        <v>2024</v>
      </c>
      <c r="L1581" t="str">
        <f>_xlfn.XLOOKUP(Orders[[#This Row],[ProductID]],Products!A:A,Products!C:C)</f>
        <v>Clothing</v>
      </c>
    </row>
    <row r="1582" spans="1:12" x14ac:dyDescent="0.3">
      <c r="A1582">
        <v>1581</v>
      </c>
      <c r="B1582">
        <v>1111</v>
      </c>
      <c r="C1582">
        <v>76</v>
      </c>
      <c r="D1582" t="s">
        <v>353</v>
      </c>
      <c r="E1582">
        <f t="shared" si="72"/>
        <v>2023</v>
      </c>
      <c r="F1582" t="str">
        <f t="shared" si="73"/>
        <v>Mar</v>
      </c>
      <c r="G1582">
        <v>1</v>
      </c>
      <c r="H1582">
        <f>_xlfn.XLOOKUP(C1582,Products!A:A,Products!D:D)</f>
        <v>1043.26</v>
      </c>
      <c r="I1582">
        <v>20</v>
      </c>
      <c r="J1582">
        <f t="shared" si="74"/>
        <v>834.60800000000006</v>
      </c>
      <c r="K1582" t="s">
        <v>2019</v>
      </c>
      <c r="L1582" t="str">
        <f>_xlfn.XLOOKUP(Orders[[#This Row],[ProductID]],Products!A:A,Products!C:C)</f>
        <v>Clothing</v>
      </c>
    </row>
    <row r="1583" spans="1:12" x14ac:dyDescent="0.3">
      <c r="A1583">
        <v>1582</v>
      </c>
      <c r="B1583">
        <v>1112</v>
      </c>
      <c r="C1583">
        <v>68</v>
      </c>
      <c r="D1583" t="s">
        <v>351</v>
      </c>
      <c r="E1583">
        <f t="shared" si="72"/>
        <v>2023</v>
      </c>
      <c r="F1583" t="str">
        <f t="shared" si="73"/>
        <v>Jul</v>
      </c>
      <c r="G1583">
        <v>3</v>
      </c>
      <c r="H1583">
        <f>_xlfn.XLOOKUP(C1583,Products!A:A,Products!D:D)</f>
        <v>180.99</v>
      </c>
      <c r="I1583">
        <v>5</v>
      </c>
      <c r="J1583">
        <f t="shared" si="74"/>
        <v>515.82150000000001</v>
      </c>
      <c r="K1583" t="s">
        <v>2021</v>
      </c>
      <c r="L1583" t="str">
        <f>_xlfn.XLOOKUP(Orders[[#This Row],[ProductID]],Products!A:A,Products!C:C)</f>
        <v>Clothing</v>
      </c>
    </row>
    <row r="1584" spans="1:12" x14ac:dyDescent="0.3">
      <c r="A1584">
        <v>1583</v>
      </c>
      <c r="B1584">
        <v>1112</v>
      </c>
      <c r="C1584">
        <v>32</v>
      </c>
      <c r="D1584" t="s">
        <v>619</v>
      </c>
      <c r="E1584">
        <f t="shared" si="72"/>
        <v>2023</v>
      </c>
      <c r="F1584" t="str">
        <f t="shared" si="73"/>
        <v>Nov</v>
      </c>
      <c r="G1584">
        <v>1</v>
      </c>
      <c r="H1584">
        <f>_xlfn.XLOOKUP(C1584,Products!A:A,Products!D:D)</f>
        <v>342.57</v>
      </c>
      <c r="I1584">
        <v>5</v>
      </c>
      <c r="J1584">
        <f t="shared" si="74"/>
        <v>325.44149999999996</v>
      </c>
      <c r="K1584" t="s">
        <v>2019</v>
      </c>
      <c r="L1584" t="str">
        <f>_xlfn.XLOOKUP(Orders[[#This Row],[ProductID]],Products!A:A,Products!C:C)</f>
        <v>Clothing</v>
      </c>
    </row>
    <row r="1585" spans="1:12" x14ac:dyDescent="0.3">
      <c r="A1585">
        <v>1584</v>
      </c>
      <c r="B1585">
        <v>1112</v>
      </c>
      <c r="C1585">
        <v>64</v>
      </c>
      <c r="D1585" t="s">
        <v>2092</v>
      </c>
      <c r="E1585">
        <f t="shared" si="72"/>
        <v>2024</v>
      </c>
      <c r="F1585" t="str">
        <f t="shared" si="73"/>
        <v>Jan</v>
      </c>
      <c r="G1585">
        <v>1</v>
      </c>
      <c r="H1585">
        <f>_xlfn.XLOOKUP(C1585,Products!A:A,Products!D:D)</f>
        <v>567.71</v>
      </c>
      <c r="I1585">
        <v>10</v>
      </c>
      <c r="J1585">
        <f t="shared" si="74"/>
        <v>510.93900000000002</v>
      </c>
      <c r="K1585" t="s">
        <v>2019</v>
      </c>
      <c r="L1585" t="str">
        <f>_xlfn.XLOOKUP(Orders[[#This Row],[ProductID]],Products!A:A,Products!C:C)</f>
        <v>Clothing</v>
      </c>
    </row>
    <row r="1586" spans="1:12" x14ac:dyDescent="0.3">
      <c r="A1586">
        <v>1585</v>
      </c>
      <c r="B1586">
        <v>1112</v>
      </c>
      <c r="C1586">
        <v>13</v>
      </c>
      <c r="D1586" t="s">
        <v>2116</v>
      </c>
      <c r="E1586">
        <f t="shared" si="72"/>
        <v>2024</v>
      </c>
      <c r="F1586" t="str">
        <f t="shared" si="73"/>
        <v>Apr</v>
      </c>
      <c r="G1586">
        <v>2</v>
      </c>
      <c r="H1586">
        <f>_xlfn.XLOOKUP(C1586,Products!A:A,Products!D:D)</f>
        <v>334.61</v>
      </c>
      <c r="I1586">
        <v>20</v>
      </c>
      <c r="J1586">
        <f t="shared" si="74"/>
        <v>535.37600000000009</v>
      </c>
      <c r="K1586" t="s">
        <v>2017</v>
      </c>
      <c r="L1586" t="str">
        <f>_xlfn.XLOOKUP(Orders[[#This Row],[ProductID]],Products!A:A,Products!C:C)</f>
        <v>Home</v>
      </c>
    </row>
    <row r="1587" spans="1:12" x14ac:dyDescent="0.3">
      <c r="A1587">
        <v>1586</v>
      </c>
      <c r="B1587">
        <v>1113</v>
      </c>
      <c r="C1587">
        <v>53</v>
      </c>
      <c r="D1587" t="s">
        <v>1339</v>
      </c>
      <c r="E1587">
        <f t="shared" si="72"/>
        <v>2023</v>
      </c>
      <c r="F1587" t="str">
        <f t="shared" si="73"/>
        <v>Jul</v>
      </c>
      <c r="G1587">
        <v>3</v>
      </c>
      <c r="H1587">
        <f>_xlfn.XLOOKUP(C1587,Products!A:A,Products!D:D)</f>
        <v>194.34</v>
      </c>
      <c r="I1587">
        <v>15</v>
      </c>
      <c r="J1587">
        <f t="shared" si="74"/>
        <v>495.56699999999995</v>
      </c>
      <c r="K1587" t="s">
        <v>2021</v>
      </c>
      <c r="L1587" t="str">
        <f>_xlfn.XLOOKUP(Orders[[#This Row],[ProductID]],Products!A:A,Products!C:C)</f>
        <v>Home</v>
      </c>
    </row>
    <row r="1588" spans="1:12" x14ac:dyDescent="0.3">
      <c r="A1588">
        <v>1587</v>
      </c>
      <c r="B1588">
        <v>1113</v>
      </c>
      <c r="C1588">
        <v>44</v>
      </c>
      <c r="D1588" t="s">
        <v>2080</v>
      </c>
      <c r="E1588">
        <f t="shared" si="72"/>
        <v>2023</v>
      </c>
      <c r="F1588" t="str">
        <f t="shared" si="73"/>
        <v>Apr</v>
      </c>
      <c r="G1588">
        <v>1</v>
      </c>
      <c r="H1588">
        <f>_xlfn.XLOOKUP(C1588,Products!A:A,Products!D:D)</f>
        <v>1038</v>
      </c>
      <c r="I1588">
        <v>10</v>
      </c>
      <c r="J1588">
        <f t="shared" si="74"/>
        <v>934.2</v>
      </c>
      <c r="K1588" t="s">
        <v>2024</v>
      </c>
      <c r="L1588" t="str">
        <f>_xlfn.XLOOKUP(Orders[[#This Row],[ProductID]],Products!A:A,Products!C:C)</f>
        <v>Home</v>
      </c>
    </row>
    <row r="1589" spans="1:12" x14ac:dyDescent="0.3">
      <c r="A1589">
        <v>1588</v>
      </c>
      <c r="B1589">
        <v>1113</v>
      </c>
      <c r="C1589">
        <v>23</v>
      </c>
      <c r="D1589" t="s">
        <v>2204</v>
      </c>
      <c r="E1589">
        <f t="shared" si="72"/>
        <v>2023</v>
      </c>
      <c r="F1589" t="str">
        <f t="shared" si="73"/>
        <v>Dec</v>
      </c>
      <c r="G1589">
        <v>2</v>
      </c>
      <c r="H1589">
        <f>_xlfn.XLOOKUP(C1589,Products!A:A,Products!D:D)</f>
        <v>258.08</v>
      </c>
      <c r="I1589">
        <v>10</v>
      </c>
      <c r="J1589">
        <f t="shared" si="74"/>
        <v>464.54399999999998</v>
      </c>
      <c r="K1589" t="s">
        <v>2017</v>
      </c>
      <c r="L1589" t="str">
        <f>_xlfn.XLOOKUP(Orders[[#This Row],[ProductID]],Products!A:A,Products!C:C)</f>
        <v>Home</v>
      </c>
    </row>
    <row r="1590" spans="1:12" x14ac:dyDescent="0.3">
      <c r="A1590">
        <v>1589</v>
      </c>
      <c r="B1590">
        <v>1113</v>
      </c>
      <c r="C1590">
        <v>12</v>
      </c>
      <c r="D1590" t="s">
        <v>19</v>
      </c>
      <c r="E1590">
        <f t="shared" si="72"/>
        <v>2023</v>
      </c>
      <c r="F1590" t="str">
        <f t="shared" si="73"/>
        <v>Apr</v>
      </c>
      <c r="G1590">
        <v>2</v>
      </c>
      <c r="H1590">
        <f>_xlfn.XLOOKUP(C1590,Products!A:A,Products!D:D)</f>
        <v>627.41999999999996</v>
      </c>
      <c r="I1590">
        <v>15</v>
      </c>
      <c r="J1590">
        <f t="shared" si="74"/>
        <v>1066.6139999999998</v>
      </c>
      <c r="K1590" t="s">
        <v>2021</v>
      </c>
      <c r="L1590" t="str">
        <f>_xlfn.XLOOKUP(Orders[[#This Row],[ProductID]],Products!A:A,Products!C:C)</f>
        <v>Beauty</v>
      </c>
    </row>
    <row r="1591" spans="1:12" x14ac:dyDescent="0.3">
      <c r="A1591">
        <v>1590</v>
      </c>
      <c r="B1591">
        <v>1114</v>
      </c>
      <c r="C1591">
        <v>30</v>
      </c>
      <c r="D1591" t="s">
        <v>1745</v>
      </c>
      <c r="E1591">
        <f t="shared" si="72"/>
        <v>2023</v>
      </c>
      <c r="F1591" t="str">
        <f t="shared" si="73"/>
        <v>Jun</v>
      </c>
      <c r="G1591">
        <v>3</v>
      </c>
      <c r="H1591">
        <f>_xlfn.XLOOKUP(C1591,Products!A:A,Products!D:D)</f>
        <v>866.89</v>
      </c>
      <c r="I1591">
        <v>0</v>
      </c>
      <c r="J1591">
        <f t="shared" si="74"/>
        <v>2600.67</v>
      </c>
      <c r="K1591" t="s">
        <v>2024</v>
      </c>
      <c r="L1591" t="str">
        <f>_xlfn.XLOOKUP(Orders[[#This Row],[ProductID]],Products!A:A,Products!C:C)</f>
        <v>Electronics</v>
      </c>
    </row>
    <row r="1592" spans="1:12" x14ac:dyDescent="0.3">
      <c r="A1592">
        <v>1591</v>
      </c>
      <c r="B1592">
        <v>1114</v>
      </c>
      <c r="C1592">
        <v>58</v>
      </c>
      <c r="D1592" t="s">
        <v>2176</v>
      </c>
      <c r="E1592">
        <f t="shared" si="72"/>
        <v>2024</v>
      </c>
      <c r="F1592" t="str">
        <f t="shared" si="73"/>
        <v>Jan</v>
      </c>
      <c r="G1592">
        <v>1</v>
      </c>
      <c r="H1592">
        <f>_xlfn.XLOOKUP(C1592,Products!A:A,Products!D:D)</f>
        <v>334.98</v>
      </c>
      <c r="I1592">
        <v>20</v>
      </c>
      <c r="J1592">
        <f t="shared" si="74"/>
        <v>267.98400000000004</v>
      </c>
      <c r="K1592" t="s">
        <v>2024</v>
      </c>
      <c r="L1592" t="str">
        <f>_xlfn.XLOOKUP(Orders[[#This Row],[ProductID]],Products!A:A,Products!C:C)</f>
        <v>Home</v>
      </c>
    </row>
    <row r="1593" spans="1:12" x14ac:dyDescent="0.3">
      <c r="A1593">
        <v>1592</v>
      </c>
      <c r="B1593">
        <v>1114</v>
      </c>
      <c r="C1593">
        <v>3</v>
      </c>
      <c r="D1593" t="s">
        <v>2097</v>
      </c>
      <c r="E1593">
        <f t="shared" si="72"/>
        <v>2024</v>
      </c>
      <c r="F1593" t="str">
        <f t="shared" si="73"/>
        <v>Mar</v>
      </c>
      <c r="G1593">
        <v>3</v>
      </c>
      <c r="H1593">
        <f>_xlfn.XLOOKUP(C1593,Products!A:A,Products!D:D)</f>
        <v>506.08</v>
      </c>
      <c r="I1593">
        <v>0</v>
      </c>
      <c r="J1593">
        <f t="shared" si="74"/>
        <v>1518.24</v>
      </c>
      <c r="K1593" t="s">
        <v>2015</v>
      </c>
      <c r="L1593" t="str">
        <f>_xlfn.XLOOKUP(Orders[[#This Row],[ProductID]],Products!A:A,Products!C:C)</f>
        <v>Clothing</v>
      </c>
    </row>
    <row r="1594" spans="1:12" x14ac:dyDescent="0.3">
      <c r="A1594">
        <v>1593</v>
      </c>
      <c r="B1594">
        <v>1114</v>
      </c>
      <c r="C1594">
        <v>8</v>
      </c>
      <c r="D1594" t="s">
        <v>2188</v>
      </c>
      <c r="E1594">
        <f t="shared" si="72"/>
        <v>2023</v>
      </c>
      <c r="F1594" t="str">
        <f t="shared" si="73"/>
        <v>Dec</v>
      </c>
      <c r="G1594">
        <v>2</v>
      </c>
      <c r="H1594">
        <f>_xlfn.XLOOKUP(C1594,Products!A:A,Products!D:D)</f>
        <v>155.08000000000001</v>
      </c>
      <c r="I1594">
        <v>0</v>
      </c>
      <c r="J1594">
        <f t="shared" si="74"/>
        <v>310.16000000000003</v>
      </c>
      <c r="K1594" t="s">
        <v>2021</v>
      </c>
      <c r="L1594" t="str">
        <f>_xlfn.XLOOKUP(Orders[[#This Row],[ProductID]],Products!A:A,Products!C:C)</f>
        <v>Clothing</v>
      </c>
    </row>
    <row r="1595" spans="1:12" x14ac:dyDescent="0.3">
      <c r="A1595">
        <v>1594</v>
      </c>
      <c r="B1595">
        <v>1115</v>
      </c>
      <c r="C1595">
        <v>1</v>
      </c>
      <c r="D1595" t="s">
        <v>2043</v>
      </c>
      <c r="E1595">
        <f t="shared" si="72"/>
        <v>2024</v>
      </c>
      <c r="F1595" t="str">
        <f t="shared" si="73"/>
        <v>May</v>
      </c>
      <c r="G1595">
        <v>3</v>
      </c>
      <c r="H1595">
        <f>_xlfn.XLOOKUP(C1595,Products!A:A,Products!D:D)</f>
        <v>469.08</v>
      </c>
      <c r="I1595">
        <v>0</v>
      </c>
      <c r="J1595">
        <f t="shared" si="74"/>
        <v>1407.24</v>
      </c>
      <c r="K1595" t="s">
        <v>2019</v>
      </c>
      <c r="L1595" t="str">
        <f>_xlfn.XLOOKUP(Orders[[#This Row],[ProductID]],Products!A:A,Products!C:C)</f>
        <v>Clothing</v>
      </c>
    </row>
    <row r="1596" spans="1:12" x14ac:dyDescent="0.3">
      <c r="A1596">
        <v>1595</v>
      </c>
      <c r="B1596">
        <v>1115</v>
      </c>
      <c r="C1596">
        <v>42</v>
      </c>
      <c r="D1596" t="s">
        <v>1884</v>
      </c>
      <c r="E1596">
        <f t="shared" si="72"/>
        <v>2023</v>
      </c>
      <c r="F1596" t="str">
        <f t="shared" si="73"/>
        <v>Jul</v>
      </c>
      <c r="G1596">
        <v>2</v>
      </c>
      <c r="H1596">
        <f>_xlfn.XLOOKUP(C1596,Products!A:A,Products!D:D)</f>
        <v>233.11</v>
      </c>
      <c r="I1596">
        <v>0</v>
      </c>
      <c r="J1596">
        <f t="shared" si="74"/>
        <v>466.22</v>
      </c>
      <c r="K1596" t="s">
        <v>2015</v>
      </c>
      <c r="L1596" t="str">
        <f>_xlfn.XLOOKUP(Orders[[#This Row],[ProductID]],Products!A:A,Products!C:C)</f>
        <v>Home</v>
      </c>
    </row>
    <row r="1597" spans="1:12" x14ac:dyDescent="0.3">
      <c r="A1597">
        <v>1596</v>
      </c>
      <c r="B1597">
        <v>1115</v>
      </c>
      <c r="C1597">
        <v>73</v>
      </c>
      <c r="D1597" t="s">
        <v>802</v>
      </c>
      <c r="E1597">
        <f t="shared" si="72"/>
        <v>2023</v>
      </c>
      <c r="F1597" t="str">
        <f t="shared" si="73"/>
        <v>Jul</v>
      </c>
      <c r="G1597">
        <v>1</v>
      </c>
      <c r="H1597">
        <f>_xlfn.XLOOKUP(C1597,Products!A:A,Products!D:D)</f>
        <v>943.04</v>
      </c>
      <c r="I1597">
        <v>5</v>
      </c>
      <c r="J1597">
        <f t="shared" si="74"/>
        <v>895.88799999999992</v>
      </c>
      <c r="K1597" t="s">
        <v>2021</v>
      </c>
      <c r="L1597" t="str">
        <f>_xlfn.XLOOKUP(Orders[[#This Row],[ProductID]],Products!A:A,Products!C:C)</f>
        <v>Home</v>
      </c>
    </row>
    <row r="1598" spans="1:12" x14ac:dyDescent="0.3">
      <c r="A1598">
        <v>1597</v>
      </c>
      <c r="B1598">
        <v>1115</v>
      </c>
      <c r="C1598">
        <v>80</v>
      </c>
      <c r="D1598" t="s">
        <v>290</v>
      </c>
      <c r="E1598">
        <f t="shared" si="72"/>
        <v>2023</v>
      </c>
      <c r="F1598" t="str">
        <f t="shared" si="73"/>
        <v>Sep</v>
      </c>
      <c r="G1598">
        <v>1</v>
      </c>
      <c r="H1598">
        <f>_xlfn.XLOOKUP(C1598,Products!A:A,Products!D:D)</f>
        <v>1014.45</v>
      </c>
      <c r="I1598">
        <v>20</v>
      </c>
      <c r="J1598">
        <f t="shared" si="74"/>
        <v>811.56000000000006</v>
      </c>
      <c r="K1598" t="s">
        <v>2021</v>
      </c>
      <c r="L1598" t="str">
        <f>_xlfn.XLOOKUP(Orders[[#This Row],[ProductID]],Products!A:A,Products!C:C)</f>
        <v>Beauty</v>
      </c>
    </row>
    <row r="1599" spans="1:12" x14ac:dyDescent="0.3">
      <c r="A1599">
        <v>1598</v>
      </c>
      <c r="B1599">
        <v>1116</v>
      </c>
      <c r="C1599">
        <v>45</v>
      </c>
      <c r="D1599" t="s">
        <v>1653</v>
      </c>
      <c r="E1599">
        <f t="shared" si="72"/>
        <v>2023</v>
      </c>
      <c r="F1599" t="str">
        <f t="shared" si="73"/>
        <v>Feb</v>
      </c>
      <c r="G1599">
        <v>3</v>
      </c>
      <c r="H1599">
        <f>_xlfn.XLOOKUP(C1599,Products!A:A,Products!D:D)</f>
        <v>609.05999999999995</v>
      </c>
      <c r="I1599">
        <v>5</v>
      </c>
      <c r="J1599">
        <f t="shared" si="74"/>
        <v>1735.8209999999997</v>
      </c>
      <c r="K1599" t="s">
        <v>2015</v>
      </c>
      <c r="L1599" t="str">
        <f>_xlfn.XLOOKUP(Orders[[#This Row],[ProductID]],Products!A:A,Products!C:C)</f>
        <v>Beauty</v>
      </c>
    </row>
    <row r="1600" spans="1:12" x14ac:dyDescent="0.3">
      <c r="A1600">
        <v>1599</v>
      </c>
      <c r="B1600">
        <v>1116</v>
      </c>
      <c r="C1600">
        <v>48</v>
      </c>
      <c r="D1600" t="s">
        <v>2160</v>
      </c>
      <c r="E1600">
        <f t="shared" si="72"/>
        <v>2023</v>
      </c>
      <c r="F1600" t="str">
        <f t="shared" si="73"/>
        <v>Oct</v>
      </c>
      <c r="G1600">
        <v>1</v>
      </c>
      <c r="H1600">
        <f>_xlfn.XLOOKUP(C1600,Products!A:A,Products!D:D)</f>
        <v>1125.8499999999999</v>
      </c>
      <c r="I1600">
        <v>15</v>
      </c>
      <c r="J1600">
        <f t="shared" si="74"/>
        <v>956.97249999999985</v>
      </c>
      <c r="K1600" t="s">
        <v>2021</v>
      </c>
      <c r="L1600" t="str">
        <f>_xlfn.XLOOKUP(Orders[[#This Row],[ProductID]],Products!A:A,Products!C:C)</f>
        <v>Clothing</v>
      </c>
    </row>
    <row r="1601" spans="1:12" x14ac:dyDescent="0.3">
      <c r="A1601">
        <v>1600</v>
      </c>
      <c r="B1601">
        <v>1116</v>
      </c>
      <c r="C1601">
        <v>65</v>
      </c>
      <c r="D1601" t="s">
        <v>1796</v>
      </c>
      <c r="E1601">
        <f t="shared" si="72"/>
        <v>2023</v>
      </c>
      <c r="F1601" t="str">
        <f t="shared" si="73"/>
        <v>Mar</v>
      </c>
      <c r="G1601">
        <v>2</v>
      </c>
      <c r="H1601">
        <f>_xlfn.XLOOKUP(C1601,Products!A:A,Products!D:D)</f>
        <v>1189.73</v>
      </c>
      <c r="I1601">
        <v>0</v>
      </c>
      <c r="J1601">
        <f t="shared" si="74"/>
        <v>2379.46</v>
      </c>
      <c r="K1601" t="s">
        <v>2015</v>
      </c>
      <c r="L1601" t="str">
        <f>_xlfn.XLOOKUP(Orders[[#This Row],[ProductID]],Products!A:A,Products!C:C)</f>
        <v>Home</v>
      </c>
    </row>
    <row r="1602" spans="1:12" x14ac:dyDescent="0.3">
      <c r="A1602">
        <v>1601</v>
      </c>
      <c r="B1602">
        <v>1117</v>
      </c>
      <c r="C1602">
        <v>5</v>
      </c>
      <c r="D1602" t="s">
        <v>2134</v>
      </c>
      <c r="E1602">
        <f t="shared" si="72"/>
        <v>2024</v>
      </c>
      <c r="F1602" t="str">
        <f t="shared" si="73"/>
        <v>Apr</v>
      </c>
      <c r="G1602">
        <v>3</v>
      </c>
      <c r="H1602">
        <f>_xlfn.XLOOKUP(C1602,Products!A:A,Products!D:D)</f>
        <v>296.85000000000002</v>
      </c>
      <c r="I1602">
        <v>0</v>
      </c>
      <c r="J1602">
        <f t="shared" si="74"/>
        <v>890.55000000000007</v>
      </c>
      <c r="K1602" t="s">
        <v>2024</v>
      </c>
      <c r="L1602" t="str">
        <f>_xlfn.XLOOKUP(Orders[[#This Row],[ProductID]],Products!A:A,Products!C:C)</f>
        <v>Clothing</v>
      </c>
    </row>
    <row r="1603" spans="1:12" x14ac:dyDescent="0.3">
      <c r="A1603">
        <v>1602</v>
      </c>
      <c r="B1603">
        <v>1117</v>
      </c>
      <c r="C1603">
        <v>38</v>
      </c>
      <c r="D1603" t="s">
        <v>1432</v>
      </c>
      <c r="E1603">
        <f t="shared" ref="E1603:E1666" si="75">YEAR(D1603)</f>
        <v>2023</v>
      </c>
      <c r="F1603" t="str">
        <f t="shared" ref="F1603:F1666" si="76">TEXT(D1603,"mmm")</f>
        <v>Feb</v>
      </c>
      <c r="G1603">
        <v>2</v>
      </c>
      <c r="H1603">
        <f>_xlfn.XLOOKUP(C1603,Products!A:A,Products!D:D)</f>
        <v>802.88</v>
      </c>
      <c r="I1603">
        <v>5</v>
      </c>
      <c r="J1603">
        <f t="shared" ref="J1603:J1666" si="77">G1603*H1603*(1-I1603/100)</f>
        <v>1525.472</v>
      </c>
      <c r="K1603" t="s">
        <v>2015</v>
      </c>
      <c r="L1603" t="str">
        <f>_xlfn.XLOOKUP(Orders[[#This Row],[ProductID]],Products!A:A,Products!C:C)</f>
        <v>Home</v>
      </c>
    </row>
    <row r="1604" spans="1:12" x14ac:dyDescent="0.3">
      <c r="A1604">
        <v>1603</v>
      </c>
      <c r="B1604">
        <v>1117</v>
      </c>
      <c r="C1604">
        <v>67</v>
      </c>
      <c r="D1604" t="s">
        <v>2058</v>
      </c>
      <c r="E1604">
        <f t="shared" si="75"/>
        <v>2023</v>
      </c>
      <c r="F1604" t="str">
        <f t="shared" si="76"/>
        <v>Mar</v>
      </c>
      <c r="G1604">
        <v>1</v>
      </c>
      <c r="H1604">
        <f>_xlfn.XLOOKUP(C1604,Products!A:A,Products!D:D)</f>
        <v>258.35000000000002</v>
      </c>
      <c r="I1604">
        <v>15</v>
      </c>
      <c r="J1604">
        <f t="shared" si="77"/>
        <v>219.59750000000003</v>
      </c>
      <c r="K1604" t="s">
        <v>2021</v>
      </c>
      <c r="L1604" t="str">
        <f>_xlfn.XLOOKUP(Orders[[#This Row],[ProductID]],Products!A:A,Products!C:C)</f>
        <v>Electronics</v>
      </c>
    </row>
    <row r="1605" spans="1:12" x14ac:dyDescent="0.3">
      <c r="A1605">
        <v>1604</v>
      </c>
      <c r="B1605">
        <v>1117</v>
      </c>
      <c r="C1605">
        <v>78</v>
      </c>
      <c r="D1605" t="s">
        <v>927</v>
      </c>
      <c r="E1605">
        <f t="shared" si="75"/>
        <v>2023</v>
      </c>
      <c r="F1605" t="str">
        <f t="shared" si="76"/>
        <v>Mar</v>
      </c>
      <c r="G1605">
        <v>3</v>
      </c>
      <c r="H1605">
        <f>_xlfn.XLOOKUP(C1605,Products!A:A,Products!D:D)</f>
        <v>795.77</v>
      </c>
      <c r="I1605">
        <v>10</v>
      </c>
      <c r="J1605">
        <f t="shared" si="77"/>
        <v>2148.5790000000002</v>
      </c>
      <c r="K1605" t="s">
        <v>2017</v>
      </c>
      <c r="L1605" t="str">
        <f>_xlfn.XLOOKUP(Orders[[#This Row],[ProductID]],Products!A:A,Products!C:C)</f>
        <v>Beauty</v>
      </c>
    </row>
    <row r="1606" spans="1:12" x14ac:dyDescent="0.3">
      <c r="A1606">
        <v>1605</v>
      </c>
      <c r="B1606">
        <v>1118</v>
      </c>
      <c r="C1606">
        <v>71</v>
      </c>
      <c r="D1606" t="s">
        <v>2145</v>
      </c>
      <c r="E1606">
        <f t="shared" si="75"/>
        <v>2024</v>
      </c>
      <c r="F1606" t="str">
        <f t="shared" si="76"/>
        <v>Mar</v>
      </c>
      <c r="G1606">
        <v>2</v>
      </c>
      <c r="H1606">
        <f>_xlfn.XLOOKUP(C1606,Products!A:A,Products!D:D)</f>
        <v>780.27</v>
      </c>
      <c r="I1606">
        <v>15</v>
      </c>
      <c r="J1606">
        <f t="shared" si="77"/>
        <v>1326.4589999999998</v>
      </c>
      <c r="K1606" t="s">
        <v>2019</v>
      </c>
      <c r="L1606" t="str">
        <f>_xlfn.XLOOKUP(Orders[[#This Row],[ProductID]],Products!A:A,Products!C:C)</f>
        <v>Electronics</v>
      </c>
    </row>
    <row r="1607" spans="1:12" x14ac:dyDescent="0.3">
      <c r="A1607">
        <v>1606</v>
      </c>
      <c r="B1607">
        <v>1118</v>
      </c>
      <c r="C1607">
        <v>71</v>
      </c>
      <c r="D1607" t="s">
        <v>1384</v>
      </c>
      <c r="E1607">
        <f t="shared" si="75"/>
        <v>2023</v>
      </c>
      <c r="F1607" t="str">
        <f t="shared" si="76"/>
        <v>Feb</v>
      </c>
      <c r="G1607">
        <v>2</v>
      </c>
      <c r="H1607">
        <f>_xlfn.XLOOKUP(C1607,Products!A:A,Products!D:D)</f>
        <v>780.27</v>
      </c>
      <c r="I1607">
        <v>5</v>
      </c>
      <c r="J1607">
        <f t="shared" si="77"/>
        <v>1482.5129999999999</v>
      </c>
      <c r="K1607" t="s">
        <v>2024</v>
      </c>
      <c r="L1607" t="str">
        <f>_xlfn.XLOOKUP(Orders[[#This Row],[ProductID]],Products!A:A,Products!C:C)</f>
        <v>Electronics</v>
      </c>
    </row>
    <row r="1608" spans="1:12" x14ac:dyDescent="0.3">
      <c r="A1608">
        <v>1607</v>
      </c>
      <c r="B1608">
        <v>1118</v>
      </c>
      <c r="C1608">
        <v>19</v>
      </c>
      <c r="D1608" t="s">
        <v>987</v>
      </c>
      <c r="E1608">
        <f t="shared" si="75"/>
        <v>2023</v>
      </c>
      <c r="F1608" t="str">
        <f t="shared" si="76"/>
        <v>May</v>
      </c>
      <c r="G1608">
        <v>2</v>
      </c>
      <c r="H1608">
        <f>_xlfn.XLOOKUP(C1608,Products!A:A,Products!D:D)</f>
        <v>262.97000000000003</v>
      </c>
      <c r="I1608">
        <v>5</v>
      </c>
      <c r="J1608">
        <f t="shared" si="77"/>
        <v>499.64300000000003</v>
      </c>
      <c r="K1608" t="s">
        <v>2017</v>
      </c>
      <c r="L1608" t="str">
        <f>_xlfn.XLOOKUP(Orders[[#This Row],[ProductID]],Products!A:A,Products!C:C)</f>
        <v>Beauty</v>
      </c>
    </row>
    <row r="1609" spans="1:12" x14ac:dyDescent="0.3">
      <c r="A1609">
        <v>1608</v>
      </c>
      <c r="B1609">
        <v>1119</v>
      </c>
      <c r="C1609">
        <v>6</v>
      </c>
      <c r="D1609" t="s">
        <v>337</v>
      </c>
      <c r="E1609">
        <f t="shared" si="75"/>
        <v>2023</v>
      </c>
      <c r="F1609" t="str">
        <f t="shared" si="76"/>
        <v>Jul</v>
      </c>
      <c r="G1609">
        <v>1</v>
      </c>
      <c r="H1609">
        <f>_xlfn.XLOOKUP(C1609,Products!A:A,Products!D:D)</f>
        <v>719.19</v>
      </c>
      <c r="I1609">
        <v>15</v>
      </c>
      <c r="J1609">
        <f t="shared" si="77"/>
        <v>611.31150000000002</v>
      </c>
      <c r="K1609" t="s">
        <v>2015</v>
      </c>
      <c r="L1609" t="str">
        <f>_xlfn.XLOOKUP(Orders[[#This Row],[ProductID]],Products!A:A,Products!C:C)</f>
        <v>Clothing</v>
      </c>
    </row>
    <row r="1610" spans="1:12" x14ac:dyDescent="0.3">
      <c r="A1610">
        <v>1609</v>
      </c>
      <c r="B1610">
        <v>1119</v>
      </c>
      <c r="C1610">
        <v>13</v>
      </c>
      <c r="D1610" t="s">
        <v>2162</v>
      </c>
      <c r="E1610">
        <f t="shared" si="75"/>
        <v>2024</v>
      </c>
      <c r="F1610" t="str">
        <f t="shared" si="76"/>
        <v>Mar</v>
      </c>
      <c r="G1610">
        <v>3</v>
      </c>
      <c r="H1610">
        <f>_xlfn.XLOOKUP(C1610,Products!A:A,Products!D:D)</f>
        <v>334.61</v>
      </c>
      <c r="I1610">
        <v>0</v>
      </c>
      <c r="J1610">
        <f t="shared" si="77"/>
        <v>1003.83</v>
      </c>
      <c r="K1610" t="s">
        <v>2024</v>
      </c>
      <c r="L1610" t="str">
        <f>_xlfn.XLOOKUP(Orders[[#This Row],[ProductID]],Products!A:A,Products!C:C)</f>
        <v>Home</v>
      </c>
    </row>
    <row r="1611" spans="1:12" x14ac:dyDescent="0.3">
      <c r="A1611">
        <v>1610</v>
      </c>
      <c r="B1611">
        <v>1119</v>
      </c>
      <c r="C1611">
        <v>68</v>
      </c>
      <c r="D1611" t="s">
        <v>710</v>
      </c>
      <c r="E1611">
        <f t="shared" si="75"/>
        <v>2023</v>
      </c>
      <c r="F1611" t="str">
        <f t="shared" si="76"/>
        <v>Oct</v>
      </c>
      <c r="G1611">
        <v>3</v>
      </c>
      <c r="H1611">
        <f>_xlfn.XLOOKUP(C1611,Products!A:A,Products!D:D)</f>
        <v>180.99</v>
      </c>
      <c r="I1611">
        <v>20</v>
      </c>
      <c r="J1611">
        <f t="shared" si="77"/>
        <v>434.37600000000003</v>
      </c>
      <c r="K1611" t="s">
        <v>2015</v>
      </c>
      <c r="L1611" t="str">
        <f>_xlfn.XLOOKUP(Orders[[#This Row],[ProductID]],Products!A:A,Products!C:C)</f>
        <v>Clothing</v>
      </c>
    </row>
    <row r="1612" spans="1:12" x14ac:dyDescent="0.3">
      <c r="A1612">
        <v>1611</v>
      </c>
      <c r="B1612">
        <v>1119</v>
      </c>
      <c r="C1612">
        <v>51</v>
      </c>
      <c r="D1612" t="s">
        <v>2140</v>
      </c>
      <c r="E1612">
        <f t="shared" si="75"/>
        <v>2024</v>
      </c>
      <c r="F1612" t="str">
        <f t="shared" si="76"/>
        <v>Jan</v>
      </c>
      <c r="G1612">
        <v>3</v>
      </c>
      <c r="H1612">
        <f>_xlfn.XLOOKUP(C1612,Products!A:A,Products!D:D)</f>
        <v>759.57</v>
      </c>
      <c r="I1612">
        <v>5</v>
      </c>
      <c r="J1612">
        <f t="shared" si="77"/>
        <v>2164.7745</v>
      </c>
      <c r="K1612" t="s">
        <v>2024</v>
      </c>
      <c r="L1612" t="str">
        <f>_xlfn.XLOOKUP(Orders[[#This Row],[ProductID]],Products!A:A,Products!C:C)</f>
        <v>Beauty</v>
      </c>
    </row>
    <row r="1613" spans="1:12" x14ac:dyDescent="0.3">
      <c r="A1613">
        <v>1612</v>
      </c>
      <c r="B1613">
        <v>1120</v>
      </c>
      <c r="C1613">
        <v>42</v>
      </c>
      <c r="D1613" t="s">
        <v>1958</v>
      </c>
      <c r="E1613">
        <f t="shared" si="75"/>
        <v>2023</v>
      </c>
      <c r="F1613" t="str">
        <f t="shared" si="76"/>
        <v>Mar</v>
      </c>
      <c r="G1613">
        <v>2</v>
      </c>
      <c r="H1613">
        <f>_xlfn.XLOOKUP(C1613,Products!A:A,Products!D:D)</f>
        <v>233.11</v>
      </c>
      <c r="I1613">
        <v>5</v>
      </c>
      <c r="J1613">
        <f t="shared" si="77"/>
        <v>442.90899999999999</v>
      </c>
      <c r="K1613" t="s">
        <v>2024</v>
      </c>
      <c r="L1613" t="str">
        <f>_xlfn.XLOOKUP(Orders[[#This Row],[ProductID]],Products!A:A,Products!C:C)</f>
        <v>Home</v>
      </c>
    </row>
    <row r="1614" spans="1:12" x14ac:dyDescent="0.3">
      <c r="A1614">
        <v>1613</v>
      </c>
      <c r="B1614">
        <v>1120</v>
      </c>
      <c r="C1614">
        <v>55</v>
      </c>
      <c r="D1614" t="s">
        <v>1586</v>
      </c>
      <c r="E1614">
        <f t="shared" si="75"/>
        <v>2023</v>
      </c>
      <c r="F1614" t="str">
        <f t="shared" si="76"/>
        <v>Jul</v>
      </c>
      <c r="G1614">
        <v>2</v>
      </c>
      <c r="H1614">
        <f>_xlfn.XLOOKUP(C1614,Products!A:A,Products!D:D)</f>
        <v>1016.06</v>
      </c>
      <c r="I1614">
        <v>15</v>
      </c>
      <c r="J1614">
        <f t="shared" si="77"/>
        <v>1727.3019999999999</v>
      </c>
      <c r="K1614" t="s">
        <v>2019</v>
      </c>
      <c r="L1614" t="str">
        <f>_xlfn.XLOOKUP(Orders[[#This Row],[ProductID]],Products!A:A,Products!C:C)</f>
        <v>Clothing</v>
      </c>
    </row>
    <row r="1615" spans="1:12" x14ac:dyDescent="0.3">
      <c r="A1615">
        <v>1614</v>
      </c>
      <c r="B1615">
        <v>1120</v>
      </c>
      <c r="C1615">
        <v>63</v>
      </c>
      <c r="D1615" t="s">
        <v>714</v>
      </c>
      <c r="E1615">
        <f t="shared" si="75"/>
        <v>2023</v>
      </c>
      <c r="F1615" t="str">
        <f t="shared" si="76"/>
        <v>Jan</v>
      </c>
      <c r="G1615">
        <v>2</v>
      </c>
      <c r="H1615">
        <f>_xlfn.XLOOKUP(C1615,Products!A:A,Products!D:D)</f>
        <v>309.79000000000002</v>
      </c>
      <c r="I1615">
        <v>0</v>
      </c>
      <c r="J1615">
        <f t="shared" si="77"/>
        <v>619.58000000000004</v>
      </c>
      <c r="K1615" t="s">
        <v>2024</v>
      </c>
      <c r="L1615" t="str">
        <f>_xlfn.XLOOKUP(Orders[[#This Row],[ProductID]],Products!A:A,Products!C:C)</f>
        <v>Electronics</v>
      </c>
    </row>
    <row r="1616" spans="1:12" x14ac:dyDescent="0.3">
      <c r="A1616">
        <v>1615</v>
      </c>
      <c r="B1616">
        <v>1120</v>
      </c>
      <c r="C1616">
        <v>72</v>
      </c>
      <c r="D1616" t="s">
        <v>2174</v>
      </c>
      <c r="E1616">
        <f t="shared" si="75"/>
        <v>2023</v>
      </c>
      <c r="F1616" t="str">
        <f t="shared" si="76"/>
        <v>Sep</v>
      </c>
      <c r="G1616">
        <v>3</v>
      </c>
      <c r="H1616">
        <f>_xlfn.XLOOKUP(C1616,Products!A:A,Products!D:D)</f>
        <v>1157.27</v>
      </c>
      <c r="I1616">
        <v>15</v>
      </c>
      <c r="J1616">
        <f t="shared" si="77"/>
        <v>2951.0384999999997</v>
      </c>
      <c r="K1616" t="s">
        <v>2024</v>
      </c>
      <c r="L1616" t="str">
        <f>_xlfn.XLOOKUP(Orders[[#This Row],[ProductID]],Products!A:A,Products!C:C)</f>
        <v>Electronics</v>
      </c>
    </row>
    <row r="1617" spans="1:12" x14ac:dyDescent="0.3">
      <c r="A1617">
        <v>1616</v>
      </c>
      <c r="B1617">
        <v>1121</v>
      </c>
      <c r="C1617">
        <v>64</v>
      </c>
      <c r="D1617" t="s">
        <v>2105</v>
      </c>
      <c r="E1617">
        <f t="shared" si="75"/>
        <v>2024</v>
      </c>
      <c r="F1617" t="str">
        <f t="shared" si="76"/>
        <v>Feb</v>
      </c>
      <c r="G1617">
        <v>2</v>
      </c>
      <c r="H1617">
        <f>_xlfn.XLOOKUP(C1617,Products!A:A,Products!D:D)</f>
        <v>567.71</v>
      </c>
      <c r="I1617">
        <v>0</v>
      </c>
      <c r="J1617">
        <f t="shared" si="77"/>
        <v>1135.42</v>
      </c>
      <c r="K1617" t="s">
        <v>2015</v>
      </c>
      <c r="L1617" t="str">
        <f>_xlfn.XLOOKUP(Orders[[#This Row],[ProductID]],Products!A:A,Products!C:C)</f>
        <v>Clothing</v>
      </c>
    </row>
    <row r="1618" spans="1:12" x14ac:dyDescent="0.3">
      <c r="A1618">
        <v>1617</v>
      </c>
      <c r="B1618">
        <v>1121</v>
      </c>
      <c r="C1618">
        <v>6</v>
      </c>
      <c r="D1618" t="s">
        <v>606</v>
      </c>
      <c r="E1618">
        <f t="shared" si="75"/>
        <v>2023</v>
      </c>
      <c r="F1618" t="str">
        <f t="shared" si="76"/>
        <v>Apr</v>
      </c>
      <c r="G1618">
        <v>1</v>
      </c>
      <c r="H1618">
        <f>_xlfn.XLOOKUP(C1618,Products!A:A,Products!D:D)</f>
        <v>719.19</v>
      </c>
      <c r="I1618">
        <v>10</v>
      </c>
      <c r="J1618">
        <f t="shared" si="77"/>
        <v>647.27100000000007</v>
      </c>
      <c r="K1618" t="s">
        <v>2015</v>
      </c>
      <c r="L1618" t="str">
        <f>_xlfn.XLOOKUP(Orders[[#This Row],[ProductID]],Products!A:A,Products!C:C)</f>
        <v>Clothing</v>
      </c>
    </row>
    <row r="1619" spans="1:12" x14ac:dyDescent="0.3">
      <c r="A1619">
        <v>1618</v>
      </c>
      <c r="B1619">
        <v>1121</v>
      </c>
      <c r="C1619">
        <v>74</v>
      </c>
      <c r="D1619" t="s">
        <v>597</v>
      </c>
      <c r="E1619">
        <f t="shared" si="75"/>
        <v>2023</v>
      </c>
      <c r="F1619" t="str">
        <f t="shared" si="76"/>
        <v>Oct</v>
      </c>
      <c r="G1619">
        <v>1</v>
      </c>
      <c r="H1619">
        <f>_xlfn.XLOOKUP(C1619,Products!A:A,Products!D:D)</f>
        <v>1034.31</v>
      </c>
      <c r="I1619">
        <v>10</v>
      </c>
      <c r="J1619">
        <f t="shared" si="77"/>
        <v>930.87900000000002</v>
      </c>
      <c r="K1619" t="s">
        <v>2019</v>
      </c>
      <c r="L1619" t="str">
        <f>_xlfn.XLOOKUP(Orders[[#This Row],[ProductID]],Products!A:A,Products!C:C)</f>
        <v>Electronics</v>
      </c>
    </row>
    <row r="1620" spans="1:12" x14ac:dyDescent="0.3">
      <c r="A1620">
        <v>1619</v>
      </c>
      <c r="B1620">
        <v>1122</v>
      </c>
      <c r="C1620">
        <v>69</v>
      </c>
      <c r="D1620" t="s">
        <v>41</v>
      </c>
      <c r="E1620">
        <f t="shared" si="75"/>
        <v>2023</v>
      </c>
      <c r="F1620" t="str">
        <f t="shared" si="76"/>
        <v>Jan</v>
      </c>
      <c r="G1620">
        <v>1</v>
      </c>
      <c r="H1620">
        <f>_xlfn.XLOOKUP(C1620,Products!A:A,Products!D:D)</f>
        <v>951.81</v>
      </c>
      <c r="I1620">
        <v>10</v>
      </c>
      <c r="J1620">
        <f t="shared" si="77"/>
        <v>856.62900000000002</v>
      </c>
      <c r="K1620" t="s">
        <v>2017</v>
      </c>
      <c r="L1620" t="str">
        <f>_xlfn.XLOOKUP(Orders[[#This Row],[ProductID]],Products!A:A,Products!C:C)</f>
        <v>Clothing</v>
      </c>
    </row>
    <row r="1621" spans="1:12" x14ac:dyDescent="0.3">
      <c r="A1621">
        <v>1620</v>
      </c>
      <c r="B1621">
        <v>1122</v>
      </c>
      <c r="C1621">
        <v>25</v>
      </c>
      <c r="D1621" t="s">
        <v>575</v>
      </c>
      <c r="E1621">
        <f t="shared" si="75"/>
        <v>2023</v>
      </c>
      <c r="F1621" t="str">
        <f t="shared" si="76"/>
        <v>Jun</v>
      </c>
      <c r="G1621">
        <v>3</v>
      </c>
      <c r="H1621">
        <f>_xlfn.XLOOKUP(C1621,Products!A:A,Products!D:D)</f>
        <v>1011.65</v>
      </c>
      <c r="I1621">
        <v>0</v>
      </c>
      <c r="J1621">
        <f t="shared" si="77"/>
        <v>3034.95</v>
      </c>
      <c r="K1621" t="s">
        <v>2017</v>
      </c>
      <c r="L1621" t="str">
        <f>_xlfn.XLOOKUP(Orders[[#This Row],[ProductID]],Products!A:A,Products!C:C)</f>
        <v>Electronics</v>
      </c>
    </row>
    <row r="1622" spans="1:12" x14ac:dyDescent="0.3">
      <c r="A1622">
        <v>1621</v>
      </c>
      <c r="B1622">
        <v>1122</v>
      </c>
      <c r="C1622">
        <v>66</v>
      </c>
      <c r="D1622" t="s">
        <v>1305</v>
      </c>
      <c r="E1622">
        <f t="shared" si="75"/>
        <v>2023</v>
      </c>
      <c r="F1622" t="str">
        <f t="shared" si="76"/>
        <v>Sep</v>
      </c>
      <c r="G1622">
        <v>1</v>
      </c>
      <c r="H1622">
        <f>_xlfn.XLOOKUP(C1622,Products!A:A,Products!D:D)</f>
        <v>783.37</v>
      </c>
      <c r="I1622">
        <v>20</v>
      </c>
      <c r="J1622">
        <f t="shared" si="77"/>
        <v>626.69600000000003</v>
      </c>
      <c r="K1622" t="s">
        <v>2024</v>
      </c>
      <c r="L1622" t="str">
        <f>_xlfn.XLOOKUP(Orders[[#This Row],[ProductID]],Products!A:A,Products!C:C)</f>
        <v>Home</v>
      </c>
    </row>
    <row r="1623" spans="1:12" x14ac:dyDescent="0.3">
      <c r="A1623">
        <v>1622</v>
      </c>
      <c r="B1623">
        <v>1123</v>
      </c>
      <c r="C1623">
        <v>6</v>
      </c>
      <c r="D1623" t="s">
        <v>2125</v>
      </c>
      <c r="E1623">
        <f t="shared" si="75"/>
        <v>2024</v>
      </c>
      <c r="F1623" t="str">
        <f t="shared" si="76"/>
        <v>Apr</v>
      </c>
      <c r="G1623">
        <v>1</v>
      </c>
      <c r="H1623">
        <f>_xlfn.XLOOKUP(C1623,Products!A:A,Products!D:D)</f>
        <v>719.19</v>
      </c>
      <c r="I1623">
        <v>0</v>
      </c>
      <c r="J1623">
        <f t="shared" si="77"/>
        <v>719.19</v>
      </c>
      <c r="K1623" t="s">
        <v>2017</v>
      </c>
      <c r="L1623" t="str">
        <f>_xlfn.XLOOKUP(Orders[[#This Row],[ProductID]],Products!A:A,Products!C:C)</f>
        <v>Clothing</v>
      </c>
    </row>
    <row r="1624" spans="1:12" x14ac:dyDescent="0.3">
      <c r="A1624">
        <v>1623</v>
      </c>
      <c r="B1624">
        <v>1123</v>
      </c>
      <c r="C1624">
        <v>24</v>
      </c>
      <c r="D1624" t="s">
        <v>2086</v>
      </c>
      <c r="E1624">
        <f t="shared" si="75"/>
        <v>2024</v>
      </c>
      <c r="F1624" t="str">
        <f t="shared" si="76"/>
        <v>Apr</v>
      </c>
      <c r="G1624">
        <v>1</v>
      </c>
      <c r="H1624">
        <f>_xlfn.XLOOKUP(C1624,Products!A:A,Products!D:D)</f>
        <v>1019.85</v>
      </c>
      <c r="I1624">
        <v>10</v>
      </c>
      <c r="J1624">
        <f t="shared" si="77"/>
        <v>917.86500000000001</v>
      </c>
      <c r="K1624" t="s">
        <v>2019</v>
      </c>
      <c r="L1624" t="str">
        <f>_xlfn.XLOOKUP(Orders[[#This Row],[ProductID]],Products!A:A,Products!C:C)</f>
        <v>Beauty</v>
      </c>
    </row>
    <row r="1625" spans="1:12" x14ac:dyDescent="0.3">
      <c r="A1625">
        <v>1624</v>
      </c>
      <c r="B1625">
        <v>1123</v>
      </c>
      <c r="C1625">
        <v>27</v>
      </c>
      <c r="D1625" t="s">
        <v>1758</v>
      </c>
      <c r="E1625">
        <f t="shared" si="75"/>
        <v>2023</v>
      </c>
      <c r="F1625" t="str">
        <f t="shared" si="76"/>
        <v>Sep</v>
      </c>
      <c r="G1625">
        <v>1</v>
      </c>
      <c r="H1625">
        <f>_xlfn.XLOOKUP(C1625,Products!A:A,Products!D:D)</f>
        <v>76.09</v>
      </c>
      <c r="I1625">
        <v>20</v>
      </c>
      <c r="J1625">
        <f t="shared" si="77"/>
        <v>60.872000000000007</v>
      </c>
      <c r="K1625" t="s">
        <v>2015</v>
      </c>
      <c r="L1625" t="str">
        <f>_xlfn.XLOOKUP(Orders[[#This Row],[ProductID]],Products!A:A,Products!C:C)</f>
        <v>Clothing</v>
      </c>
    </row>
    <row r="1626" spans="1:12" x14ac:dyDescent="0.3">
      <c r="A1626">
        <v>1625</v>
      </c>
      <c r="B1626">
        <v>1123</v>
      </c>
      <c r="C1626">
        <v>2</v>
      </c>
      <c r="D1626" t="s">
        <v>2171</v>
      </c>
      <c r="E1626">
        <f t="shared" si="75"/>
        <v>2023</v>
      </c>
      <c r="F1626" t="str">
        <f t="shared" si="76"/>
        <v>Jan</v>
      </c>
      <c r="G1626">
        <v>2</v>
      </c>
      <c r="H1626">
        <f>_xlfn.XLOOKUP(C1626,Products!A:A,Products!D:D)</f>
        <v>427.27</v>
      </c>
      <c r="I1626">
        <v>5</v>
      </c>
      <c r="J1626">
        <f t="shared" si="77"/>
        <v>811.81299999999987</v>
      </c>
      <c r="K1626" t="s">
        <v>2019</v>
      </c>
      <c r="L1626" t="str">
        <f>_xlfn.XLOOKUP(Orders[[#This Row],[ProductID]],Products!A:A,Products!C:C)</f>
        <v>Home</v>
      </c>
    </row>
    <row r="1627" spans="1:12" x14ac:dyDescent="0.3">
      <c r="A1627">
        <v>1626</v>
      </c>
      <c r="B1627">
        <v>1124</v>
      </c>
      <c r="C1627">
        <v>38</v>
      </c>
      <c r="D1627" t="s">
        <v>1013</v>
      </c>
      <c r="E1627">
        <f t="shared" si="75"/>
        <v>2023</v>
      </c>
      <c r="F1627" t="str">
        <f t="shared" si="76"/>
        <v>Jan</v>
      </c>
      <c r="G1627">
        <v>1</v>
      </c>
      <c r="H1627">
        <f>_xlfn.XLOOKUP(C1627,Products!A:A,Products!D:D)</f>
        <v>802.88</v>
      </c>
      <c r="I1627">
        <v>10</v>
      </c>
      <c r="J1627">
        <f t="shared" si="77"/>
        <v>722.59199999999998</v>
      </c>
      <c r="K1627" t="s">
        <v>2021</v>
      </c>
      <c r="L1627" t="str">
        <f>_xlfn.XLOOKUP(Orders[[#This Row],[ProductID]],Products!A:A,Products!C:C)</f>
        <v>Home</v>
      </c>
    </row>
    <row r="1628" spans="1:12" x14ac:dyDescent="0.3">
      <c r="A1628">
        <v>1627</v>
      </c>
      <c r="B1628">
        <v>1124</v>
      </c>
      <c r="C1628">
        <v>50</v>
      </c>
      <c r="D1628" t="s">
        <v>2052</v>
      </c>
      <c r="E1628">
        <f t="shared" si="75"/>
        <v>2024</v>
      </c>
      <c r="F1628" t="str">
        <f t="shared" si="76"/>
        <v>Feb</v>
      </c>
      <c r="G1628">
        <v>1</v>
      </c>
      <c r="H1628">
        <f>_xlfn.XLOOKUP(C1628,Products!A:A,Products!D:D)</f>
        <v>1122.8699999999999</v>
      </c>
      <c r="I1628">
        <v>10</v>
      </c>
      <c r="J1628">
        <f t="shared" si="77"/>
        <v>1010.583</v>
      </c>
      <c r="K1628" t="s">
        <v>2017</v>
      </c>
      <c r="L1628" t="str">
        <f>_xlfn.XLOOKUP(Orders[[#This Row],[ProductID]],Products!A:A,Products!C:C)</f>
        <v>Home</v>
      </c>
    </row>
    <row r="1629" spans="1:12" x14ac:dyDescent="0.3">
      <c r="A1629">
        <v>1628</v>
      </c>
      <c r="B1629">
        <v>1124</v>
      </c>
      <c r="C1629">
        <v>6</v>
      </c>
      <c r="D1629" t="s">
        <v>927</v>
      </c>
      <c r="E1629">
        <f t="shared" si="75"/>
        <v>2023</v>
      </c>
      <c r="F1629" t="str">
        <f t="shared" si="76"/>
        <v>Mar</v>
      </c>
      <c r="G1629">
        <v>1</v>
      </c>
      <c r="H1629">
        <f>_xlfn.XLOOKUP(C1629,Products!A:A,Products!D:D)</f>
        <v>719.19</v>
      </c>
      <c r="I1629">
        <v>20</v>
      </c>
      <c r="J1629">
        <f t="shared" si="77"/>
        <v>575.35200000000009</v>
      </c>
      <c r="K1629" t="s">
        <v>2021</v>
      </c>
      <c r="L1629" t="str">
        <f>_xlfn.XLOOKUP(Orders[[#This Row],[ProductID]],Products!A:A,Products!C:C)</f>
        <v>Clothing</v>
      </c>
    </row>
    <row r="1630" spans="1:12" x14ac:dyDescent="0.3">
      <c r="A1630">
        <v>1629</v>
      </c>
      <c r="B1630">
        <v>1124</v>
      </c>
      <c r="C1630">
        <v>80</v>
      </c>
      <c r="D1630" t="s">
        <v>2220</v>
      </c>
      <c r="E1630">
        <f t="shared" si="75"/>
        <v>2023</v>
      </c>
      <c r="F1630" t="str">
        <f t="shared" si="76"/>
        <v>Dec</v>
      </c>
      <c r="G1630">
        <v>2</v>
      </c>
      <c r="H1630">
        <f>_xlfn.XLOOKUP(C1630,Products!A:A,Products!D:D)</f>
        <v>1014.45</v>
      </c>
      <c r="I1630">
        <v>15</v>
      </c>
      <c r="J1630">
        <f t="shared" si="77"/>
        <v>1724.5650000000001</v>
      </c>
      <c r="K1630" t="s">
        <v>2015</v>
      </c>
      <c r="L1630" t="str">
        <f>_xlfn.XLOOKUP(Orders[[#This Row],[ProductID]],Products!A:A,Products!C:C)</f>
        <v>Beauty</v>
      </c>
    </row>
    <row r="1631" spans="1:12" x14ac:dyDescent="0.3">
      <c r="A1631">
        <v>1630</v>
      </c>
      <c r="B1631">
        <v>1125</v>
      </c>
      <c r="C1631">
        <v>40</v>
      </c>
      <c r="D1631" t="s">
        <v>1588</v>
      </c>
      <c r="E1631">
        <f t="shared" si="75"/>
        <v>2023</v>
      </c>
      <c r="F1631" t="str">
        <f t="shared" si="76"/>
        <v>Apr</v>
      </c>
      <c r="G1631">
        <v>3</v>
      </c>
      <c r="H1631">
        <f>_xlfn.XLOOKUP(C1631,Products!A:A,Products!D:D)</f>
        <v>316.49</v>
      </c>
      <c r="I1631">
        <v>10</v>
      </c>
      <c r="J1631">
        <f t="shared" si="77"/>
        <v>854.52300000000002</v>
      </c>
      <c r="K1631" t="s">
        <v>2017</v>
      </c>
      <c r="L1631" t="str">
        <f>_xlfn.XLOOKUP(Orders[[#This Row],[ProductID]],Products!A:A,Products!C:C)</f>
        <v>Home</v>
      </c>
    </row>
    <row r="1632" spans="1:12" x14ac:dyDescent="0.3">
      <c r="A1632">
        <v>1631</v>
      </c>
      <c r="B1632">
        <v>1125</v>
      </c>
      <c r="C1632">
        <v>2</v>
      </c>
      <c r="D1632" t="s">
        <v>594</v>
      </c>
      <c r="E1632">
        <f t="shared" si="75"/>
        <v>2023</v>
      </c>
      <c r="F1632" t="str">
        <f t="shared" si="76"/>
        <v>Aug</v>
      </c>
      <c r="G1632">
        <v>2</v>
      </c>
      <c r="H1632">
        <f>_xlfn.XLOOKUP(C1632,Products!A:A,Products!D:D)</f>
        <v>427.27</v>
      </c>
      <c r="I1632">
        <v>15</v>
      </c>
      <c r="J1632">
        <f t="shared" si="77"/>
        <v>726.35899999999992</v>
      </c>
      <c r="K1632" t="s">
        <v>2024</v>
      </c>
      <c r="L1632" t="str">
        <f>_xlfn.XLOOKUP(Orders[[#This Row],[ProductID]],Products!A:A,Products!C:C)</f>
        <v>Home</v>
      </c>
    </row>
    <row r="1633" spans="1:12" x14ac:dyDescent="0.3">
      <c r="A1633">
        <v>1632</v>
      </c>
      <c r="B1633">
        <v>1125</v>
      </c>
      <c r="C1633">
        <v>25</v>
      </c>
      <c r="D1633" t="s">
        <v>2168</v>
      </c>
      <c r="E1633">
        <f t="shared" si="75"/>
        <v>2024</v>
      </c>
      <c r="F1633" t="str">
        <f t="shared" si="76"/>
        <v>Feb</v>
      </c>
      <c r="G1633">
        <v>2</v>
      </c>
      <c r="H1633">
        <f>_xlfn.XLOOKUP(C1633,Products!A:A,Products!D:D)</f>
        <v>1011.65</v>
      </c>
      <c r="I1633">
        <v>10</v>
      </c>
      <c r="J1633">
        <f t="shared" si="77"/>
        <v>1820.97</v>
      </c>
      <c r="K1633" t="s">
        <v>2015</v>
      </c>
      <c r="L1633" t="str">
        <f>_xlfn.XLOOKUP(Orders[[#This Row],[ProductID]],Products!A:A,Products!C:C)</f>
        <v>Electronics</v>
      </c>
    </row>
    <row r="1634" spans="1:12" x14ac:dyDescent="0.3">
      <c r="A1634">
        <v>1633</v>
      </c>
      <c r="B1634">
        <v>1126</v>
      </c>
      <c r="C1634">
        <v>2</v>
      </c>
      <c r="D1634" t="s">
        <v>2100</v>
      </c>
      <c r="E1634">
        <f t="shared" si="75"/>
        <v>2023</v>
      </c>
      <c r="F1634" t="str">
        <f t="shared" si="76"/>
        <v>Nov</v>
      </c>
      <c r="G1634">
        <v>3</v>
      </c>
      <c r="H1634">
        <f>_xlfn.XLOOKUP(C1634,Products!A:A,Products!D:D)</f>
        <v>427.27</v>
      </c>
      <c r="I1634">
        <v>15</v>
      </c>
      <c r="J1634">
        <f t="shared" si="77"/>
        <v>1089.5384999999999</v>
      </c>
      <c r="K1634" t="s">
        <v>2019</v>
      </c>
      <c r="L1634" t="str">
        <f>_xlfn.XLOOKUP(Orders[[#This Row],[ProductID]],Products!A:A,Products!C:C)</f>
        <v>Home</v>
      </c>
    </row>
    <row r="1635" spans="1:12" x14ac:dyDescent="0.3">
      <c r="A1635">
        <v>1634</v>
      </c>
      <c r="B1635">
        <v>1126</v>
      </c>
      <c r="C1635">
        <v>58</v>
      </c>
      <c r="D1635" t="s">
        <v>262</v>
      </c>
      <c r="E1635">
        <f t="shared" si="75"/>
        <v>2023</v>
      </c>
      <c r="F1635" t="str">
        <f t="shared" si="76"/>
        <v>Mar</v>
      </c>
      <c r="G1635">
        <v>3</v>
      </c>
      <c r="H1635">
        <f>_xlfn.XLOOKUP(C1635,Products!A:A,Products!D:D)</f>
        <v>334.98</v>
      </c>
      <c r="I1635">
        <v>5</v>
      </c>
      <c r="J1635">
        <f t="shared" si="77"/>
        <v>954.69299999999998</v>
      </c>
      <c r="K1635" t="s">
        <v>2019</v>
      </c>
      <c r="L1635" t="str">
        <f>_xlfn.XLOOKUP(Orders[[#This Row],[ProductID]],Products!A:A,Products!C:C)</f>
        <v>Home</v>
      </c>
    </row>
    <row r="1636" spans="1:12" x14ac:dyDescent="0.3">
      <c r="A1636">
        <v>1635</v>
      </c>
      <c r="B1636">
        <v>1126</v>
      </c>
      <c r="C1636">
        <v>15</v>
      </c>
      <c r="D1636" t="s">
        <v>414</v>
      </c>
      <c r="E1636">
        <f t="shared" si="75"/>
        <v>2023</v>
      </c>
      <c r="F1636" t="str">
        <f t="shared" si="76"/>
        <v>Mar</v>
      </c>
      <c r="G1636">
        <v>1</v>
      </c>
      <c r="H1636">
        <f>_xlfn.XLOOKUP(C1636,Products!A:A,Products!D:D)</f>
        <v>1183.2</v>
      </c>
      <c r="I1636">
        <v>15</v>
      </c>
      <c r="J1636">
        <f t="shared" si="77"/>
        <v>1005.72</v>
      </c>
      <c r="K1636" t="s">
        <v>2019</v>
      </c>
      <c r="L1636" t="str">
        <f>_xlfn.XLOOKUP(Orders[[#This Row],[ProductID]],Products!A:A,Products!C:C)</f>
        <v>Electronics</v>
      </c>
    </row>
    <row r="1637" spans="1:12" x14ac:dyDescent="0.3">
      <c r="A1637">
        <v>1636</v>
      </c>
      <c r="B1637">
        <v>1126</v>
      </c>
      <c r="C1637">
        <v>24</v>
      </c>
      <c r="D1637" t="s">
        <v>524</v>
      </c>
      <c r="E1637">
        <f t="shared" si="75"/>
        <v>2023</v>
      </c>
      <c r="F1637" t="str">
        <f t="shared" si="76"/>
        <v>Oct</v>
      </c>
      <c r="G1637">
        <v>2</v>
      </c>
      <c r="H1637">
        <f>_xlfn.XLOOKUP(C1637,Products!A:A,Products!D:D)</f>
        <v>1019.85</v>
      </c>
      <c r="I1637">
        <v>5</v>
      </c>
      <c r="J1637">
        <f t="shared" si="77"/>
        <v>1937.7149999999999</v>
      </c>
      <c r="K1637" t="s">
        <v>2024</v>
      </c>
      <c r="L1637" t="str">
        <f>_xlfn.XLOOKUP(Orders[[#This Row],[ProductID]],Products!A:A,Products!C:C)</f>
        <v>Beauty</v>
      </c>
    </row>
    <row r="1638" spans="1:12" x14ac:dyDescent="0.3">
      <c r="A1638">
        <v>1637</v>
      </c>
      <c r="B1638">
        <v>1127</v>
      </c>
      <c r="C1638">
        <v>51</v>
      </c>
      <c r="D1638" t="s">
        <v>2067</v>
      </c>
      <c r="E1638">
        <f t="shared" si="75"/>
        <v>2023</v>
      </c>
      <c r="F1638" t="str">
        <f t="shared" si="76"/>
        <v>May</v>
      </c>
      <c r="G1638">
        <v>3</v>
      </c>
      <c r="H1638">
        <f>_xlfn.XLOOKUP(C1638,Products!A:A,Products!D:D)</f>
        <v>759.57</v>
      </c>
      <c r="I1638">
        <v>10</v>
      </c>
      <c r="J1638">
        <f t="shared" si="77"/>
        <v>2050.8389999999999</v>
      </c>
      <c r="K1638" t="s">
        <v>2024</v>
      </c>
      <c r="L1638" t="str">
        <f>_xlfn.XLOOKUP(Orders[[#This Row],[ProductID]],Products!A:A,Products!C:C)</f>
        <v>Beauty</v>
      </c>
    </row>
    <row r="1639" spans="1:12" x14ac:dyDescent="0.3">
      <c r="A1639">
        <v>1638</v>
      </c>
      <c r="B1639">
        <v>1127</v>
      </c>
      <c r="C1639">
        <v>73</v>
      </c>
      <c r="D1639" t="s">
        <v>2016</v>
      </c>
      <c r="E1639">
        <f t="shared" si="75"/>
        <v>2023</v>
      </c>
      <c r="F1639" t="str">
        <f t="shared" si="76"/>
        <v>May</v>
      </c>
      <c r="G1639">
        <v>1</v>
      </c>
      <c r="H1639">
        <f>_xlfn.XLOOKUP(C1639,Products!A:A,Products!D:D)</f>
        <v>943.04</v>
      </c>
      <c r="I1639">
        <v>0</v>
      </c>
      <c r="J1639">
        <f t="shared" si="77"/>
        <v>943.04</v>
      </c>
      <c r="K1639" t="s">
        <v>2017</v>
      </c>
      <c r="L1639" t="str">
        <f>_xlfn.XLOOKUP(Orders[[#This Row],[ProductID]],Products!A:A,Products!C:C)</f>
        <v>Home</v>
      </c>
    </row>
    <row r="1640" spans="1:12" x14ac:dyDescent="0.3">
      <c r="A1640">
        <v>1639</v>
      </c>
      <c r="B1640">
        <v>1127</v>
      </c>
      <c r="C1640">
        <v>26</v>
      </c>
      <c r="D1640" t="s">
        <v>2081</v>
      </c>
      <c r="E1640">
        <f t="shared" si="75"/>
        <v>2024</v>
      </c>
      <c r="F1640" t="str">
        <f t="shared" si="76"/>
        <v>May</v>
      </c>
      <c r="G1640">
        <v>1</v>
      </c>
      <c r="H1640">
        <f>_xlfn.XLOOKUP(C1640,Products!A:A,Products!D:D)</f>
        <v>272.61</v>
      </c>
      <c r="I1640">
        <v>20</v>
      </c>
      <c r="J1640">
        <f t="shared" si="77"/>
        <v>218.08800000000002</v>
      </c>
      <c r="K1640" t="s">
        <v>2017</v>
      </c>
      <c r="L1640" t="str">
        <f>_xlfn.XLOOKUP(Orders[[#This Row],[ProductID]],Products!A:A,Products!C:C)</f>
        <v>Home</v>
      </c>
    </row>
    <row r="1641" spans="1:12" x14ac:dyDescent="0.3">
      <c r="A1641">
        <v>1640</v>
      </c>
      <c r="B1641">
        <v>1127</v>
      </c>
      <c r="C1641">
        <v>26</v>
      </c>
      <c r="D1641" t="s">
        <v>262</v>
      </c>
      <c r="E1641">
        <f t="shared" si="75"/>
        <v>2023</v>
      </c>
      <c r="F1641" t="str">
        <f t="shared" si="76"/>
        <v>Mar</v>
      </c>
      <c r="G1641">
        <v>3</v>
      </c>
      <c r="H1641">
        <f>_xlfn.XLOOKUP(C1641,Products!A:A,Products!D:D)</f>
        <v>272.61</v>
      </c>
      <c r="I1641">
        <v>0</v>
      </c>
      <c r="J1641">
        <f t="shared" si="77"/>
        <v>817.83</v>
      </c>
      <c r="K1641" t="s">
        <v>2017</v>
      </c>
      <c r="L1641" t="str">
        <f>_xlfn.XLOOKUP(Orders[[#This Row],[ProductID]],Products!A:A,Products!C:C)</f>
        <v>Home</v>
      </c>
    </row>
    <row r="1642" spans="1:12" x14ac:dyDescent="0.3">
      <c r="A1642">
        <v>1641</v>
      </c>
      <c r="B1642">
        <v>1128</v>
      </c>
      <c r="C1642">
        <v>62</v>
      </c>
      <c r="D1642" t="s">
        <v>1432</v>
      </c>
      <c r="E1642">
        <f t="shared" si="75"/>
        <v>2023</v>
      </c>
      <c r="F1642" t="str">
        <f t="shared" si="76"/>
        <v>Feb</v>
      </c>
      <c r="G1642">
        <v>1</v>
      </c>
      <c r="H1642">
        <f>_xlfn.XLOOKUP(C1642,Products!A:A,Products!D:D)</f>
        <v>196.96</v>
      </c>
      <c r="I1642">
        <v>5</v>
      </c>
      <c r="J1642">
        <f t="shared" si="77"/>
        <v>187.11199999999999</v>
      </c>
      <c r="K1642" t="s">
        <v>2019</v>
      </c>
      <c r="L1642" t="str">
        <f>_xlfn.XLOOKUP(Orders[[#This Row],[ProductID]],Products!A:A,Products!C:C)</f>
        <v>Electronics</v>
      </c>
    </row>
    <row r="1643" spans="1:12" x14ac:dyDescent="0.3">
      <c r="A1643">
        <v>1642</v>
      </c>
      <c r="B1643">
        <v>1128</v>
      </c>
      <c r="C1643">
        <v>50</v>
      </c>
      <c r="D1643" t="s">
        <v>19</v>
      </c>
      <c r="E1643">
        <f t="shared" si="75"/>
        <v>2023</v>
      </c>
      <c r="F1643" t="str">
        <f t="shared" si="76"/>
        <v>Apr</v>
      </c>
      <c r="G1643">
        <v>1</v>
      </c>
      <c r="H1643">
        <f>_xlfn.XLOOKUP(C1643,Products!A:A,Products!D:D)</f>
        <v>1122.8699999999999</v>
      </c>
      <c r="I1643">
        <v>0</v>
      </c>
      <c r="J1643">
        <f t="shared" si="77"/>
        <v>1122.8699999999999</v>
      </c>
      <c r="K1643" t="s">
        <v>2021</v>
      </c>
      <c r="L1643" t="str">
        <f>_xlfn.XLOOKUP(Orders[[#This Row],[ProductID]],Products!A:A,Products!C:C)</f>
        <v>Home</v>
      </c>
    </row>
    <row r="1644" spans="1:12" x14ac:dyDescent="0.3">
      <c r="A1644">
        <v>1643</v>
      </c>
      <c r="B1644">
        <v>1128</v>
      </c>
      <c r="C1644">
        <v>56</v>
      </c>
      <c r="D1644" t="s">
        <v>214</v>
      </c>
      <c r="E1644">
        <f t="shared" si="75"/>
        <v>2023</v>
      </c>
      <c r="F1644" t="str">
        <f t="shared" si="76"/>
        <v>Nov</v>
      </c>
      <c r="G1644">
        <v>2</v>
      </c>
      <c r="H1644">
        <f>_xlfn.XLOOKUP(C1644,Products!A:A,Products!D:D)</f>
        <v>396.01</v>
      </c>
      <c r="I1644">
        <v>15</v>
      </c>
      <c r="J1644">
        <f t="shared" si="77"/>
        <v>673.21699999999998</v>
      </c>
      <c r="K1644" t="s">
        <v>2021</v>
      </c>
      <c r="L1644" t="str">
        <f>_xlfn.XLOOKUP(Orders[[#This Row],[ProductID]],Products!A:A,Products!C:C)</f>
        <v>Home</v>
      </c>
    </row>
    <row r="1645" spans="1:12" x14ac:dyDescent="0.3">
      <c r="A1645">
        <v>1644</v>
      </c>
      <c r="B1645">
        <v>1129</v>
      </c>
      <c r="C1645">
        <v>57</v>
      </c>
      <c r="D1645" t="s">
        <v>528</v>
      </c>
      <c r="E1645">
        <f t="shared" si="75"/>
        <v>2023</v>
      </c>
      <c r="F1645" t="str">
        <f t="shared" si="76"/>
        <v>Nov</v>
      </c>
      <c r="G1645">
        <v>1</v>
      </c>
      <c r="H1645">
        <f>_xlfn.XLOOKUP(C1645,Products!A:A,Products!D:D)</f>
        <v>768.03</v>
      </c>
      <c r="I1645">
        <v>20</v>
      </c>
      <c r="J1645">
        <f t="shared" si="77"/>
        <v>614.42399999999998</v>
      </c>
      <c r="K1645" t="s">
        <v>2021</v>
      </c>
      <c r="L1645" t="str">
        <f>_xlfn.XLOOKUP(Orders[[#This Row],[ProductID]],Products!A:A,Products!C:C)</f>
        <v>Electronics</v>
      </c>
    </row>
    <row r="1646" spans="1:12" x14ac:dyDescent="0.3">
      <c r="A1646">
        <v>1645</v>
      </c>
      <c r="B1646">
        <v>1129</v>
      </c>
      <c r="C1646">
        <v>27</v>
      </c>
      <c r="D1646" t="s">
        <v>2066</v>
      </c>
      <c r="E1646">
        <f t="shared" si="75"/>
        <v>2024</v>
      </c>
      <c r="F1646" t="str">
        <f t="shared" si="76"/>
        <v>Jan</v>
      </c>
      <c r="G1646">
        <v>2</v>
      </c>
      <c r="H1646">
        <f>_xlfn.XLOOKUP(C1646,Products!A:A,Products!D:D)</f>
        <v>76.09</v>
      </c>
      <c r="I1646">
        <v>0</v>
      </c>
      <c r="J1646">
        <f t="shared" si="77"/>
        <v>152.18</v>
      </c>
      <c r="K1646" t="s">
        <v>2015</v>
      </c>
      <c r="L1646" t="str">
        <f>_xlfn.XLOOKUP(Orders[[#This Row],[ProductID]],Products!A:A,Products!C:C)</f>
        <v>Clothing</v>
      </c>
    </row>
    <row r="1647" spans="1:12" x14ac:dyDescent="0.3">
      <c r="A1647">
        <v>1646</v>
      </c>
      <c r="B1647">
        <v>1129</v>
      </c>
      <c r="C1647">
        <v>2</v>
      </c>
      <c r="D1647" t="s">
        <v>2175</v>
      </c>
      <c r="E1647">
        <f t="shared" si="75"/>
        <v>2024</v>
      </c>
      <c r="F1647" t="str">
        <f t="shared" si="76"/>
        <v>Apr</v>
      </c>
      <c r="G1647">
        <v>1</v>
      </c>
      <c r="H1647">
        <f>_xlfn.XLOOKUP(C1647,Products!A:A,Products!D:D)</f>
        <v>427.27</v>
      </c>
      <c r="I1647">
        <v>10</v>
      </c>
      <c r="J1647">
        <f t="shared" si="77"/>
        <v>384.54300000000001</v>
      </c>
      <c r="K1647" t="s">
        <v>2024</v>
      </c>
      <c r="L1647" t="str">
        <f>_xlfn.XLOOKUP(Orders[[#This Row],[ProductID]],Products!A:A,Products!C:C)</f>
        <v>Home</v>
      </c>
    </row>
    <row r="1648" spans="1:12" x14ac:dyDescent="0.3">
      <c r="A1648">
        <v>1647</v>
      </c>
      <c r="B1648">
        <v>1130</v>
      </c>
      <c r="C1648">
        <v>23</v>
      </c>
      <c r="D1648" t="s">
        <v>1745</v>
      </c>
      <c r="E1648">
        <f t="shared" si="75"/>
        <v>2023</v>
      </c>
      <c r="F1648" t="str">
        <f t="shared" si="76"/>
        <v>Jun</v>
      </c>
      <c r="G1648">
        <v>2</v>
      </c>
      <c r="H1648">
        <f>_xlfn.XLOOKUP(C1648,Products!A:A,Products!D:D)</f>
        <v>258.08</v>
      </c>
      <c r="I1648">
        <v>5</v>
      </c>
      <c r="J1648">
        <f t="shared" si="77"/>
        <v>490.35199999999992</v>
      </c>
      <c r="K1648" t="s">
        <v>2019</v>
      </c>
      <c r="L1648" t="str">
        <f>_xlfn.XLOOKUP(Orders[[#This Row],[ProductID]],Products!A:A,Products!C:C)</f>
        <v>Home</v>
      </c>
    </row>
    <row r="1649" spans="1:12" x14ac:dyDescent="0.3">
      <c r="A1649">
        <v>1648</v>
      </c>
      <c r="B1649">
        <v>1130</v>
      </c>
      <c r="C1649">
        <v>51</v>
      </c>
      <c r="D1649" t="s">
        <v>268</v>
      </c>
      <c r="E1649">
        <f t="shared" si="75"/>
        <v>2023</v>
      </c>
      <c r="F1649" t="str">
        <f t="shared" si="76"/>
        <v>Jul</v>
      </c>
      <c r="G1649">
        <v>1</v>
      </c>
      <c r="H1649">
        <f>_xlfn.XLOOKUP(C1649,Products!A:A,Products!D:D)</f>
        <v>759.57</v>
      </c>
      <c r="I1649">
        <v>10</v>
      </c>
      <c r="J1649">
        <f t="shared" si="77"/>
        <v>683.61300000000006</v>
      </c>
      <c r="K1649" t="s">
        <v>2015</v>
      </c>
      <c r="L1649" t="str">
        <f>_xlfn.XLOOKUP(Orders[[#This Row],[ProductID]],Products!A:A,Products!C:C)</f>
        <v>Beauty</v>
      </c>
    </row>
    <row r="1650" spans="1:12" x14ac:dyDescent="0.3">
      <c r="A1650">
        <v>1649</v>
      </c>
      <c r="B1650">
        <v>1130</v>
      </c>
      <c r="C1650">
        <v>9</v>
      </c>
      <c r="D1650" t="s">
        <v>429</v>
      </c>
      <c r="E1650">
        <f t="shared" si="75"/>
        <v>2023</v>
      </c>
      <c r="F1650" t="str">
        <f t="shared" si="76"/>
        <v>Apr</v>
      </c>
      <c r="G1650">
        <v>1</v>
      </c>
      <c r="H1650">
        <f>_xlfn.XLOOKUP(C1650,Products!A:A,Products!D:D)</f>
        <v>43.26</v>
      </c>
      <c r="I1650">
        <v>5</v>
      </c>
      <c r="J1650">
        <f t="shared" si="77"/>
        <v>41.096999999999994</v>
      </c>
      <c r="K1650" t="s">
        <v>2024</v>
      </c>
      <c r="L1650" t="str">
        <f>_xlfn.XLOOKUP(Orders[[#This Row],[ProductID]],Products!A:A,Products!C:C)</f>
        <v>Electronics</v>
      </c>
    </row>
    <row r="1651" spans="1:12" x14ac:dyDescent="0.3">
      <c r="A1651">
        <v>1650</v>
      </c>
      <c r="B1651">
        <v>1131</v>
      </c>
      <c r="C1651">
        <v>57</v>
      </c>
      <c r="D1651" t="s">
        <v>714</v>
      </c>
      <c r="E1651">
        <f t="shared" si="75"/>
        <v>2023</v>
      </c>
      <c r="F1651" t="str">
        <f t="shared" si="76"/>
        <v>Jan</v>
      </c>
      <c r="G1651">
        <v>2</v>
      </c>
      <c r="H1651">
        <f>_xlfn.XLOOKUP(C1651,Products!A:A,Products!D:D)</f>
        <v>768.03</v>
      </c>
      <c r="I1651">
        <v>0</v>
      </c>
      <c r="J1651">
        <f t="shared" si="77"/>
        <v>1536.06</v>
      </c>
      <c r="K1651" t="s">
        <v>2021</v>
      </c>
      <c r="L1651" t="str">
        <f>_xlfn.XLOOKUP(Orders[[#This Row],[ProductID]],Products!A:A,Products!C:C)</f>
        <v>Electronics</v>
      </c>
    </row>
    <row r="1652" spans="1:12" x14ac:dyDescent="0.3">
      <c r="A1652">
        <v>1651</v>
      </c>
      <c r="B1652">
        <v>1131</v>
      </c>
      <c r="C1652">
        <v>78</v>
      </c>
      <c r="D1652" t="s">
        <v>2172</v>
      </c>
      <c r="E1652">
        <f t="shared" si="75"/>
        <v>2023</v>
      </c>
      <c r="F1652" t="str">
        <f t="shared" si="76"/>
        <v>Sep</v>
      </c>
      <c r="G1652">
        <v>2</v>
      </c>
      <c r="H1652">
        <f>_xlfn.XLOOKUP(C1652,Products!A:A,Products!D:D)</f>
        <v>795.77</v>
      </c>
      <c r="I1652">
        <v>20</v>
      </c>
      <c r="J1652">
        <f t="shared" si="77"/>
        <v>1273.232</v>
      </c>
      <c r="K1652" t="s">
        <v>2021</v>
      </c>
      <c r="L1652" t="str">
        <f>_xlfn.XLOOKUP(Orders[[#This Row],[ProductID]],Products!A:A,Products!C:C)</f>
        <v>Beauty</v>
      </c>
    </row>
    <row r="1653" spans="1:12" x14ac:dyDescent="0.3">
      <c r="A1653">
        <v>1652</v>
      </c>
      <c r="B1653">
        <v>1131</v>
      </c>
      <c r="C1653">
        <v>19</v>
      </c>
      <c r="D1653" t="s">
        <v>403</v>
      </c>
      <c r="E1653">
        <f t="shared" si="75"/>
        <v>2023</v>
      </c>
      <c r="F1653" t="str">
        <f t="shared" si="76"/>
        <v>Oct</v>
      </c>
      <c r="G1653">
        <v>2</v>
      </c>
      <c r="H1653">
        <f>_xlfn.XLOOKUP(C1653,Products!A:A,Products!D:D)</f>
        <v>262.97000000000003</v>
      </c>
      <c r="I1653">
        <v>0</v>
      </c>
      <c r="J1653">
        <f t="shared" si="77"/>
        <v>525.94000000000005</v>
      </c>
      <c r="K1653" t="s">
        <v>2019</v>
      </c>
      <c r="L1653" t="str">
        <f>_xlfn.XLOOKUP(Orders[[#This Row],[ProductID]],Products!A:A,Products!C:C)</f>
        <v>Beauty</v>
      </c>
    </row>
    <row r="1654" spans="1:12" x14ac:dyDescent="0.3">
      <c r="A1654">
        <v>1653</v>
      </c>
      <c r="B1654">
        <v>1132</v>
      </c>
      <c r="C1654">
        <v>9</v>
      </c>
      <c r="D1654" t="s">
        <v>2113</v>
      </c>
      <c r="E1654">
        <f t="shared" si="75"/>
        <v>2023</v>
      </c>
      <c r="F1654" t="str">
        <f t="shared" si="76"/>
        <v>Jul</v>
      </c>
      <c r="G1654">
        <v>3</v>
      </c>
      <c r="H1654">
        <f>_xlfn.XLOOKUP(C1654,Products!A:A,Products!D:D)</f>
        <v>43.26</v>
      </c>
      <c r="I1654">
        <v>20</v>
      </c>
      <c r="J1654">
        <f t="shared" si="77"/>
        <v>103.82400000000001</v>
      </c>
      <c r="K1654" t="s">
        <v>2019</v>
      </c>
      <c r="L1654" t="str">
        <f>_xlfn.XLOOKUP(Orders[[#This Row],[ProductID]],Products!A:A,Products!C:C)</f>
        <v>Electronics</v>
      </c>
    </row>
    <row r="1655" spans="1:12" x14ac:dyDescent="0.3">
      <c r="A1655">
        <v>1654</v>
      </c>
      <c r="B1655">
        <v>1132</v>
      </c>
      <c r="C1655">
        <v>80</v>
      </c>
      <c r="D1655" t="s">
        <v>2208</v>
      </c>
      <c r="E1655">
        <f t="shared" si="75"/>
        <v>2024</v>
      </c>
      <c r="F1655" t="str">
        <f t="shared" si="76"/>
        <v>Jan</v>
      </c>
      <c r="G1655">
        <v>1</v>
      </c>
      <c r="H1655">
        <f>_xlfn.XLOOKUP(C1655,Products!A:A,Products!D:D)</f>
        <v>1014.45</v>
      </c>
      <c r="I1655">
        <v>10</v>
      </c>
      <c r="J1655">
        <f t="shared" si="77"/>
        <v>913.00500000000011</v>
      </c>
      <c r="K1655" t="s">
        <v>2024</v>
      </c>
      <c r="L1655" t="str">
        <f>_xlfn.XLOOKUP(Orders[[#This Row],[ProductID]],Products!A:A,Products!C:C)</f>
        <v>Beauty</v>
      </c>
    </row>
    <row r="1656" spans="1:12" x14ac:dyDescent="0.3">
      <c r="A1656">
        <v>1655</v>
      </c>
      <c r="B1656">
        <v>1132</v>
      </c>
      <c r="C1656">
        <v>5</v>
      </c>
      <c r="D1656" t="s">
        <v>1952</v>
      </c>
      <c r="E1656">
        <f t="shared" si="75"/>
        <v>2023</v>
      </c>
      <c r="F1656" t="str">
        <f t="shared" si="76"/>
        <v>Mar</v>
      </c>
      <c r="G1656">
        <v>1</v>
      </c>
      <c r="H1656">
        <f>_xlfn.XLOOKUP(C1656,Products!A:A,Products!D:D)</f>
        <v>296.85000000000002</v>
      </c>
      <c r="I1656">
        <v>5</v>
      </c>
      <c r="J1656">
        <f t="shared" si="77"/>
        <v>282.00749999999999</v>
      </c>
      <c r="K1656" t="s">
        <v>2019</v>
      </c>
      <c r="L1656" t="str">
        <f>_xlfn.XLOOKUP(Orders[[#This Row],[ProductID]],Products!A:A,Products!C:C)</f>
        <v>Clothing</v>
      </c>
    </row>
    <row r="1657" spans="1:12" x14ac:dyDescent="0.3">
      <c r="A1657">
        <v>1656</v>
      </c>
      <c r="B1657">
        <v>1133</v>
      </c>
      <c r="C1657">
        <v>49</v>
      </c>
      <c r="D1657" t="s">
        <v>1282</v>
      </c>
      <c r="E1657">
        <f t="shared" si="75"/>
        <v>2023</v>
      </c>
      <c r="F1657" t="str">
        <f t="shared" si="76"/>
        <v>Jan</v>
      </c>
      <c r="G1657">
        <v>3</v>
      </c>
      <c r="H1657">
        <f>_xlfn.XLOOKUP(C1657,Products!A:A,Products!D:D)</f>
        <v>974.54</v>
      </c>
      <c r="I1657">
        <v>0</v>
      </c>
      <c r="J1657">
        <f t="shared" si="77"/>
        <v>2923.62</v>
      </c>
      <c r="K1657" t="s">
        <v>2017</v>
      </c>
      <c r="L1657" t="str">
        <f>_xlfn.XLOOKUP(Orders[[#This Row],[ProductID]],Products!A:A,Products!C:C)</f>
        <v>Home</v>
      </c>
    </row>
    <row r="1658" spans="1:12" x14ac:dyDescent="0.3">
      <c r="A1658">
        <v>1657</v>
      </c>
      <c r="B1658">
        <v>1133</v>
      </c>
      <c r="C1658">
        <v>73</v>
      </c>
      <c r="D1658" t="s">
        <v>353</v>
      </c>
      <c r="E1658">
        <f t="shared" si="75"/>
        <v>2023</v>
      </c>
      <c r="F1658" t="str">
        <f t="shared" si="76"/>
        <v>Mar</v>
      </c>
      <c r="G1658">
        <v>1</v>
      </c>
      <c r="H1658">
        <f>_xlfn.XLOOKUP(C1658,Products!A:A,Products!D:D)</f>
        <v>943.04</v>
      </c>
      <c r="I1658">
        <v>0</v>
      </c>
      <c r="J1658">
        <f t="shared" si="77"/>
        <v>943.04</v>
      </c>
      <c r="K1658" t="s">
        <v>2015</v>
      </c>
      <c r="L1658" t="str">
        <f>_xlfn.XLOOKUP(Orders[[#This Row],[ProductID]],Products!A:A,Products!C:C)</f>
        <v>Home</v>
      </c>
    </row>
    <row r="1659" spans="1:12" x14ac:dyDescent="0.3">
      <c r="A1659">
        <v>1658</v>
      </c>
      <c r="B1659">
        <v>1133</v>
      </c>
      <c r="C1659">
        <v>70</v>
      </c>
      <c r="D1659" t="s">
        <v>752</v>
      </c>
      <c r="E1659">
        <f t="shared" si="75"/>
        <v>2023</v>
      </c>
      <c r="F1659" t="str">
        <f t="shared" si="76"/>
        <v>Feb</v>
      </c>
      <c r="G1659">
        <v>1</v>
      </c>
      <c r="H1659">
        <f>_xlfn.XLOOKUP(C1659,Products!A:A,Products!D:D)</f>
        <v>797.23</v>
      </c>
      <c r="I1659">
        <v>15</v>
      </c>
      <c r="J1659">
        <f t="shared" si="77"/>
        <v>677.64549999999997</v>
      </c>
      <c r="K1659" t="s">
        <v>2015</v>
      </c>
      <c r="L1659" t="str">
        <f>_xlfn.XLOOKUP(Orders[[#This Row],[ProductID]],Products!A:A,Products!C:C)</f>
        <v>Clothing</v>
      </c>
    </row>
    <row r="1660" spans="1:12" x14ac:dyDescent="0.3">
      <c r="A1660">
        <v>1659</v>
      </c>
      <c r="B1660">
        <v>1133</v>
      </c>
      <c r="C1660">
        <v>50</v>
      </c>
      <c r="D1660" t="s">
        <v>1243</v>
      </c>
      <c r="E1660">
        <f t="shared" si="75"/>
        <v>2023</v>
      </c>
      <c r="F1660" t="str">
        <f t="shared" si="76"/>
        <v>May</v>
      </c>
      <c r="G1660">
        <v>3</v>
      </c>
      <c r="H1660">
        <f>_xlfn.XLOOKUP(C1660,Products!A:A,Products!D:D)</f>
        <v>1122.8699999999999</v>
      </c>
      <c r="I1660">
        <v>20</v>
      </c>
      <c r="J1660">
        <f t="shared" si="77"/>
        <v>2694.8879999999999</v>
      </c>
      <c r="K1660" t="s">
        <v>2017</v>
      </c>
      <c r="L1660" t="str">
        <f>_xlfn.XLOOKUP(Orders[[#This Row],[ProductID]],Products!A:A,Products!C:C)</f>
        <v>Home</v>
      </c>
    </row>
    <row r="1661" spans="1:12" x14ac:dyDescent="0.3">
      <c r="A1661">
        <v>1660</v>
      </c>
      <c r="B1661">
        <v>1134</v>
      </c>
      <c r="C1661">
        <v>58</v>
      </c>
      <c r="D1661" t="s">
        <v>2125</v>
      </c>
      <c r="E1661">
        <f t="shared" si="75"/>
        <v>2024</v>
      </c>
      <c r="F1661" t="str">
        <f t="shared" si="76"/>
        <v>Apr</v>
      </c>
      <c r="G1661">
        <v>3</v>
      </c>
      <c r="H1661">
        <f>_xlfn.XLOOKUP(C1661,Products!A:A,Products!D:D)</f>
        <v>334.98</v>
      </c>
      <c r="I1661">
        <v>5</v>
      </c>
      <c r="J1661">
        <f t="shared" si="77"/>
        <v>954.69299999999998</v>
      </c>
      <c r="K1661" t="s">
        <v>2017</v>
      </c>
      <c r="L1661" t="str">
        <f>_xlfn.XLOOKUP(Orders[[#This Row],[ProductID]],Products!A:A,Products!C:C)</f>
        <v>Home</v>
      </c>
    </row>
    <row r="1662" spans="1:12" x14ac:dyDescent="0.3">
      <c r="A1662">
        <v>1661</v>
      </c>
      <c r="B1662">
        <v>1134</v>
      </c>
      <c r="C1662">
        <v>79</v>
      </c>
      <c r="D1662" t="s">
        <v>475</v>
      </c>
      <c r="E1662">
        <f t="shared" si="75"/>
        <v>2023</v>
      </c>
      <c r="F1662" t="str">
        <f t="shared" si="76"/>
        <v>May</v>
      </c>
      <c r="G1662">
        <v>2</v>
      </c>
      <c r="H1662">
        <f>_xlfn.XLOOKUP(C1662,Products!A:A,Products!D:D)</f>
        <v>488.34</v>
      </c>
      <c r="I1662">
        <v>15</v>
      </c>
      <c r="J1662">
        <f t="shared" si="77"/>
        <v>830.17799999999988</v>
      </c>
      <c r="K1662" t="s">
        <v>2017</v>
      </c>
      <c r="L1662" t="str">
        <f>_xlfn.XLOOKUP(Orders[[#This Row],[ProductID]],Products!A:A,Products!C:C)</f>
        <v>Electronics</v>
      </c>
    </row>
    <row r="1663" spans="1:12" x14ac:dyDescent="0.3">
      <c r="A1663">
        <v>1662</v>
      </c>
      <c r="B1663">
        <v>1134</v>
      </c>
      <c r="C1663">
        <v>20</v>
      </c>
      <c r="D1663" t="s">
        <v>1976</v>
      </c>
      <c r="E1663">
        <f t="shared" si="75"/>
        <v>2023</v>
      </c>
      <c r="F1663" t="str">
        <f t="shared" si="76"/>
        <v>Aug</v>
      </c>
      <c r="G1663">
        <v>3</v>
      </c>
      <c r="H1663">
        <f>_xlfn.XLOOKUP(C1663,Products!A:A,Products!D:D)</f>
        <v>613.27</v>
      </c>
      <c r="I1663">
        <v>10</v>
      </c>
      <c r="J1663">
        <f t="shared" si="77"/>
        <v>1655.829</v>
      </c>
      <c r="K1663" t="s">
        <v>2021</v>
      </c>
      <c r="L1663" t="str">
        <f>_xlfn.XLOOKUP(Orders[[#This Row],[ProductID]],Products!A:A,Products!C:C)</f>
        <v>Home</v>
      </c>
    </row>
    <row r="1664" spans="1:12" x14ac:dyDescent="0.3">
      <c r="A1664">
        <v>1663</v>
      </c>
      <c r="B1664">
        <v>1135</v>
      </c>
      <c r="C1664">
        <v>19</v>
      </c>
      <c r="D1664" t="s">
        <v>1893</v>
      </c>
      <c r="E1664">
        <f t="shared" si="75"/>
        <v>2023</v>
      </c>
      <c r="F1664" t="str">
        <f t="shared" si="76"/>
        <v>May</v>
      </c>
      <c r="G1664">
        <v>3</v>
      </c>
      <c r="H1664">
        <f>_xlfn.XLOOKUP(C1664,Products!A:A,Products!D:D)</f>
        <v>262.97000000000003</v>
      </c>
      <c r="I1664">
        <v>5</v>
      </c>
      <c r="J1664">
        <f t="shared" si="77"/>
        <v>749.46450000000004</v>
      </c>
      <c r="K1664" t="s">
        <v>2017</v>
      </c>
      <c r="L1664" t="str">
        <f>_xlfn.XLOOKUP(Orders[[#This Row],[ProductID]],Products!A:A,Products!C:C)</f>
        <v>Beauty</v>
      </c>
    </row>
    <row r="1665" spans="1:12" x14ac:dyDescent="0.3">
      <c r="A1665">
        <v>1664</v>
      </c>
      <c r="B1665">
        <v>1135</v>
      </c>
      <c r="C1665">
        <v>33</v>
      </c>
      <c r="D1665" t="s">
        <v>2051</v>
      </c>
      <c r="E1665">
        <f t="shared" si="75"/>
        <v>2024</v>
      </c>
      <c r="F1665" t="str">
        <f t="shared" si="76"/>
        <v>Mar</v>
      </c>
      <c r="G1665">
        <v>1</v>
      </c>
      <c r="H1665">
        <f>_xlfn.XLOOKUP(C1665,Products!A:A,Products!D:D)</f>
        <v>965.4</v>
      </c>
      <c r="I1665">
        <v>10</v>
      </c>
      <c r="J1665">
        <f t="shared" si="77"/>
        <v>868.86</v>
      </c>
      <c r="K1665" t="s">
        <v>2019</v>
      </c>
      <c r="L1665" t="str">
        <f>_xlfn.XLOOKUP(Orders[[#This Row],[ProductID]],Products!A:A,Products!C:C)</f>
        <v>Beauty</v>
      </c>
    </row>
    <row r="1666" spans="1:12" x14ac:dyDescent="0.3">
      <c r="A1666">
        <v>1665</v>
      </c>
      <c r="B1666">
        <v>1135</v>
      </c>
      <c r="C1666">
        <v>56</v>
      </c>
      <c r="D1666" t="s">
        <v>2234</v>
      </c>
      <c r="E1666">
        <f t="shared" si="75"/>
        <v>2024</v>
      </c>
      <c r="F1666" t="str">
        <f t="shared" si="76"/>
        <v>Feb</v>
      </c>
      <c r="G1666">
        <v>2</v>
      </c>
      <c r="H1666">
        <f>_xlfn.XLOOKUP(C1666,Products!A:A,Products!D:D)</f>
        <v>396.01</v>
      </c>
      <c r="I1666">
        <v>5</v>
      </c>
      <c r="J1666">
        <f t="shared" si="77"/>
        <v>752.41899999999998</v>
      </c>
      <c r="K1666" t="s">
        <v>2019</v>
      </c>
      <c r="L1666" t="str">
        <f>_xlfn.XLOOKUP(Orders[[#This Row],[ProductID]],Products!A:A,Products!C:C)</f>
        <v>Home</v>
      </c>
    </row>
    <row r="1667" spans="1:12" x14ac:dyDescent="0.3">
      <c r="A1667">
        <v>1666</v>
      </c>
      <c r="B1667">
        <v>1135</v>
      </c>
      <c r="C1667">
        <v>59</v>
      </c>
      <c r="D1667" t="s">
        <v>1162</v>
      </c>
      <c r="E1667">
        <f t="shared" ref="E1667:E1730" si="78">YEAR(D1667)</f>
        <v>2023</v>
      </c>
      <c r="F1667" t="str">
        <f t="shared" ref="F1667:F1730" si="79">TEXT(D1667,"mmm")</f>
        <v>Jul</v>
      </c>
      <c r="G1667">
        <v>3</v>
      </c>
      <c r="H1667">
        <f>_xlfn.XLOOKUP(C1667,Products!A:A,Products!D:D)</f>
        <v>782.33</v>
      </c>
      <c r="I1667">
        <v>20</v>
      </c>
      <c r="J1667">
        <f t="shared" ref="J1667:J1730" si="80">G1667*H1667*(1-I1667/100)</f>
        <v>1877.5920000000003</v>
      </c>
      <c r="K1667" t="s">
        <v>2021</v>
      </c>
      <c r="L1667" t="str">
        <f>_xlfn.XLOOKUP(Orders[[#This Row],[ProductID]],Products!A:A,Products!C:C)</f>
        <v>Clothing</v>
      </c>
    </row>
    <row r="1668" spans="1:12" x14ac:dyDescent="0.3">
      <c r="A1668">
        <v>1667</v>
      </c>
      <c r="B1668">
        <v>1136</v>
      </c>
      <c r="C1668">
        <v>52</v>
      </c>
      <c r="D1668" t="s">
        <v>1138</v>
      </c>
      <c r="E1668">
        <f t="shared" si="78"/>
        <v>2023</v>
      </c>
      <c r="F1668" t="str">
        <f t="shared" si="79"/>
        <v>Mar</v>
      </c>
      <c r="G1668">
        <v>3</v>
      </c>
      <c r="H1668">
        <f>_xlfn.XLOOKUP(C1668,Products!A:A,Products!D:D)</f>
        <v>256.76</v>
      </c>
      <c r="I1668">
        <v>10</v>
      </c>
      <c r="J1668">
        <f t="shared" si="80"/>
        <v>693.25199999999995</v>
      </c>
      <c r="K1668" t="s">
        <v>2021</v>
      </c>
      <c r="L1668" t="str">
        <f>_xlfn.XLOOKUP(Orders[[#This Row],[ProductID]],Products!A:A,Products!C:C)</f>
        <v>Home</v>
      </c>
    </row>
    <row r="1669" spans="1:12" x14ac:dyDescent="0.3">
      <c r="A1669">
        <v>1668</v>
      </c>
      <c r="B1669">
        <v>1136</v>
      </c>
      <c r="C1669">
        <v>52</v>
      </c>
      <c r="D1669" t="s">
        <v>88</v>
      </c>
      <c r="E1669">
        <f t="shared" si="78"/>
        <v>2023</v>
      </c>
      <c r="F1669" t="str">
        <f t="shared" si="79"/>
        <v>Aug</v>
      </c>
      <c r="G1669">
        <v>2</v>
      </c>
      <c r="H1669">
        <f>_xlfn.XLOOKUP(C1669,Products!A:A,Products!D:D)</f>
        <v>256.76</v>
      </c>
      <c r="I1669">
        <v>15</v>
      </c>
      <c r="J1669">
        <f t="shared" si="80"/>
        <v>436.49199999999996</v>
      </c>
      <c r="K1669" t="s">
        <v>2017</v>
      </c>
      <c r="L1669" t="str">
        <f>_xlfn.XLOOKUP(Orders[[#This Row],[ProductID]],Products!A:A,Products!C:C)</f>
        <v>Home</v>
      </c>
    </row>
    <row r="1670" spans="1:12" x14ac:dyDescent="0.3">
      <c r="A1670">
        <v>1669</v>
      </c>
      <c r="B1670">
        <v>1136</v>
      </c>
      <c r="C1670">
        <v>57</v>
      </c>
      <c r="D1670" t="s">
        <v>2062</v>
      </c>
      <c r="E1670">
        <f t="shared" si="78"/>
        <v>2024</v>
      </c>
      <c r="F1670" t="str">
        <f t="shared" si="79"/>
        <v>May</v>
      </c>
      <c r="G1670">
        <v>2</v>
      </c>
      <c r="H1670">
        <f>_xlfn.XLOOKUP(C1670,Products!A:A,Products!D:D)</f>
        <v>768.03</v>
      </c>
      <c r="I1670">
        <v>15</v>
      </c>
      <c r="J1670">
        <f t="shared" si="80"/>
        <v>1305.6509999999998</v>
      </c>
      <c r="K1670" t="s">
        <v>2024</v>
      </c>
      <c r="L1670" t="str">
        <f>_xlfn.XLOOKUP(Orders[[#This Row],[ProductID]],Products!A:A,Products!C:C)</f>
        <v>Electronics</v>
      </c>
    </row>
    <row r="1671" spans="1:12" x14ac:dyDescent="0.3">
      <c r="A1671">
        <v>1670</v>
      </c>
      <c r="B1671">
        <v>1137</v>
      </c>
      <c r="C1671">
        <v>44</v>
      </c>
      <c r="D1671" t="s">
        <v>2121</v>
      </c>
      <c r="E1671">
        <f t="shared" si="78"/>
        <v>2023</v>
      </c>
      <c r="F1671" t="str">
        <f t="shared" si="79"/>
        <v>Jun</v>
      </c>
      <c r="G1671">
        <v>3</v>
      </c>
      <c r="H1671">
        <f>_xlfn.XLOOKUP(C1671,Products!A:A,Products!D:D)</f>
        <v>1038</v>
      </c>
      <c r="I1671">
        <v>15</v>
      </c>
      <c r="J1671">
        <f t="shared" si="80"/>
        <v>2646.9</v>
      </c>
      <c r="K1671" t="s">
        <v>2021</v>
      </c>
      <c r="L1671" t="str">
        <f>_xlfn.XLOOKUP(Orders[[#This Row],[ProductID]],Products!A:A,Products!C:C)</f>
        <v>Home</v>
      </c>
    </row>
    <row r="1672" spans="1:12" x14ac:dyDescent="0.3">
      <c r="A1672">
        <v>1671</v>
      </c>
      <c r="B1672">
        <v>1137</v>
      </c>
      <c r="C1672">
        <v>68</v>
      </c>
      <c r="D1672" t="s">
        <v>1312</v>
      </c>
      <c r="E1672">
        <f t="shared" si="78"/>
        <v>2023</v>
      </c>
      <c r="F1672" t="str">
        <f t="shared" si="79"/>
        <v>Apr</v>
      </c>
      <c r="G1672">
        <v>1</v>
      </c>
      <c r="H1672">
        <f>_xlfn.XLOOKUP(C1672,Products!A:A,Products!D:D)</f>
        <v>180.99</v>
      </c>
      <c r="I1672">
        <v>5</v>
      </c>
      <c r="J1672">
        <f t="shared" si="80"/>
        <v>171.94050000000001</v>
      </c>
      <c r="K1672" t="s">
        <v>2021</v>
      </c>
      <c r="L1672" t="str">
        <f>_xlfn.XLOOKUP(Orders[[#This Row],[ProductID]],Products!A:A,Products!C:C)</f>
        <v>Clothing</v>
      </c>
    </row>
    <row r="1673" spans="1:12" x14ac:dyDescent="0.3">
      <c r="A1673">
        <v>1672</v>
      </c>
      <c r="B1673">
        <v>1137</v>
      </c>
      <c r="C1673">
        <v>73</v>
      </c>
      <c r="D1673" t="s">
        <v>2091</v>
      </c>
      <c r="E1673">
        <f t="shared" si="78"/>
        <v>2023</v>
      </c>
      <c r="F1673" t="str">
        <f t="shared" si="79"/>
        <v>Apr</v>
      </c>
      <c r="G1673">
        <v>3</v>
      </c>
      <c r="H1673">
        <f>_xlfn.XLOOKUP(C1673,Products!A:A,Products!D:D)</f>
        <v>943.04</v>
      </c>
      <c r="I1673">
        <v>20</v>
      </c>
      <c r="J1673">
        <f t="shared" si="80"/>
        <v>2263.2959999999998</v>
      </c>
      <c r="K1673" t="s">
        <v>2024</v>
      </c>
      <c r="L1673" t="str">
        <f>_xlfn.XLOOKUP(Orders[[#This Row],[ProductID]],Products!A:A,Products!C:C)</f>
        <v>Home</v>
      </c>
    </row>
    <row r="1674" spans="1:12" x14ac:dyDescent="0.3">
      <c r="A1674">
        <v>1673</v>
      </c>
      <c r="B1674">
        <v>1138</v>
      </c>
      <c r="C1674">
        <v>60</v>
      </c>
      <c r="D1674" t="s">
        <v>403</v>
      </c>
      <c r="E1674">
        <f t="shared" si="78"/>
        <v>2023</v>
      </c>
      <c r="F1674" t="str">
        <f t="shared" si="79"/>
        <v>Oct</v>
      </c>
      <c r="G1674">
        <v>2</v>
      </c>
      <c r="H1674">
        <f>_xlfn.XLOOKUP(C1674,Products!A:A,Products!D:D)</f>
        <v>830.49</v>
      </c>
      <c r="I1674">
        <v>10</v>
      </c>
      <c r="J1674">
        <f t="shared" si="80"/>
        <v>1494.8820000000001</v>
      </c>
      <c r="K1674" t="s">
        <v>2024</v>
      </c>
      <c r="L1674" t="str">
        <f>_xlfn.XLOOKUP(Orders[[#This Row],[ProductID]],Products!A:A,Products!C:C)</f>
        <v>Clothing</v>
      </c>
    </row>
    <row r="1675" spans="1:12" x14ac:dyDescent="0.3">
      <c r="A1675">
        <v>1674</v>
      </c>
      <c r="B1675">
        <v>1138</v>
      </c>
      <c r="C1675">
        <v>28</v>
      </c>
      <c r="D1675" t="s">
        <v>2126</v>
      </c>
      <c r="E1675">
        <f t="shared" si="78"/>
        <v>2023</v>
      </c>
      <c r="F1675" t="str">
        <f t="shared" si="79"/>
        <v>Jul</v>
      </c>
      <c r="G1675">
        <v>1</v>
      </c>
      <c r="H1675">
        <f>_xlfn.XLOOKUP(C1675,Products!A:A,Products!D:D)</f>
        <v>494.39</v>
      </c>
      <c r="I1675">
        <v>15</v>
      </c>
      <c r="J1675">
        <f t="shared" si="80"/>
        <v>420.23149999999998</v>
      </c>
      <c r="K1675" t="s">
        <v>2019</v>
      </c>
      <c r="L1675" t="str">
        <f>_xlfn.XLOOKUP(Orders[[#This Row],[ProductID]],Products!A:A,Products!C:C)</f>
        <v>Beauty</v>
      </c>
    </row>
    <row r="1676" spans="1:12" x14ac:dyDescent="0.3">
      <c r="A1676">
        <v>1675</v>
      </c>
      <c r="B1676">
        <v>1138</v>
      </c>
      <c r="C1676">
        <v>70</v>
      </c>
      <c r="D1676" t="s">
        <v>444</v>
      </c>
      <c r="E1676">
        <f t="shared" si="78"/>
        <v>2023</v>
      </c>
      <c r="F1676" t="str">
        <f t="shared" si="79"/>
        <v>Nov</v>
      </c>
      <c r="G1676">
        <v>2</v>
      </c>
      <c r="H1676">
        <f>_xlfn.XLOOKUP(C1676,Products!A:A,Products!D:D)</f>
        <v>797.23</v>
      </c>
      <c r="I1676">
        <v>10</v>
      </c>
      <c r="J1676">
        <f t="shared" si="80"/>
        <v>1435.0140000000001</v>
      </c>
      <c r="K1676" t="s">
        <v>2015</v>
      </c>
      <c r="L1676" t="str">
        <f>_xlfn.XLOOKUP(Orders[[#This Row],[ProductID]],Products!A:A,Products!C:C)</f>
        <v>Clothing</v>
      </c>
    </row>
    <row r="1677" spans="1:12" x14ac:dyDescent="0.3">
      <c r="A1677">
        <v>1676</v>
      </c>
      <c r="B1677">
        <v>1138</v>
      </c>
      <c r="C1677">
        <v>53</v>
      </c>
      <c r="D1677" t="s">
        <v>446</v>
      </c>
      <c r="E1677">
        <f t="shared" si="78"/>
        <v>2023</v>
      </c>
      <c r="F1677" t="str">
        <f t="shared" si="79"/>
        <v>Jan</v>
      </c>
      <c r="G1677">
        <v>1</v>
      </c>
      <c r="H1677">
        <f>_xlfn.XLOOKUP(C1677,Products!A:A,Products!D:D)</f>
        <v>194.34</v>
      </c>
      <c r="I1677">
        <v>5</v>
      </c>
      <c r="J1677">
        <f t="shared" si="80"/>
        <v>184.62299999999999</v>
      </c>
      <c r="K1677" t="s">
        <v>2024</v>
      </c>
      <c r="L1677" t="str">
        <f>_xlfn.XLOOKUP(Orders[[#This Row],[ProductID]],Products!A:A,Products!C:C)</f>
        <v>Home</v>
      </c>
    </row>
    <row r="1678" spans="1:12" x14ac:dyDescent="0.3">
      <c r="A1678">
        <v>1677</v>
      </c>
      <c r="B1678">
        <v>1139</v>
      </c>
      <c r="C1678">
        <v>71</v>
      </c>
      <c r="D1678" t="s">
        <v>2072</v>
      </c>
      <c r="E1678">
        <f t="shared" si="78"/>
        <v>2024</v>
      </c>
      <c r="F1678" t="str">
        <f t="shared" si="79"/>
        <v>Mar</v>
      </c>
      <c r="G1678">
        <v>1</v>
      </c>
      <c r="H1678">
        <f>_xlfn.XLOOKUP(C1678,Products!A:A,Products!D:D)</f>
        <v>780.27</v>
      </c>
      <c r="I1678">
        <v>15</v>
      </c>
      <c r="J1678">
        <f t="shared" si="80"/>
        <v>663.22949999999992</v>
      </c>
      <c r="K1678" t="s">
        <v>2015</v>
      </c>
      <c r="L1678" t="str">
        <f>_xlfn.XLOOKUP(Orders[[#This Row],[ProductID]],Products!A:A,Products!C:C)</f>
        <v>Electronics</v>
      </c>
    </row>
    <row r="1679" spans="1:12" x14ac:dyDescent="0.3">
      <c r="A1679">
        <v>1678</v>
      </c>
      <c r="B1679">
        <v>1139</v>
      </c>
      <c r="C1679">
        <v>56</v>
      </c>
      <c r="D1679" t="s">
        <v>2028</v>
      </c>
      <c r="E1679">
        <f t="shared" si="78"/>
        <v>2023</v>
      </c>
      <c r="F1679" t="str">
        <f t="shared" si="79"/>
        <v>Apr</v>
      </c>
      <c r="G1679">
        <v>2</v>
      </c>
      <c r="H1679">
        <f>_xlfn.XLOOKUP(C1679,Products!A:A,Products!D:D)</f>
        <v>396.01</v>
      </c>
      <c r="I1679">
        <v>0</v>
      </c>
      <c r="J1679">
        <f t="shared" si="80"/>
        <v>792.02</v>
      </c>
      <c r="K1679" t="s">
        <v>2021</v>
      </c>
      <c r="L1679" t="str">
        <f>_xlfn.XLOOKUP(Orders[[#This Row],[ProductID]],Products!A:A,Products!C:C)</f>
        <v>Home</v>
      </c>
    </row>
    <row r="1680" spans="1:12" x14ac:dyDescent="0.3">
      <c r="A1680">
        <v>1679</v>
      </c>
      <c r="B1680">
        <v>1139</v>
      </c>
      <c r="C1680">
        <v>50</v>
      </c>
      <c r="D1680" t="s">
        <v>993</v>
      </c>
      <c r="E1680">
        <f t="shared" si="78"/>
        <v>2023</v>
      </c>
      <c r="F1680" t="str">
        <f t="shared" si="79"/>
        <v>Oct</v>
      </c>
      <c r="G1680">
        <v>3</v>
      </c>
      <c r="H1680">
        <f>_xlfn.XLOOKUP(C1680,Products!A:A,Products!D:D)</f>
        <v>1122.8699999999999</v>
      </c>
      <c r="I1680">
        <v>5</v>
      </c>
      <c r="J1680">
        <f t="shared" si="80"/>
        <v>3200.1794999999997</v>
      </c>
      <c r="K1680" t="s">
        <v>2024</v>
      </c>
      <c r="L1680" t="str">
        <f>_xlfn.XLOOKUP(Orders[[#This Row],[ProductID]],Products!A:A,Products!C:C)</f>
        <v>Home</v>
      </c>
    </row>
    <row r="1681" spans="1:12" x14ac:dyDescent="0.3">
      <c r="A1681">
        <v>1680</v>
      </c>
      <c r="B1681">
        <v>1139</v>
      </c>
      <c r="C1681">
        <v>73</v>
      </c>
      <c r="D1681" t="s">
        <v>2187</v>
      </c>
      <c r="E1681">
        <f t="shared" si="78"/>
        <v>2024</v>
      </c>
      <c r="F1681" t="str">
        <f t="shared" si="79"/>
        <v>Jan</v>
      </c>
      <c r="G1681">
        <v>1</v>
      </c>
      <c r="H1681">
        <f>_xlfn.XLOOKUP(C1681,Products!A:A,Products!D:D)</f>
        <v>943.04</v>
      </c>
      <c r="I1681">
        <v>15</v>
      </c>
      <c r="J1681">
        <f t="shared" si="80"/>
        <v>801.58399999999995</v>
      </c>
      <c r="K1681" t="s">
        <v>2015</v>
      </c>
      <c r="L1681" t="str">
        <f>_xlfn.XLOOKUP(Orders[[#This Row],[ProductID]],Products!A:A,Products!C:C)</f>
        <v>Home</v>
      </c>
    </row>
    <row r="1682" spans="1:12" x14ac:dyDescent="0.3">
      <c r="A1682">
        <v>1681</v>
      </c>
      <c r="B1682">
        <v>1140</v>
      </c>
      <c r="C1682">
        <v>26</v>
      </c>
      <c r="D1682" t="s">
        <v>2060</v>
      </c>
      <c r="E1682">
        <f t="shared" si="78"/>
        <v>2023</v>
      </c>
      <c r="F1682" t="str">
        <f t="shared" si="79"/>
        <v>Mar</v>
      </c>
      <c r="G1682">
        <v>2</v>
      </c>
      <c r="H1682">
        <f>_xlfn.XLOOKUP(C1682,Products!A:A,Products!D:D)</f>
        <v>272.61</v>
      </c>
      <c r="I1682">
        <v>10</v>
      </c>
      <c r="J1682">
        <f t="shared" si="80"/>
        <v>490.69800000000004</v>
      </c>
      <c r="K1682" t="s">
        <v>2017</v>
      </c>
      <c r="L1682" t="str">
        <f>_xlfn.XLOOKUP(Orders[[#This Row],[ProductID]],Products!A:A,Products!C:C)</f>
        <v>Home</v>
      </c>
    </row>
    <row r="1683" spans="1:12" x14ac:dyDescent="0.3">
      <c r="A1683">
        <v>1682</v>
      </c>
      <c r="B1683">
        <v>1140</v>
      </c>
      <c r="C1683">
        <v>32</v>
      </c>
      <c r="D1683" t="s">
        <v>2040</v>
      </c>
      <c r="E1683">
        <f t="shared" si="78"/>
        <v>2024</v>
      </c>
      <c r="F1683" t="str">
        <f t="shared" si="79"/>
        <v>Mar</v>
      </c>
      <c r="G1683">
        <v>3</v>
      </c>
      <c r="H1683">
        <f>_xlfn.XLOOKUP(C1683,Products!A:A,Products!D:D)</f>
        <v>342.57</v>
      </c>
      <c r="I1683">
        <v>5</v>
      </c>
      <c r="J1683">
        <f t="shared" si="80"/>
        <v>976.32449999999994</v>
      </c>
      <c r="K1683" t="s">
        <v>2017</v>
      </c>
      <c r="L1683" t="str">
        <f>_xlfn.XLOOKUP(Orders[[#This Row],[ProductID]],Products!A:A,Products!C:C)</f>
        <v>Clothing</v>
      </c>
    </row>
    <row r="1684" spans="1:12" x14ac:dyDescent="0.3">
      <c r="A1684">
        <v>1683</v>
      </c>
      <c r="B1684">
        <v>1140</v>
      </c>
      <c r="C1684">
        <v>41</v>
      </c>
      <c r="D1684" t="s">
        <v>301</v>
      </c>
      <c r="E1684">
        <f t="shared" si="78"/>
        <v>2023</v>
      </c>
      <c r="F1684" t="str">
        <f t="shared" si="79"/>
        <v>Nov</v>
      </c>
      <c r="G1684">
        <v>3</v>
      </c>
      <c r="H1684">
        <f>_xlfn.XLOOKUP(C1684,Products!A:A,Products!D:D)</f>
        <v>554.80999999999995</v>
      </c>
      <c r="I1684">
        <v>20</v>
      </c>
      <c r="J1684">
        <f t="shared" si="80"/>
        <v>1331.5439999999999</v>
      </c>
      <c r="K1684" t="s">
        <v>2019</v>
      </c>
      <c r="L1684" t="str">
        <f>_xlfn.XLOOKUP(Orders[[#This Row],[ProductID]],Products!A:A,Products!C:C)</f>
        <v>Home</v>
      </c>
    </row>
    <row r="1685" spans="1:12" x14ac:dyDescent="0.3">
      <c r="A1685">
        <v>1684</v>
      </c>
      <c r="B1685">
        <v>1140</v>
      </c>
      <c r="C1685">
        <v>13</v>
      </c>
      <c r="D1685" t="s">
        <v>2105</v>
      </c>
      <c r="E1685">
        <f t="shared" si="78"/>
        <v>2024</v>
      </c>
      <c r="F1685" t="str">
        <f t="shared" si="79"/>
        <v>Feb</v>
      </c>
      <c r="G1685">
        <v>1</v>
      </c>
      <c r="H1685">
        <f>_xlfn.XLOOKUP(C1685,Products!A:A,Products!D:D)</f>
        <v>334.61</v>
      </c>
      <c r="I1685">
        <v>0</v>
      </c>
      <c r="J1685">
        <f t="shared" si="80"/>
        <v>334.61</v>
      </c>
      <c r="K1685" t="s">
        <v>2019</v>
      </c>
      <c r="L1685" t="str">
        <f>_xlfn.XLOOKUP(Orders[[#This Row],[ProductID]],Products!A:A,Products!C:C)</f>
        <v>Home</v>
      </c>
    </row>
    <row r="1686" spans="1:12" x14ac:dyDescent="0.3">
      <c r="A1686">
        <v>1685</v>
      </c>
      <c r="B1686">
        <v>1141</v>
      </c>
      <c r="C1686">
        <v>2</v>
      </c>
      <c r="D1686" t="s">
        <v>2183</v>
      </c>
      <c r="E1686">
        <f t="shared" si="78"/>
        <v>2024</v>
      </c>
      <c r="F1686" t="str">
        <f t="shared" si="79"/>
        <v>Apr</v>
      </c>
      <c r="G1686">
        <v>1</v>
      </c>
      <c r="H1686">
        <f>_xlfn.XLOOKUP(C1686,Products!A:A,Products!D:D)</f>
        <v>427.27</v>
      </c>
      <c r="I1686">
        <v>10</v>
      </c>
      <c r="J1686">
        <f t="shared" si="80"/>
        <v>384.54300000000001</v>
      </c>
      <c r="K1686" t="s">
        <v>2019</v>
      </c>
      <c r="L1686" t="str">
        <f>_xlfn.XLOOKUP(Orders[[#This Row],[ProductID]],Products!A:A,Products!C:C)</f>
        <v>Home</v>
      </c>
    </row>
    <row r="1687" spans="1:12" x14ac:dyDescent="0.3">
      <c r="A1687">
        <v>1686</v>
      </c>
      <c r="B1687">
        <v>1141</v>
      </c>
      <c r="C1687">
        <v>41</v>
      </c>
      <c r="D1687" t="s">
        <v>2154</v>
      </c>
      <c r="E1687">
        <f t="shared" si="78"/>
        <v>2024</v>
      </c>
      <c r="F1687" t="str">
        <f t="shared" si="79"/>
        <v>Apr</v>
      </c>
      <c r="G1687">
        <v>2</v>
      </c>
      <c r="H1687">
        <f>_xlfn.XLOOKUP(C1687,Products!A:A,Products!D:D)</f>
        <v>554.80999999999995</v>
      </c>
      <c r="I1687">
        <v>5</v>
      </c>
      <c r="J1687">
        <f t="shared" si="80"/>
        <v>1054.1389999999999</v>
      </c>
      <c r="K1687" t="s">
        <v>2021</v>
      </c>
      <c r="L1687" t="str">
        <f>_xlfn.XLOOKUP(Orders[[#This Row],[ProductID]],Products!A:A,Products!C:C)</f>
        <v>Home</v>
      </c>
    </row>
    <row r="1688" spans="1:12" x14ac:dyDescent="0.3">
      <c r="A1688">
        <v>1687</v>
      </c>
      <c r="B1688">
        <v>1141</v>
      </c>
      <c r="C1688">
        <v>28</v>
      </c>
      <c r="D1688" t="s">
        <v>588</v>
      </c>
      <c r="E1688">
        <f t="shared" si="78"/>
        <v>2023</v>
      </c>
      <c r="F1688" t="str">
        <f t="shared" si="79"/>
        <v>Jun</v>
      </c>
      <c r="G1688">
        <v>1</v>
      </c>
      <c r="H1688">
        <f>_xlfn.XLOOKUP(C1688,Products!A:A,Products!D:D)</f>
        <v>494.39</v>
      </c>
      <c r="I1688">
        <v>10</v>
      </c>
      <c r="J1688">
        <f t="shared" si="80"/>
        <v>444.95100000000002</v>
      </c>
      <c r="K1688" t="s">
        <v>2015</v>
      </c>
      <c r="L1688" t="str">
        <f>_xlfn.XLOOKUP(Orders[[#This Row],[ProductID]],Products!A:A,Products!C:C)</f>
        <v>Beauty</v>
      </c>
    </row>
    <row r="1689" spans="1:12" x14ac:dyDescent="0.3">
      <c r="A1689">
        <v>1688</v>
      </c>
      <c r="B1689">
        <v>1141</v>
      </c>
      <c r="C1689">
        <v>41</v>
      </c>
      <c r="D1689" t="s">
        <v>408</v>
      </c>
      <c r="E1689">
        <f t="shared" si="78"/>
        <v>2023</v>
      </c>
      <c r="F1689" t="str">
        <f t="shared" si="79"/>
        <v>Oct</v>
      </c>
      <c r="G1689">
        <v>2</v>
      </c>
      <c r="H1689">
        <f>_xlfn.XLOOKUP(C1689,Products!A:A,Products!D:D)</f>
        <v>554.80999999999995</v>
      </c>
      <c r="I1689">
        <v>15</v>
      </c>
      <c r="J1689">
        <f t="shared" si="80"/>
        <v>943.17699999999991</v>
      </c>
      <c r="K1689" t="s">
        <v>2024</v>
      </c>
      <c r="L1689" t="str">
        <f>_xlfn.XLOOKUP(Orders[[#This Row],[ProductID]],Products!A:A,Products!C:C)</f>
        <v>Home</v>
      </c>
    </row>
    <row r="1690" spans="1:12" x14ac:dyDescent="0.3">
      <c r="A1690">
        <v>1689</v>
      </c>
      <c r="B1690">
        <v>1141</v>
      </c>
      <c r="C1690">
        <v>23</v>
      </c>
      <c r="D1690" t="s">
        <v>2217</v>
      </c>
      <c r="E1690">
        <f t="shared" si="78"/>
        <v>2023</v>
      </c>
      <c r="F1690" t="str">
        <f t="shared" si="79"/>
        <v>May</v>
      </c>
      <c r="G1690">
        <v>2</v>
      </c>
      <c r="H1690">
        <f>_xlfn.XLOOKUP(C1690,Products!A:A,Products!D:D)</f>
        <v>258.08</v>
      </c>
      <c r="I1690">
        <v>0</v>
      </c>
      <c r="J1690">
        <f t="shared" si="80"/>
        <v>516.16</v>
      </c>
      <c r="K1690" t="s">
        <v>2015</v>
      </c>
      <c r="L1690" t="str">
        <f>_xlfn.XLOOKUP(Orders[[#This Row],[ProductID]],Products!A:A,Products!C:C)</f>
        <v>Home</v>
      </c>
    </row>
    <row r="1691" spans="1:12" x14ac:dyDescent="0.3">
      <c r="A1691">
        <v>1690</v>
      </c>
      <c r="B1691">
        <v>1141</v>
      </c>
      <c r="C1691">
        <v>21</v>
      </c>
      <c r="D1691" t="s">
        <v>2085</v>
      </c>
      <c r="E1691">
        <f t="shared" si="78"/>
        <v>2024</v>
      </c>
      <c r="F1691" t="str">
        <f t="shared" si="79"/>
        <v>Apr</v>
      </c>
      <c r="G1691">
        <v>1</v>
      </c>
      <c r="H1691">
        <f>_xlfn.XLOOKUP(C1691,Products!A:A,Products!D:D)</f>
        <v>420.66</v>
      </c>
      <c r="I1691">
        <v>5</v>
      </c>
      <c r="J1691">
        <f t="shared" si="80"/>
        <v>399.62700000000001</v>
      </c>
      <c r="K1691" t="s">
        <v>2017</v>
      </c>
      <c r="L1691" t="str">
        <f>_xlfn.XLOOKUP(Orders[[#This Row],[ProductID]],Products!A:A,Products!C:C)</f>
        <v>Beauty</v>
      </c>
    </row>
    <row r="1692" spans="1:12" x14ac:dyDescent="0.3">
      <c r="A1692">
        <v>1691</v>
      </c>
      <c r="B1692">
        <v>1142</v>
      </c>
      <c r="C1692">
        <v>16</v>
      </c>
      <c r="D1692" t="s">
        <v>399</v>
      </c>
      <c r="E1692">
        <f t="shared" si="78"/>
        <v>2023</v>
      </c>
      <c r="F1692" t="str">
        <f t="shared" si="79"/>
        <v>Sep</v>
      </c>
      <c r="G1692">
        <v>3</v>
      </c>
      <c r="H1692">
        <f>_xlfn.XLOOKUP(C1692,Products!A:A,Products!D:D)</f>
        <v>693.02</v>
      </c>
      <c r="I1692">
        <v>15</v>
      </c>
      <c r="J1692">
        <f t="shared" si="80"/>
        <v>1767.2009999999998</v>
      </c>
      <c r="K1692" t="s">
        <v>2021</v>
      </c>
      <c r="L1692" t="str">
        <f>_xlfn.XLOOKUP(Orders[[#This Row],[ProductID]],Products!A:A,Products!C:C)</f>
        <v>Home</v>
      </c>
    </row>
    <row r="1693" spans="1:12" x14ac:dyDescent="0.3">
      <c r="A1693">
        <v>1692</v>
      </c>
      <c r="B1693">
        <v>1142</v>
      </c>
      <c r="C1693">
        <v>72</v>
      </c>
      <c r="D1693" t="s">
        <v>1032</v>
      </c>
      <c r="E1693">
        <f t="shared" si="78"/>
        <v>2023</v>
      </c>
      <c r="F1693" t="str">
        <f t="shared" si="79"/>
        <v>Oct</v>
      </c>
      <c r="G1693">
        <v>3</v>
      </c>
      <c r="H1693">
        <f>_xlfn.XLOOKUP(C1693,Products!A:A,Products!D:D)</f>
        <v>1157.27</v>
      </c>
      <c r="I1693">
        <v>15</v>
      </c>
      <c r="J1693">
        <f t="shared" si="80"/>
        <v>2951.0384999999997</v>
      </c>
      <c r="K1693" t="s">
        <v>2024</v>
      </c>
      <c r="L1693" t="str">
        <f>_xlfn.XLOOKUP(Orders[[#This Row],[ProductID]],Products!A:A,Products!C:C)</f>
        <v>Electronics</v>
      </c>
    </row>
    <row r="1694" spans="1:12" x14ac:dyDescent="0.3">
      <c r="A1694">
        <v>1693</v>
      </c>
      <c r="B1694">
        <v>1142</v>
      </c>
      <c r="C1694">
        <v>32</v>
      </c>
      <c r="D1694" t="s">
        <v>2056</v>
      </c>
      <c r="E1694">
        <f t="shared" si="78"/>
        <v>2024</v>
      </c>
      <c r="F1694" t="str">
        <f t="shared" si="79"/>
        <v>May</v>
      </c>
      <c r="G1694">
        <v>1</v>
      </c>
      <c r="H1694">
        <f>_xlfn.XLOOKUP(C1694,Products!A:A,Products!D:D)</f>
        <v>342.57</v>
      </c>
      <c r="I1694">
        <v>5</v>
      </c>
      <c r="J1694">
        <f t="shared" si="80"/>
        <v>325.44149999999996</v>
      </c>
      <c r="K1694" t="s">
        <v>2017</v>
      </c>
      <c r="L1694" t="str">
        <f>_xlfn.XLOOKUP(Orders[[#This Row],[ProductID]],Products!A:A,Products!C:C)</f>
        <v>Clothing</v>
      </c>
    </row>
    <row r="1695" spans="1:12" x14ac:dyDescent="0.3">
      <c r="A1695">
        <v>1694</v>
      </c>
      <c r="B1695">
        <v>1142</v>
      </c>
      <c r="C1695">
        <v>13</v>
      </c>
      <c r="D1695" t="s">
        <v>2128</v>
      </c>
      <c r="E1695">
        <f t="shared" si="78"/>
        <v>2024</v>
      </c>
      <c r="F1695" t="str">
        <f t="shared" si="79"/>
        <v>Jan</v>
      </c>
      <c r="G1695">
        <v>1</v>
      </c>
      <c r="H1695">
        <f>_xlfn.XLOOKUP(C1695,Products!A:A,Products!D:D)</f>
        <v>334.61</v>
      </c>
      <c r="I1695">
        <v>5</v>
      </c>
      <c r="J1695">
        <f t="shared" si="80"/>
        <v>317.87950000000001</v>
      </c>
      <c r="K1695" t="s">
        <v>2017</v>
      </c>
      <c r="L1695" t="str">
        <f>_xlfn.XLOOKUP(Orders[[#This Row],[ProductID]],Products!A:A,Products!C:C)</f>
        <v>Home</v>
      </c>
    </row>
    <row r="1696" spans="1:12" x14ac:dyDescent="0.3">
      <c r="A1696">
        <v>1695</v>
      </c>
      <c r="B1696">
        <v>1142</v>
      </c>
      <c r="C1696">
        <v>61</v>
      </c>
      <c r="D1696" t="s">
        <v>268</v>
      </c>
      <c r="E1696">
        <f t="shared" si="78"/>
        <v>2023</v>
      </c>
      <c r="F1696" t="str">
        <f t="shared" si="79"/>
        <v>Jul</v>
      </c>
      <c r="G1696">
        <v>2</v>
      </c>
      <c r="H1696">
        <f>_xlfn.XLOOKUP(C1696,Products!A:A,Products!D:D)</f>
        <v>498.92</v>
      </c>
      <c r="I1696">
        <v>5</v>
      </c>
      <c r="J1696">
        <f t="shared" si="80"/>
        <v>947.94799999999998</v>
      </c>
      <c r="K1696" t="s">
        <v>2019</v>
      </c>
      <c r="L1696" t="str">
        <f>_xlfn.XLOOKUP(Orders[[#This Row],[ProductID]],Products!A:A,Products!C:C)</f>
        <v>Clothing</v>
      </c>
    </row>
    <row r="1697" spans="1:12" x14ac:dyDescent="0.3">
      <c r="A1697">
        <v>1696</v>
      </c>
      <c r="B1697">
        <v>1143</v>
      </c>
      <c r="C1697">
        <v>76</v>
      </c>
      <c r="D1697" t="s">
        <v>2165</v>
      </c>
      <c r="E1697">
        <f t="shared" si="78"/>
        <v>2023</v>
      </c>
      <c r="F1697" t="str">
        <f t="shared" si="79"/>
        <v>Dec</v>
      </c>
      <c r="G1697">
        <v>2</v>
      </c>
      <c r="H1697">
        <f>_xlfn.XLOOKUP(C1697,Products!A:A,Products!D:D)</f>
        <v>1043.26</v>
      </c>
      <c r="I1697">
        <v>15</v>
      </c>
      <c r="J1697">
        <f t="shared" si="80"/>
        <v>1773.5419999999999</v>
      </c>
      <c r="K1697" t="s">
        <v>2015</v>
      </c>
      <c r="L1697" t="str">
        <f>_xlfn.XLOOKUP(Orders[[#This Row],[ProductID]],Products!A:A,Products!C:C)</f>
        <v>Clothing</v>
      </c>
    </row>
    <row r="1698" spans="1:12" x14ac:dyDescent="0.3">
      <c r="A1698">
        <v>1697</v>
      </c>
      <c r="B1698">
        <v>1143</v>
      </c>
      <c r="C1698">
        <v>74</v>
      </c>
      <c r="D1698" t="s">
        <v>2080</v>
      </c>
      <c r="E1698">
        <f t="shared" si="78"/>
        <v>2023</v>
      </c>
      <c r="F1698" t="str">
        <f t="shared" si="79"/>
        <v>Apr</v>
      </c>
      <c r="G1698">
        <v>2</v>
      </c>
      <c r="H1698">
        <f>_xlfn.XLOOKUP(C1698,Products!A:A,Products!D:D)</f>
        <v>1034.31</v>
      </c>
      <c r="I1698">
        <v>0</v>
      </c>
      <c r="J1698">
        <f t="shared" si="80"/>
        <v>2068.62</v>
      </c>
      <c r="K1698" t="s">
        <v>2017</v>
      </c>
      <c r="L1698" t="str">
        <f>_xlfn.XLOOKUP(Orders[[#This Row],[ProductID]],Products!A:A,Products!C:C)</f>
        <v>Electronics</v>
      </c>
    </row>
    <row r="1699" spans="1:12" x14ac:dyDescent="0.3">
      <c r="A1699">
        <v>1698</v>
      </c>
      <c r="B1699">
        <v>1143</v>
      </c>
      <c r="C1699">
        <v>73</v>
      </c>
      <c r="D1699" t="s">
        <v>2049</v>
      </c>
      <c r="E1699">
        <f t="shared" si="78"/>
        <v>2023</v>
      </c>
      <c r="F1699" t="str">
        <f t="shared" si="79"/>
        <v>Jun</v>
      </c>
      <c r="G1699">
        <v>2</v>
      </c>
      <c r="H1699">
        <f>_xlfn.XLOOKUP(C1699,Products!A:A,Products!D:D)</f>
        <v>943.04</v>
      </c>
      <c r="I1699">
        <v>0</v>
      </c>
      <c r="J1699">
        <f t="shared" si="80"/>
        <v>1886.08</v>
      </c>
      <c r="K1699" t="s">
        <v>2024</v>
      </c>
      <c r="L1699" t="str">
        <f>_xlfn.XLOOKUP(Orders[[#This Row],[ProductID]],Products!A:A,Products!C:C)</f>
        <v>Home</v>
      </c>
    </row>
    <row r="1700" spans="1:12" x14ac:dyDescent="0.3">
      <c r="A1700">
        <v>1699</v>
      </c>
      <c r="B1700">
        <v>1143</v>
      </c>
      <c r="C1700">
        <v>9</v>
      </c>
      <c r="D1700" t="s">
        <v>2088</v>
      </c>
      <c r="E1700">
        <f t="shared" si="78"/>
        <v>2023</v>
      </c>
      <c r="F1700" t="str">
        <f t="shared" si="79"/>
        <v>Apr</v>
      </c>
      <c r="G1700">
        <v>1</v>
      </c>
      <c r="H1700">
        <f>_xlfn.XLOOKUP(C1700,Products!A:A,Products!D:D)</f>
        <v>43.26</v>
      </c>
      <c r="I1700">
        <v>20</v>
      </c>
      <c r="J1700">
        <f t="shared" si="80"/>
        <v>34.607999999999997</v>
      </c>
      <c r="K1700" t="s">
        <v>2024</v>
      </c>
      <c r="L1700" t="str">
        <f>_xlfn.XLOOKUP(Orders[[#This Row],[ProductID]],Products!A:A,Products!C:C)</f>
        <v>Electronics</v>
      </c>
    </row>
    <row r="1701" spans="1:12" x14ac:dyDescent="0.3">
      <c r="A1701">
        <v>1700</v>
      </c>
      <c r="B1701">
        <v>1143</v>
      </c>
      <c r="C1701">
        <v>51</v>
      </c>
      <c r="D1701" t="s">
        <v>2184</v>
      </c>
      <c r="E1701">
        <f t="shared" si="78"/>
        <v>2024</v>
      </c>
      <c r="F1701" t="str">
        <f t="shared" si="79"/>
        <v>Apr</v>
      </c>
      <c r="G1701">
        <v>1</v>
      </c>
      <c r="H1701">
        <f>_xlfn.XLOOKUP(C1701,Products!A:A,Products!D:D)</f>
        <v>759.57</v>
      </c>
      <c r="I1701">
        <v>0</v>
      </c>
      <c r="J1701">
        <f t="shared" si="80"/>
        <v>759.57</v>
      </c>
      <c r="K1701" t="s">
        <v>2021</v>
      </c>
      <c r="L1701" t="str">
        <f>_xlfn.XLOOKUP(Orders[[#This Row],[ProductID]],Products!A:A,Products!C:C)</f>
        <v>Beauty</v>
      </c>
    </row>
    <row r="1702" spans="1:12" x14ac:dyDescent="0.3">
      <c r="A1702">
        <v>1701</v>
      </c>
      <c r="B1702">
        <v>1143</v>
      </c>
      <c r="C1702">
        <v>42</v>
      </c>
      <c r="D1702" t="s">
        <v>916</v>
      </c>
      <c r="E1702">
        <f t="shared" si="78"/>
        <v>2023</v>
      </c>
      <c r="F1702" t="str">
        <f t="shared" si="79"/>
        <v>May</v>
      </c>
      <c r="G1702">
        <v>3</v>
      </c>
      <c r="H1702">
        <f>_xlfn.XLOOKUP(C1702,Products!A:A,Products!D:D)</f>
        <v>233.11</v>
      </c>
      <c r="I1702">
        <v>0</v>
      </c>
      <c r="J1702">
        <f t="shared" si="80"/>
        <v>699.33</v>
      </c>
      <c r="K1702" t="s">
        <v>2024</v>
      </c>
      <c r="L1702" t="str">
        <f>_xlfn.XLOOKUP(Orders[[#This Row],[ProductID]],Products!A:A,Products!C:C)</f>
        <v>Home</v>
      </c>
    </row>
    <row r="1703" spans="1:12" x14ac:dyDescent="0.3">
      <c r="A1703">
        <v>1702</v>
      </c>
      <c r="B1703">
        <v>1143</v>
      </c>
      <c r="C1703">
        <v>78</v>
      </c>
      <c r="D1703" t="s">
        <v>2169</v>
      </c>
      <c r="E1703">
        <f t="shared" si="78"/>
        <v>2024</v>
      </c>
      <c r="F1703" t="str">
        <f t="shared" si="79"/>
        <v>Feb</v>
      </c>
      <c r="G1703">
        <v>2</v>
      </c>
      <c r="H1703">
        <f>_xlfn.XLOOKUP(C1703,Products!A:A,Products!D:D)</f>
        <v>795.77</v>
      </c>
      <c r="I1703">
        <v>0</v>
      </c>
      <c r="J1703">
        <f t="shared" si="80"/>
        <v>1591.54</v>
      </c>
      <c r="K1703" t="s">
        <v>2015</v>
      </c>
      <c r="L1703" t="str">
        <f>_xlfn.XLOOKUP(Orders[[#This Row],[ProductID]],Products!A:A,Products!C:C)</f>
        <v>Beauty</v>
      </c>
    </row>
    <row r="1704" spans="1:12" x14ac:dyDescent="0.3">
      <c r="A1704">
        <v>1703</v>
      </c>
      <c r="B1704">
        <v>1144</v>
      </c>
      <c r="C1704">
        <v>76</v>
      </c>
      <c r="D1704" t="s">
        <v>922</v>
      </c>
      <c r="E1704">
        <f t="shared" si="78"/>
        <v>2023</v>
      </c>
      <c r="F1704" t="str">
        <f t="shared" si="79"/>
        <v>Aug</v>
      </c>
      <c r="G1704">
        <v>1</v>
      </c>
      <c r="H1704">
        <f>_xlfn.XLOOKUP(C1704,Products!A:A,Products!D:D)</f>
        <v>1043.26</v>
      </c>
      <c r="I1704">
        <v>10</v>
      </c>
      <c r="J1704">
        <f t="shared" si="80"/>
        <v>938.93399999999997</v>
      </c>
      <c r="K1704" t="s">
        <v>2024</v>
      </c>
      <c r="L1704" t="str">
        <f>_xlfn.XLOOKUP(Orders[[#This Row],[ProductID]],Products!A:A,Products!C:C)</f>
        <v>Clothing</v>
      </c>
    </row>
    <row r="1705" spans="1:12" x14ac:dyDescent="0.3">
      <c r="A1705">
        <v>1704</v>
      </c>
      <c r="B1705">
        <v>1144</v>
      </c>
      <c r="C1705">
        <v>25</v>
      </c>
      <c r="D1705" t="s">
        <v>1501</v>
      </c>
      <c r="E1705">
        <f t="shared" si="78"/>
        <v>2023</v>
      </c>
      <c r="F1705" t="str">
        <f t="shared" si="79"/>
        <v>Sep</v>
      </c>
      <c r="G1705">
        <v>2</v>
      </c>
      <c r="H1705">
        <f>_xlfn.XLOOKUP(C1705,Products!A:A,Products!D:D)</f>
        <v>1011.65</v>
      </c>
      <c r="I1705">
        <v>20</v>
      </c>
      <c r="J1705">
        <f t="shared" si="80"/>
        <v>1618.64</v>
      </c>
      <c r="K1705" t="s">
        <v>2019</v>
      </c>
      <c r="L1705" t="str">
        <f>_xlfn.XLOOKUP(Orders[[#This Row],[ProductID]],Products!A:A,Products!C:C)</f>
        <v>Electronics</v>
      </c>
    </row>
    <row r="1706" spans="1:12" x14ac:dyDescent="0.3">
      <c r="A1706">
        <v>1705</v>
      </c>
      <c r="B1706">
        <v>1144</v>
      </c>
      <c r="C1706">
        <v>63</v>
      </c>
      <c r="D1706" t="s">
        <v>1095</v>
      </c>
      <c r="E1706">
        <f t="shared" si="78"/>
        <v>2023</v>
      </c>
      <c r="F1706" t="str">
        <f t="shared" si="79"/>
        <v>Jun</v>
      </c>
      <c r="G1706">
        <v>1</v>
      </c>
      <c r="H1706">
        <f>_xlfn.XLOOKUP(C1706,Products!A:A,Products!D:D)</f>
        <v>309.79000000000002</v>
      </c>
      <c r="I1706">
        <v>0</v>
      </c>
      <c r="J1706">
        <f t="shared" si="80"/>
        <v>309.79000000000002</v>
      </c>
      <c r="K1706" t="s">
        <v>2021</v>
      </c>
      <c r="L1706" t="str">
        <f>_xlfn.XLOOKUP(Orders[[#This Row],[ProductID]],Products!A:A,Products!C:C)</f>
        <v>Electronics</v>
      </c>
    </row>
    <row r="1707" spans="1:12" x14ac:dyDescent="0.3">
      <c r="A1707">
        <v>1706</v>
      </c>
      <c r="B1707">
        <v>1144</v>
      </c>
      <c r="C1707">
        <v>40</v>
      </c>
      <c r="D1707" t="s">
        <v>317</v>
      </c>
      <c r="E1707">
        <f t="shared" si="78"/>
        <v>2023</v>
      </c>
      <c r="F1707" t="str">
        <f t="shared" si="79"/>
        <v>May</v>
      </c>
      <c r="G1707">
        <v>2</v>
      </c>
      <c r="H1707">
        <f>_xlfn.XLOOKUP(C1707,Products!A:A,Products!D:D)</f>
        <v>316.49</v>
      </c>
      <c r="I1707">
        <v>15</v>
      </c>
      <c r="J1707">
        <f t="shared" si="80"/>
        <v>538.03300000000002</v>
      </c>
      <c r="K1707" t="s">
        <v>2024</v>
      </c>
      <c r="L1707" t="str">
        <f>_xlfn.XLOOKUP(Orders[[#This Row],[ProductID]],Products!A:A,Products!C:C)</f>
        <v>Home</v>
      </c>
    </row>
    <row r="1708" spans="1:12" x14ac:dyDescent="0.3">
      <c r="A1708">
        <v>1707</v>
      </c>
      <c r="B1708">
        <v>1144</v>
      </c>
      <c r="C1708">
        <v>6</v>
      </c>
      <c r="D1708" t="s">
        <v>1148</v>
      </c>
      <c r="E1708">
        <f t="shared" si="78"/>
        <v>2023</v>
      </c>
      <c r="F1708" t="str">
        <f t="shared" si="79"/>
        <v>May</v>
      </c>
      <c r="G1708">
        <v>3</v>
      </c>
      <c r="H1708">
        <f>_xlfn.XLOOKUP(C1708,Products!A:A,Products!D:D)</f>
        <v>719.19</v>
      </c>
      <c r="I1708">
        <v>15</v>
      </c>
      <c r="J1708">
        <f t="shared" si="80"/>
        <v>1833.9345000000001</v>
      </c>
      <c r="K1708" t="s">
        <v>2019</v>
      </c>
      <c r="L1708" t="str">
        <f>_xlfn.XLOOKUP(Orders[[#This Row],[ProductID]],Products!A:A,Products!C:C)</f>
        <v>Clothing</v>
      </c>
    </row>
    <row r="1709" spans="1:12" x14ac:dyDescent="0.3">
      <c r="A1709">
        <v>1708</v>
      </c>
      <c r="B1709">
        <v>1144</v>
      </c>
      <c r="C1709">
        <v>43</v>
      </c>
      <c r="D1709" t="s">
        <v>1032</v>
      </c>
      <c r="E1709">
        <f t="shared" si="78"/>
        <v>2023</v>
      </c>
      <c r="F1709" t="str">
        <f t="shared" si="79"/>
        <v>Oct</v>
      </c>
      <c r="G1709">
        <v>1</v>
      </c>
      <c r="H1709">
        <f>_xlfn.XLOOKUP(C1709,Products!A:A,Products!D:D)</f>
        <v>760.86</v>
      </c>
      <c r="I1709">
        <v>5</v>
      </c>
      <c r="J1709">
        <f t="shared" si="80"/>
        <v>722.81700000000001</v>
      </c>
      <c r="K1709" t="s">
        <v>2015</v>
      </c>
      <c r="L1709" t="str">
        <f>_xlfn.XLOOKUP(Orders[[#This Row],[ProductID]],Products!A:A,Products!C:C)</f>
        <v>Electronics</v>
      </c>
    </row>
    <row r="1710" spans="1:12" x14ac:dyDescent="0.3">
      <c r="A1710">
        <v>1709</v>
      </c>
      <c r="B1710">
        <v>1145</v>
      </c>
      <c r="C1710">
        <v>2</v>
      </c>
      <c r="D1710" t="s">
        <v>2147</v>
      </c>
      <c r="E1710">
        <f t="shared" si="78"/>
        <v>2024</v>
      </c>
      <c r="F1710" t="str">
        <f t="shared" si="79"/>
        <v>Jan</v>
      </c>
      <c r="G1710">
        <v>3</v>
      </c>
      <c r="H1710">
        <f>_xlfn.XLOOKUP(C1710,Products!A:A,Products!D:D)</f>
        <v>427.27</v>
      </c>
      <c r="I1710">
        <v>0</v>
      </c>
      <c r="J1710">
        <f t="shared" si="80"/>
        <v>1281.81</v>
      </c>
      <c r="K1710" t="s">
        <v>2024</v>
      </c>
      <c r="L1710" t="str">
        <f>_xlfn.XLOOKUP(Orders[[#This Row],[ProductID]],Products!A:A,Products!C:C)</f>
        <v>Home</v>
      </c>
    </row>
    <row r="1711" spans="1:12" x14ac:dyDescent="0.3">
      <c r="A1711">
        <v>1710</v>
      </c>
      <c r="B1711">
        <v>1145</v>
      </c>
      <c r="C1711">
        <v>49</v>
      </c>
      <c r="D1711" t="s">
        <v>848</v>
      </c>
      <c r="E1711">
        <f t="shared" si="78"/>
        <v>2023</v>
      </c>
      <c r="F1711" t="str">
        <f t="shared" si="79"/>
        <v>Apr</v>
      </c>
      <c r="G1711">
        <v>2</v>
      </c>
      <c r="H1711">
        <f>_xlfn.XLOOKUP(C1711,Products!A:A,Products!D:D)</f>
        <v>974.54</v>
      </c>
      <c r="I1711">
        <v>15</v>
      </c>
      <c r="J1711">
        <f t="shared" si="80"/>
        <v>1656.7179999999998</v>
      </c>
      <c r="K1711" t="s">
        <v>2017</v>
      </c>
      <c r="L1711" t="str">
        <f>_xlfn.XLOOKUP(Orders[[#This Row],[ProductID]],Products!A:A,Products!C:C)</f>
        <v>Home</v>
      </c>
    </row>
    <row r="1712" spans="1:12" x14ac:dyDescent="0.3">
      <c r="A1712">
        <v>1711</v>
      </c>
      <c r="B1712">
        <v>1145</v>
      </c>
      <c r="C1712">
        <v>5</v>
      </c>
      <c r="D1712" t="s">
        <v>2071</v>
      </c>
      <c r="E1712">
        <f t="shared" si="78"/>
        <v>2023</v>
      </c>
      <c r="F1712" t="str">
        <f t="shared" si="79"/>
        <v>Dec</v>
      </c>
      <c r="G1712">
        <v>3</v>
      </c>
      <c r="H1712">
        <f>_xlfn.XLOOKUP(C1712,Products!A:A,Products!D:D)</f>
        <v>296.85000000000002</v>
      </c>
      <c r="I1712">
        <v>10</v>
      </c>
      <c r="J1712">
        <f t="shared" si="80"/>
        <v>801.49500000000012</v>
      </c>
      <c r="K1712" t="s">
        <v>2017</v>
      </c>
      <c r="L1712" t="str">
        <f>_xlfn.XLOOKUP(Orders[[#This Row],[ProductID]],Products!A:A,Products!C:C)</f>
        <v>Clothing</v>
      </c>
    </row>
    <row r="1713" spans="1:12" x14ac:dyDescent="0.3">
      <c r="A1713">
        <v>1712</v>
      </c>
      <c r="B1713">
        <v>1145</v>
      </c>
      <c r="C1713">
        <v>43</v>
      </c>
      <c r="D1713" t="s">
        <v>472</v>
      </c>
      <c r="E1713">
        <f t="shared" si="78"/>
        <v>2023</v>
      </c>
      <c r="F1713" t="str">
        <f t="shared" si="79"/>
        <v>Jul</v>
      </c>
      <c r="G1713">
        <v>3</v>
      </c>
      <c r="H1713">
        <f>_xlfn.XLOOKUP(C1713,Products!A:A,Products!D:D)</f>
        <v>760.86</v>
      </c>
      <c r="I1713">
        <v>15</v>
      </c>
      <c r="J1713">
        <f t="shared" si="80"/>
        <v>1940.193</v>
      </c>
      <c r="K1713" t="s">
        <v>2017</v>
      </c>
      <c r="L1713" t="str">
        <f>_xlfn.XLOOKUP(Orders[[#This Row],[ProductID]],Products!A:A,Products!C:C)</f>
        <v>Electronics</v>
      </c>
    </row>
    <row r="1714" spans="1:12" x14ac:dyDescent="0.3">
      <c r="A1714">
        <v>1713</v>
      </c>
      <c r="B1714">
        <v>1145</v>
      </c>
      <c r="C1714">
        <v>44</v>
      </c>
      <c r="D1714" t="s">
        <v>13</v>
      </c>
      <c r="E1714">
        <f t="shared" si="78"/>
        <v>2023</v>
      </c>
      <c r="F1714" t="str">
        <f t="shared" si="79"/>
        <v>Mar</v>
      </c>
      <c r="G1714">
        <v>2</v>
      </c>
      <c r="H1714">
        <f>_xlfn.XLOOKUP(C1714,Products!A:A,Products!D:D)</f>
        <v>1038</v>
      </c>
      <c r="I1714">
        <v>10</v>
      </c>
      <c r="J1714">
        <f t="shared" si="80"/>
        <v>1868.4</v>
      </c>
      <c r="K1714" t="s">
        <v>2015</v>
      </c>
      <c r="L1714" t="str">
        <f>_xlfn.XLOOKUP(Orders[[#This Row],[ProductID]],Products!A:A,Products!C:C)</f>
        <v>Home</v>
      </c>
    </row>
    <row r="1715" spans="1:12" x14ac:dyDescent="0.3">
      <c r="A1715">
        <v>1714</v>
      </c>
      <c r="B1715">
        <v>1146</v>
      </c>
      <c r="C1715">
        <v>25</v>
      </c>
      <c r="D1715" t="s">
        <v>2034</v>
      </c>
      <c r="E1715">
        <f t="shared" si="78"/>
        <v>2023</v>
      </c>
      <c r="F1715" t="str">
        <f t="shared" si="79"/>
        <v>Sep</v>
      </c>
      <c r="G1715">
        <v>2</v>
      </c>
      <c r="H1715">
        <f>_xlfn.XLOOKUP(C1715,Products!A:A,Products!D:D)</f>
        <v>1011.65</v>
      </c>
      <c r="I1715">
        <v>10</v>
      </c>
      <c r="J1715">
        <f t="shared" si="80"/>
        <v>1820.97</v>
      </c>
      <c r="K1715" t="s">
        <v>2019</v>
      </c>
      <c r="L1715" t="str">
        <f>_xlfn.XLOOKUP(Orders[[#This Row],[ProductID]],Products!A:A,Products!C:C)</f>
        <v>Electronics</v>
      </c>
    </row>
    <row r="1716" spans="1:12" x14ac:dyDescent="0.3">
      <c r="A1716">
        <v>1715</v>
      </c>
      <c r="B1716">
        <v>1146</v>
      </c>
      <c r="C1716">
        <v>58</v>
      </c>
      <c r="D1716" t="s">
        <v>2096</v>
      </c>
      <c r="E1716">
        <f t="shared" si="78"/>
        <v>2024</v>
      </c>
      <c r="F1716" t="str">
        <f t="shared" si="79"/>
        <v>Apr</v>
      </c>
      <c r="G1716">
        <v>3</v>
      </c>
      <c r="H1716">
        <f>_xlfn.XLOOKUP(C1716,Products!A:A,Products!D:D)</f>
        <v>334.98</v>
      </c>
      <c r="I1716">
        <v>0</v>
      </c>
      <c r="J1716">
        <f t="shared" si="80"/>
        <v>1004.94</v>
      </c>
      <c r="K1716" t="s">
        <v>2024</v>
      </c>
      <c r="L1716" t="str">
        <f>_xlfn.XLOOKUP(Orders[[#This Row],[ProductID]],Products!A:A,Products!C:C)</f>
        <v>Home</v>
      </c>
    </row>
    <row r="1717" spans="1:12" x14ac:dyDescent="0.3">
      <c r="A1717">
        <v>1716</v>
      </c>
      <c r="B1717">
        <v>1146</v>
      </c>
      <c r="C1717">
        <v>66</v>
      </c>
      <c r="D1717" t="s">
        <v>2054</v>
      </c>
      <c r="E1717">
        <f t="shared" si="78"/>
        <v>2024</v>
      </c>
      <c r="F1717" t="str">
        <f t="shared" si="79"/>
        <v>Apr</v>
      </c>
      <c r="G1717">
        <v>1</v>
      </c>
      <c r="H1717">
        <f>_xlfn.XLOOKUP(C1717,Products!A:A,Products!D:D)</f>
        <v>783.37</v>
      </c>
      <c r="I1717">
        <v>0</v>
      </c>
      <c r="J1717">
        <f t="shared" si="80"/>
        <v>783.37</v>
      </c>
      <c r="K1717" t="s">
        <v>2021</v>
      </c>
      <c r="L1717" t="str">
        <f>_xlfn.XLOOKUP(Orders[[#This Row],[ProductID]],Products!A:A,Products!C:C)</f>
        <v>Home</v>
      </c>
    </row>
    <row r="1718" spans="1:12" x14ac:dyDescent="0.3">
      <c r="A1718">
        <v>1717</v>
      </c>
      <c r="B1718">
        <v>1146</v>
      </c>
      <c r="C1718">
        <v>14</v>
      </c>
      <c r="D1718" t="s">
        <v>792</v>
      </c>
      <c r="E1718">
        <f t="shared" si="78"/>
        <v>2023</v>
      </c>
      <c r="F1718" t="str">
        <f t="shared" si="79"/>
        <v>May</v>
      </c>
      <c r="G1718">
        <v>1</v>
      </c>
      <c r="H1718">
        <f>_xlfn.XLOOKUP(C1718,Products!A:A,Products!D:D)</f>
        <v>574.25</v>
      </c>
      <c r="I1718">
        <v>5</v>
      </c>
      <c r="J1718">
        <f t="shared" si="80"/>
        <v>545.53750000000002</v>
      </c>
      <c r="K1718" t="s">
        <v>2024</v>
      </c>
      <c r="L1718" t="str">
        <f>_xlfn.XLOOKUP(Orders[[#This Row],[ProductID]],Products!A:A,Products!C:C)</f>
        <v>Beauty</v>
      </c>
    </row>
    <row r="1719" spans="1:12" x14ac:dyDescent="0.3">
      <c r="A1719">
        <v>1718</v>
      </c>
      <c r="B1719">
        <v>1146</v>
      </c>
      <c r="C1719">
        <v>9</v>
      </c>
      <c r="D1719" t="s">
        <v>1129</v>
      </c>
      <c r="E1719">
        <f t="shared" si="78"/>
        <v>2023</v>
      </c>
      <c r="F1719" t="str">
        <f t="shared" si="79"/>
        <v>Mar</v>
      </c>
      <c r="G1719">
        <v>3</v>
      </c>
      <c r="H1719">
        <f>_xlfn.XLOOKUP(C1719,Products!A:A,Products!D:D)</f>
        <v>43.26</v>
      </c>
      <c r="I1719">
        <v>5</v>
      </c>
      <c r="J1719">
        <f t="shared" si="80"/>
        <v>123.291</v>
      </c>
      <c r="K1719" t="s">
        <v>2019</v>
      </c>
      <c r="L1719" t="str">
        <f>_xlfn.XLOOKUP(Orders[[#This Row],[ProductID]],Products!A:A,Products!C:C)</f>
        <v>Electronics</v>
      </c>
    </row>
    <row r="1720" spans="1:12" x14ac:dyDescent="0.3">
      <c r="A1720">
        <v>1719</v>
      </c>
      <c r="B1720">
        <v>1147</v>
      </c>
      <c r="C1720">
        <v>10</v>
      </c>
      <c r="D1720" t="s">
        <v>1044</v>
      </c>
      <c r="E1720">
        <f t="shared" si="78"/>
        <v>2023</v>
      </c>
      <c r="F1720" t="str">
        <f t="shared" si="79"/>
        <v>Jan</v>
      </c>
      <c r="G1720">
        <v>3</v>
      </c>
      <c r="H1720">
        <f>_xlfn.XLOOKUP(C1720,Products!A:A,Products!D:D)</f>
        <v>64.11</v>
      </c>
      <c r="I1720">
        <v>0</v>
      </c>
      <c r="J1720">
        <f t="shared" si="80"/>
        <v>192.32999999999998</v>
      </c>
      <c r="K1720" t="s">
        <v>2024</v>
      </c>
      <c r="L1720" t="str">
        <f>_xlfn.XLOOKUP(Orders[[#This Row],[ProductID]],Products!A:A,Products!C:C)</f>
        <v>Clothing</v>
      </c>
    </row>
    <row r="1721" spans="1:12" x14ac:dyDescent="0.3">
      <c r="A1721">
        <v>1720</v>
      </c>
      <c r="B1721">
        <v>1147</v>
      </c>
      <c r="C1721">
        <v>80</v>
      </c>
      <c r="D1721" t="s">
        <v>1002</v>
      </c>
      <c r="E1721">
        <f t="shared" si="78"/>
        <v>2023</v>
      </c>
      <c r="F1721" t="str">
        <f t="shared" si="79"/>
        <v>Feb</v>
      </c>
      <c r="G1721">
        <v>1</v>
      </c>
      <c r="H1721">
        <f>_xlfn.XLOOKUP(C1721,Products!A:A,Products!D:D)</f>
        <v>1014.45</v>
      </c>
      <c r="I1721">
        <v>20</v>
      </c>
      <c r="J1721">
        <f t="shared" si="80"/>
        <v>811.56000000000006</v>
      </c>
      <c r="K1721" t="s">
        <v>2017</v>
      </c>
      <c r="L1721" t="str">
        <f>_xlfn.XLOOKUP(Orders[[#This Row],[ProductID]],Products!A:A,Products!C:C)</f>
        <v>Beauty</v>
      </c>
    </row>
    <row r="1722" spans="1:12" x14ac:dyDescent="0.3">
      <c r="A1722">
        <v>1721</v>
      </c>
      <c r="B1722">
        <v>1147</v>
      </c>
      <c r="C1722">
        <v>43</v>
      </c>
      <c r="D1722" t="s">
        <v>2105</v>
      </c>
      <c r="E1722">
        <f t="shared" si="78"/>
        <v>2024</v>
      </c>
      <c r="F1722" t="str">
        <f t="shared" si="79"/>
        <v>Feb</v>
      </c>
      <c r="G1722">
        <v>3</v>
      </c>
      <c r="H1722">
        <f>_xlfn.XLOOKUP(C1722,Products!A:A,Products!D:D)</f>
        <v>760.86</v>
      </c>
      <c r="I1722">
        <v>0</v>
      </c>
      <c r="J1722">
        <f t="shared" si="80"/>
        <v>2282.58</v>
      </c>
      <c r="K1722" t="s">
        <v>2015</v>
      </c>
      <c r="L1722" t="str">
        <f>_xlfn.XLOOKUP(Orders[[#This Row],[ProductID]],Products!A:A,Products!C:C)</f>
        <v>Electronics</v>
      </c>
    </row>
    <row r="1723" spans="1:12" x14ac:dyDescent="0.3">
      <c r="A1723">
        <v>1722</v>
      </c>
      <c r="B1723">
        <v>1147</v>
      </c>
      <c r="C1723">
        <v>16</v>
      </c>
      <c r="D1723" t="s">
        <v>237</v>
      </c>
      <c r="E1723">
        <f t="shared" si="78"/>
        <v>2023</v>
      </c>
      <c r="F1723" t="str">
        <f t="shared" si="79"/>
        <v>Jan</v>
      </c>
      <c r="G1723">
        <v>3</v>
      </c>
      <c r="H1723">
        <f>_xlfn.XLOOKUP(C1723,Products!A:A,Products!D:D)</f>
        <v>693.02</v>
      </c>
      <c r="I1723">
        <v>5</v>
      </c>
      <c r="J1723">
        <f t="shared" si="80"/>
        <v>1975.1069999999997</v>
      </c>
      <c r="K1723" t="s">
        <v>2021</v>
      </c>
      <c r="L1723" t="str">
        <f>_xlfn.XLOOKUP(Orders[[#This Row],[ProductID]],Products!A:A,Products!C:C)</f>
        <v>Home</v>
      </c>
    </row>
    <row r="1724" spans="1:12" x14ac:dyDescent="0.3">
      <c r="A1724">
        <v>1723</v>
      </c>
      <c r="B1724">
        <v>1147</v>
      </c>
      <c r="C1724">
        <v>11</v>
      </c>
      <c r="D1724" t="s">
        <v>996</v>
      </c>
      <c r="E1724">
        <f t="shared" si="78"/>
        <v>2023</v>
      </c>
      <c r="F1724" t="str">
        <f t="shared" si="79"/>
        <v>Apr</v>
      </c>
      <c r="G1724">
        <v>1</v>
      </c>
      <c r="H1724">
        <f>_xlfn.XLOOKUP(C1724,Products!A:A,Products!D:D)</f>
        <v>1038.77</v>
      </c>
      <c r="I1724">
        <v>0</v>
      </c>
      <c r="J1724">
        <f t="shared" si="80"/>
        <v>1038.77</v>
      </c>
      <c r="K1724" t="s">
        <v>2019</v>
      </c>
      <c r="L1724" t="str">
        <f>_xlfn.XLOOKUP(Orders[[#This Row],[ProductID]],Products!A:A,Products!C:C)</f>
        <v>Beauty</v>
      </c>
    </row>
    <row r="1725" spans="1:12" x14ac:dyDescent="0.3">
      <c r="A1725">
        <v>1724</v>
      </c>
      <c r="B1725">
        <v>1147</v>
      </c>
      <c r="C1725">
        <v>56</v>
      </c>
      <c r="D1725" t="s">
        <v>2141</v>
      </c>
      <c r="E1725">
        <f t="shared" si="78"/>
        <v>2024</v>
      </c>
      <c r="F1725" t="str">
        <f t="shared" si="79"/>
        <v>Feb</v>
      </c>
      <c r="G1725">
        <v>3</v>
      </c>
      <c r="H1725">
        <f>_xlfn.XLOOKUP(C1725,Products!A:A,Products!D:D)</f>
        <v>396.01</v>
      </c>
      <c r="I1725">
        <v>5</v>
      </c>
      <c r="J1725">
        <f t="shared" si="80"/>
        <v>1128.6285</v>
      </c>
      <c r="K1725" t="s">
        <v>2021</v>
      </c>
      <c r="L1725" t="str">
        <f>_xlfn.XLOOKUP(Orders[[#This Row],[ProductID]],Products!A:A,Products!C:C)</f>
        <v>Home</v>
      </c>
    </row>
    <row r="1726" spans="1:12" x14ac:dyDescent="0.3">
      <c r="A1726">
        <v>1725</v>
      </c>
      <c r="B1726">
        <v>1147</v>
      </c>
      <c r="C1726">
        <v>7</v>
      </c>
      <c r="D1726" t="s">
        <v>2235</v>
      </c>
      <c r="E1726">
        <f t="shared" si="78"/>
        <v>2024</v>
      </c>
      <c r="F1726" t="str">
        <f t="shared" si="79"/>
        <v>Jan</v>
      </c>
      <c r="G1726">
        <v>1</v>
      </c>
      <c r="H1726">
        <f>_xlfn.XLOOKUP(C1726,Products!A:A,Products!D:D)</f>
        <v>97.29</v>
      </c>
      <c r="I1726">
        <v>15</v>
      </c>
      <c r="J1726">
        <f t="shared" si="80"/>
        <v>82.6965</v>
      </c>
      <c r="K1726" t="s">
        <v>2024</v>
      </c>
      <c r="L1726" t="str">
        <f>_xlfn.XLOOKUP(Orders[[#This Row],[ProductID]],Products!A:A,Products!C:C)</f>
        <v>Beauty</v>
      </c>
    </row>
    <row r="1727" spans="1:12" x14ac:dyDescent="0.3">
      <c r="A1727">
        <v>1726</v>
      </c>
      <c r="B1727">
        <v>1147</v>
      </c>
      <c r="C1727">
        <v>68</v>
      </c>
      <c r="D1727" t="s">
        <v>1120</v>
      </c>
      <c r="E1727">
        <f t="shared" si="78"/>
        <v>2023</v>
      </c>
      <c r="F1727" t="str">
        <f t="shared" si="79"/>
        <v>Apr</v>
      </c>
      <c r="G1727">
        <v>2</v>
      </c>
      <c r="H1727">
        <f>_xlfn.XLOOKUP(C1727,Products!A:A,Products!D:D)</f>
        <v>180.99</v>
      </c>
      <c r="I1727">
        <v>5</v>
      </c>
      <c r="J1727">
        <f t="shared" si="80"/>
        <v>343.88100000000003</v>
      </c>
      <c r="K1727" t="s">
        <v>2017</v>
      </c>
      <c r="L1727" t="str">
        <f>_xlfn.XLOOKUP(Orders[[#This Row],[ProductID]],Products!A:A,Products!C:C)</f>
        <v>Clothing</v>
      </c>
    </row>
    <row r="1728" spans="1:12" x14ac:dyDescent="0.3">
      <c r="A1728">
        <v>1727</v>
      </c>
      <c r="B1728">
        <v>1148</v>
      </c>
      <c r="C1728">
        <v>78</v>
      </c>
      <c r="D1728" t="s">
        <v>2055</v>
      </c>
      <c r="E1728">
        <f t="shared" si="78"/>
        <v>2023</v>
      </c>
      <c r="F1728" t="str">
        <f t="shared" si="79"/>
        <v>Dec</v>
      </c>
      <c r="G1728">
        <v>1</v>
      </c>
      <c r="H1728">
        <f>_xlfn.XLOOKUP(C1728,Products!A:A,Products!D:D)</f>
        <v>795.77</v>
      </c>
      <c r="I1728">
        <v>15</v>
      </c>
      <c r="J1728">
        <f t="shared" si="80"/>
        <v>676.40449999999998</v>
      </c>
      <c r="K1728" t="s">
        <v>2024</v>
      </c>
      <c r="L1728" t="str">
        <f>_xlfn.XLOOKUP(Orders[[#This Row],[ProductID]],Products!A:A,Products!C:C)</f>
        <v>Beauty</v>
      </c>
    </row>
    <row r="1729" spans="1:12" x14ac:dyDescent="0.3">
      <c r="A1729">
        <v>1728</v>
      </c>
      <c r="B1729">
        <v>1148</v>
      </c>
      <c r="C1729">
        <v>76</v>
      </c>
      <c r="D1729" t="s">
        <v>2207</v>
      </c>
      <c r="E1729">
        <f t="shared" si="78"/>
        <v>2024</v>
      </c>
      <c r="F1729" t="str">
        <f t="shared" si="79"/>
        <v>Mar</v>
      </c>
      <c r="G1729">
        <v>1</v>
      </c>
      <c r="H1729">
        <f>_xlfn.XLOOKUP(C1729,Products!A:A,Products!D:D)</f>
        <v>1043.26</v>
      </c>
      <c r="I1729">
        <v>15</v>
      </c>
      <c r="J1729">
        <f t="shared" si="80"/>
        <v>886.77099999999996</v>
      </c>
      <c r="K1729" t="s">
        <v>2021</v>
      </c>
      <c r="L1729" t="str">
        <f>_xlfn.XLOOKUP(Orders[[#This Row],[ProductID]],Products!A:A,Products!C:C)</f>
        <v>Clothing</v>
      </c>
    </row>
    <row r="1730" spans="1:12" x14ac:dyDescent="0.3">
      <c r="A1730">
        <v>1729</v>
      </c>
      <c r="B1730">
        <v>1148</v>
      </c>
      <c r="C1730">
        <v>65</v>
      </c>
      <c r="D1730" t="s">
        <v>1085</v>
      </c>
      <c r="E1730">
        <f t="shared" si="78"/>
        <v>2023</v>
      </c>
      <c r="F1730" t="str">
        <f t="shared" si="79"/>
        <v>Jan</v>
      </c>
      <c r="G1730">
        <v>1</v>
      </c>
      <c r="H1730">
        <f>_xlfn.XLOOKUP(C1730,Products!A:A,Products!D:D)</f>
        <v>1189.73</v>
      </c>
      <c r="I1730">
        <v>5</v>
      </c>
      <c r="J1730">
        <f t="shared" si="80"/>
        <v>1130.2435</v>
      </c>
      <c r="K1730" t="s">
        <v>2021</v>
      </c>
      <c r="L1730" t="str">
        <f>_xlfn.XLOOKUP(Orders[[#This Row],[ProductID]],Products!A:A,Products!C:C)</f>
        <v>Home</v>
      </c>
    </row>
    <row r="1731" spans="1:12" x14ac:dyDescent="0.3">
      <c r="A1731">
        <v>1730</v>
      </c>
      <c r="B1731">
        <v>1148</v>
      </c>
      <c r="C1731">
        <v>34</v>
      </c>
      <c r="D1731" t="s">
        <v>1952</v>
      </c>
      <c r="E1731">
        <f t="shared" ref="E1731:E1794" si="81">YEAR(D1731)</f>
        <v>2023</v>
      </c>
      <c r="F1731" t="str">
        <f t="shared" ref="F1731:F1794" si="82">TEXT(D1731,"mmm")</f>
        <v>Mar</v>
      </c>
      <c r="G1731">
        <v>3</v>
      </c>
      <c r="H1731">
        <f>_xlfn.XLOOKUP(C1731,Products!A:A,Products!D:D)</f>
        <v>523.98</v>
      </c>
      <c r="I1731">
        <v>20</v>
      </c>
      <c r="J1731">
        <f t="shared" ref="J1731:J1794" si="83">G1731*H1731*(1-I1731/100)</f>
        <v>1257.5520000000001</v>
      </c>
      <c r="K1731" t="s">
        <v>2021</v>
      </c>
      <c r="L1731" t="str">
        <f>_xlfn.XLOOKUP(Orders[[#This Row],[ProductID]],Products!A:A,Products!C:C)</f>
        <v>Home</v>
      </c>
    </row>
    <row r="1732" spans="1:12" x14ac:dyDescent="0.3">
      <c r="A1732">
        <v>1731</v>
      </c>
      <c r="B1732">
        <v>1148</v>
      </c>
      <c r="C1732">
        <v>16</v>
      </c>
      <c r="D1732" t="s">
        <v>2214</v>
      </c>
      <c r="E1732">
        <f t="shared" si="81"/>
        <v>2023</v>
      </c>
      <c r="F1732" t="str">
        <f t="shared" si="82"/>
        <v>Dec</v>
      </c>
      <c r="G1732">
        <v>1</v>
      </c>
      <c r="H1732">
        <f>_xlfn.XLOOKUP(C1732,Products!A:A,Products!D:D)</f>
        <v>693.02</v>
      </c>
      <c r="I1732">
        <v>5</v>
      </c>
      <c r="J1732">
        <f t="shared" si="83"/>
        <v>658.36899999999991</v>
      </c>
      <c r="K1732" t="s">
        <v>2021</v>
      </c>
      <c r="L1732" t="str">
        <f>_xlfn.XLOOKUP(Orders[[#This Row],[ProductID]],Products!A:A,Products!C:C)</f>
        <v>Home</v>
      </c>
    </row>
    <row r="1733" spans="1:12" x14ac:dyDescent="0.3">
      <c r="A1733">
        <v>1732</v>
      </c>
      <c r="B1733">
        <v>1148</v>
      </c>
      <c r="C1733">
        <v>42</v>
      </c>
      <c r="D1733" t="s">
        <v>2140</v>
      </c>
      <c r="E1733">
        <f t="shared" si="81"/>
        <v>2024</v>
      </c>
      <c r="F1733" t="str">
        <f t="shared" si="82"/>
        <v>Jan</v>
      </c>
      <c r="G1733">
        <v>1</v>
      </c>
      <c r="H1733">
        <f>_xlfn.XLOOKUP(C1733,Products!A:A,Products!D:D)</f>
        <v>233.11</v>
      </c>
      <c r="I1733">
        <v>5</v>
      </c>
      <c r="J1733">
        <f t="shared" si="83"/>
        <v>221.4545</v>
      </c>
      <c r="K1733" t="s">
        <v>2017</v>
      </c>
      <c r="L1733" t="str">
        <f>_xlfn.XLOOKUP(Orders[[#This Row],[ProductID]],Products!A:A,Products!C:C)</f>
        <v>Home</v>
      </c>
    </row>
    <row r="1734" spans="1:12" x14ac:dyDescent="0.3">
      <c r="A1734">
        <v>1733</v>
      </c>
      <c r="B1734">
        <v>1148</v>
      </c>
      <c r="C1734">
        <v>76</v>
      </c>
      <c r="D1734" t="s">
        <v>246</v>
      </c>
      <c r="E1734">
        <f t="shared" si="81"/>
        <v>2023</v>
      </c>
      <c r="F1734" t="str">
        <f t="shared" si="82"/>
        <v>Jun</v>
      </c>
      <c r="G1734">
        <v>3</v>
      </c>
      <c r="H1734">
        <f>_xlfn.XLOOKUP(C1734,Products!A:A,Products!D:D)</f>
        <v>1043.26</v>
      </c>
      <c r="I1734">
        <v>15</v>
      </c>
      <c r="J1734">
        <f t="shared" si="83"/>
        <v>2660.3129999999996</v>
      </c>
      <c r="K1734" t="s">
        <v>2015</v>
      </c>
      <c r="L1734" t="str">
        <f>_xlfn.XLOOKUP(Orders[[#This Row],[ProductID]],Products!A:A,Products!C:C)</f>
        <v>Clothing</v>
      </c>
    </row>
    <row r="1735" spans="1:12" x14ac:dyDescent="0.3">
      <c r="A1735">
        <v>1734</v>
      </c>
      <c r="B1735">
        <v>1148</v>
      </c>
      <c r="C1735">
        <v>37</v>
      </c>
      <c r="D1735" t="s">
        <v>1690</v>
      </c>
      <c r="E1735">
        <f t="shared" si="81"/>
        <v>2023</v>
      </c>
      <c r="F1735" t="str">
        <f t="shared" si="82"/>
        <v>Apr</v>
      </c>
      <c r="G1735">
        <v>2</v>
      </c>
      <c r="H1735">
        <f>_xlfn.XLOOKUP(C1735,Products!A:A,Products!D:D)</f>
        <v>968.87</v>
      </c>
      <c r="I1735">
        <v>10</v>
      </c>
      <c r="J1735">
        <f t="shared" si="83"/>
        <v>1743.9660000000001</v>
      </c>
      <c r="K1735" t="s">
        <v>2024</v>
      </c>
      <c r="L1735" t="str">
        <f>_xlfn.XLOOKUP(Orders[[#This Row],[ProductID]],Products!A:A,Products!C:C)</f>
        <v>Home</v>
      </c>
    </row>
    <row r="1736" spans="1:12" x14ac:dyDescent="0.3">
      <c r="A1736">
        <v>1735</v>
      </c>
      <c r="B1736">
        <v>1149</v>
      </c>
      <c r="C1736">
        <v>31</v>
      </c>
      <c r="D1736" t="s">
        <v>1294</v>
      </c>
      <c r="E1736">
        <f t="shared" si="81"/>
        <v>2023</v>
      </c>
      <c r="F1736" t="str">
        <f t="shared" si="82"/>
        <v>Sep</v>
      </c>
      <c r="G1736">
        <v>1</v>
      </c>
      <c r="H1736">
        <f>_xlfn.XLOOKUP(C1736,Products!A:A,Products!D:D)</f>
        <v>131.79</v>
      </c>
      <c r="I1736">
        <v>10</v>
      </c>
      <c r="J1736">
        <f t="shared" si="83"/>
        <v>118.61099999999999</v>
      </c>
      <c r="K1736" t="s">
        <v>2024</v>
      </c>
      <c r="L1736" t="str">
        <f>_xlfn.XLOOKUP(Orders[[#This Row],[ProductID]],Products!A:A,Products!C:C)</f>
        <v>Beauty</v>
      </c>
    </row>
    <row r="1737" spans="1:12" x14ac:dyDescent="0.3">
      <c r="A1737">
        <v>1736</v>
      </c>
      <c r="B1737">
        <v>1149</v>
      </c>
      <c r="C1737">
        <v>21</v>
      </c>
      <c r="D1737" t="s">
        <v>1384</v>
      </c>
      <c r="E1737">
        <f t="shared" si="81"/>
        <v>2023</v>
      </c>
      <c r="F1737" t="str">
        <f t="shared" si="82"/>
        <v>Feb</v>
      </c>
      <c r="G1737">
        <v>1</v>
      </c>
      <c r="H1737">
        <f>_xlfn.XLOOKUP(C1737,Products!A:A,Products!D:D)</f>
        <v>420.66</v>
      </c>
      <c r="I1737">
        <v>0</v>
      </c>
      <c r="J1737">
        <f t="shared" si="83"/>
        <v>420.66</v>
      </c>
      <c r="K1737" t="s">
        <v>2017</v>
      </c>
      <c r="L1737" t="str">
        <f>_xlfn.XLOOKUP(Orders[[#This Row],[ProductID]],Products!A:A,Products!C:C)</f>
        <v>Beauty</v>
      </c>
    </row>
    <row r="1738" spans="1:12" x14ac:dyDescent="0.3">
      <c r="A1738">
        <v>1737</v>
      </c>
      <c r="B1738">
        <v>1149</v>
      </c>
      <c r="C1738">
        <v>45</v>
      </c>
      <c r="D1738" t="s">
        <v>2023</v>
      </c>
      <c r="E1738">
        <f t="shared" si="81"/>
        <v>2024</v>
      </c>
      <c r="F1738" t="str">
        <f t="shared" si="82"/>
        <v>Apr</v>
      </c>
      <c r="G1738">
        <v>3</v>
      </c>
      <c r="H1738">
        <f>_xlfn.XLOOKUP(C1738,Products!A:A,Products!D:D)</f>
        <v>609.05999999999995</v>
      </c>
      <c r="I1738">
        <v>0</v>
      </c>
      <c r="J1738">
        <f t="shared" si="83"/>
        <v>1827.1799999999998</v>
      </c>
      <c r="K1738" t="s">
        <v>2015</v>
      </c>
      <c r="L1738" t="str">
        <f>_xlfn.XLOOKUP(Orders[[#This Row],[ProductID]],Products!A:A,Products!C:C)</f>
        <v>Beauty</v>
      </c>
    </row>
    <row r="1739" spans="1:12" x14ac:dyDescent="0.3">
      <c r="A1739">
        <v>1738</v>
      </c>
      <c r="B1739">
        <v>1149</v>
      </c>
      <c r="C1739">
        <v>56</v>
      </c>
      <c r="D1739" t="s">
        <v>153</v>
      </c>
      <c r="E1739">
        <f t="shared" si="81"/>
        <v>2023</v>
      </c>
      <c r="F1739" t="str">
        <f t="shared" si="82"/>
        <v>Feb</v>
      </c>
      <c r="G1739">
        <v>3</v>
      </c>
      <c r="H1739">
        <f>_xlfn.XLOOKUP(C1739,Products!A:A,Products!D:D)</f>
        <v>396.01</v>
      </c>
      <c r="I1739">
        <v>15</v>
      </c>
      <c r="J1739">
        <f t="shared" si="83"/>
        <v>1009.8254999999999</v>
      </c>
      <c r="K1739" t="s">
        <v>2019</v>
      </c>
      <c r="L1739" t="str">
        <f>_xlfn.XLOOKUP(Orders[[#This Row],[ProductID]],Products!A:A,Products!C:C)</f>
        <v>Home</v>
      </c>
    </row>
    <row r="1740" spans="1:12" x14ac:dyDescent="0.3">
      <c r="A1740">
        <v>1739</v>
      </c>
      <c r="B1740">
        <v>1149</v>
      </c>
      <c r="C1740">
        <v>12</v>
      </c>
      <c r="D1740" t="s">
        <v>1095</v>
      </c>
      <c r="E1740">
        <f t="shared" si="81"/>
        <v>2023</v>
      </c>
      <c r="F1740" t="str">
        <f t="shared" si="82"/>
        <v>Jun</v>
      </c>
      <c r="G1740">
        <v>3</v>
      </c>
      <c r="H1740">
        <f>_xlfn.XLOOKUP(C1740,Products!A:A,Products!D:D)</f>
        <v>627.41999999999996</v>
      </c>
      <c r="I1740">
        <v>10</v>
      </c>
      <c r="J1740">
        <f t="shared" si="83"/>
        <v>1694.0339999999999</v>
      </c>
      <c r="K1740" t="s">
        <v>2015</v>
      </c>
      <c r="L1740" t="str">
        <f>_xlfn.XLOOKUP(Orders[[#This Row],[ProductID]],Products!A:A,Products!C:C)</f>
        <v>Beauty</v>
      </c>
    </row>
    <row r="1741" spans="1:12" x14ac:dyDescent="0.3">
      <c r="A1741">
        <v>1740</v>
      </c>
      <c r="B1741">
        <v>1149</v>
      </c>
      <c r="C1741">
        <v>9</v>
      </c>
      <c r="D1741" t="s">
        <v>73</v>
      </c>
      <c r="E1741">
        <f t="shared" si="81"/>
        <v>2023</v>
      </c>
      <c r="F1741" t="str">
        <f t="shared" si="82"/>
        <v>Oct</v>
      </c>
      <c r="G1741">
        <v>2</v>
      </c>
      <c r="H1741">
        <f>_xlfn.XLOOKUP(C1741,Products!A:A,Products!D:D)</f>
        <v>43.26</v>
      </c>
      <c r="I1741">
        <v>10</v>
      </c>
      <c r="J1741">
        <f t="shared" si="83"/>
        <v>77.867999999999995</v>
      </c>
      <c r="K1741" t="s">
        <v>2017</v>
      </c>
      <c r="L1741" t="str">
        <f>_xlfn.XLOOKUP(Orders[[#This Row],[ProductID]],Products!A:A,Products!C:C)</f>
        <v>Electronics</v>
      </c>
    </row>
    <row r="1742" spans="1:12" x14ac:dyDescent="0.3">
      <c r="A1742">
        <v>1741</v>
      </c>
      <c r="B1742">
        <v>1149</v>
      </c>
      <c r="C1742">
        <v>46</v>
      </c>
      <c r="D1742" t="s">
        <v>2089</v>
      </c>
      <c r="E1742">
        <f t="shared" si="81"/>
        <v>2024</v>
      </c>
      <c r="F1742" t="str">
        <f t="shared" si="82"/>
        <v>Jan</v>
      </c>
      <c r="G1742">
        <v>2</v>
      </c>
      <c r="H1742">
        <f>_xlfn.XLOOKUP(C1742,Products!A:A,Products!D:D)</f>
        <v>1155.3</v>
      </c>
      <c r="I1742">
        <v>10</v>
      </c>
      <c r="J1742">
        <f t="shared" si="83"/>
        <v>2079.54</v>
      </c>
      <c r="K1742" t="s">
        <v>2017</v>
      </c>
      <c r="L1742" t="str">
        <f>_xlfn.XLOOKUP(Orders[[#This Row],[ProductID]],Products!A:A,Products!C:C)</f>
        <v>Beauty</v>
      </c>
    </row>
    <row r="1743" spans="1:12" x14ac:dyDescent="0.3">
      <c r="A1743">
        <v>1742</v>
      </c>
      <c r="B1743">
        <v>1149</v>
      </c>
      <c r="C1743">
        <v>39</v>
      </c>
      <c r="D1743" t="s">
        <v>2127</v>
      </c>
      <c r="E1743">
        <f t="shared" si="81"/>
        <v>2024</v>
      </c>
      <c r="F1743" t="str">
        <f t="shared" si="82"/>
        <v>Jan</v>
      </c>
      <c r="G1743">
        <v>2</v>
      </c>
      <c r="H1743">
        <f>_xlfn.XLOOKUP(C1743,Products!A:A,Products!D:D)</f>
        <v>256.08999999999997</v>
      </c>
      <c r="I1743">
        <v>10</v>
      </c>
      <c r="J1743">
        <f t="shared" si="83"/>
        <v>460.96199999999999</v>
      </c>
      <c r="K1743" t="s">
        <v>2015</v>
      </c>
      <c r="L1743" t="str">
        <f>_xlfn.XLOOKUP(Orders[[#This Row],[ProductID]],Products!A:A,Products!C:C)</f>
        <v>Clothing</v>
      </c>
    </row>
    <row r="1744" spans="1:12" x14ac:dyDescent="0.3">
      <c r="A1744">
        <v>1743</v>
      </c>
      <c r="B1744">
        <v>1150</v>
      </c>
      <c r="C1744">
        <v>25</v>
      </c>
      <c r="D1744" t="s">
        <v>2117</v>
      </c>
      <c r="E1744">
        <f t="shared" si="81"/>
        <v>2023</v>
      </c>
      <c r="F1744" t="str">
        <f t="shared" si="82"/>
        <v>Apr</v>
      </c>
      <c r="G1744">
        <v>3</v>
      </c>
      <c r="H1744">
        <f>_xlfn.XLOOKUP(C1744,Products!A:A,Products!D:D)</f>
        <v>1011.65</v>
      </c>
      <c r="I1744">
        <v>5</v>
      </c>
      <c r="J1744">
        <f t="shared" si="83"/>
        <v>2883.2024999999999</v>
      </c>
      <c r="K1744" t="s">
        <v>2019</v>
      </c>
      <c r="L1744" t="str">
        <f>_xlfn.XLOOKUP(Orders[[#This Row],[ProductID]],Products!A:A,Products!C:C)</f>
        <v>Electronics</v>
      </c>
    </row>
    <row r="1745" spans="1:12" x14ac:dyDescent="0.3">
      <c r="A1745">
        <v>1744</v>
      </c>
      <c r="B1745">
        <v>1150</v>
      </c>
      <c r="C1745">
        <v>46</v>
      </c>
      <c r="D1745" t="s">
        <v>2113</v>
      </c>
      <c r="E1745">
        <f t="shared" si="81"/>
        <v>2023</v>
      </c>
      <c r="F1745" t="str">
        <f t="shared" si="82"/>
        <v>Jul</v>
      </c>
      <c r="G1745">
        <v>2</v>
      </c>
      <c r="H1745">
        <f>_xlfn.XLOOKUP(C1745,Products!A:A,Products!D:D)</f>
        <v>1155.3</v>
      </c>
      <c r="I1745">
        <v>15</v>
      </c>
      <c r="J1745">
        <f t="shared" si="83"/>
        <v>1964.0099999999998</v>
      </c>
      <c r="K1745" t="s">
        <v>2024</v>
      </c>
      <c r="L1745" t="str">
        <f>_xlfn.XLOOKUP(Orders[[#This Row],[ProductID]],Products!A:A,Products!C:C)</f>
        <v>Beauty</v>
      </c>
    </row>
    <row r="1746" spans="1:12" x14ac:dyDescent="0.3">
      <c r="A1746">
        <v>1745</v>
      </c>
      <c r="B1746">
        <v>1150</v>
      </c>
      <c r="C1746">
        <v>52</v>
      </c>
      <c r="D1746" t="s">
        <v>2082</v>
      </c>
      <c r="E1746">
        <f t="shared" si="81"/>
        <v>2023</v>
      </c>
      <c r="F1746" t="str">
        <f t="shared" si="82"/>
        <v>Aug</v>
      </c>
      <c r="G1746">
        <v>2</v>
      </c>
      <c r="H1746">
        <f>_xlfn.XLOOKUP(C1746,Products!A:A,Products!D:D)</f>
        <v>256.76</v>
      </c>
      <c r="I1746">
        <v>15</v>
      </c>
      <c r="J1746">
        <f t="shared" si="83"/>
        <v>436.49199999999996</v>
      </c>
      <c r="K1746" t="s">
        <v>2021</v>
      </c>
      <c r="L1746" t="str">
        <f>_xlfn.XLOOKUP(Orders[[#This Row],[ProductID]],Products!A:A,Products!C:C)</f>
        <v>Home</v>
      </c>
    </row>
    <row r="1747" spans="1:12" x14ac:dyDescent="0.3">
      <c r="A1747">
        <v>1746</v>
      </c>
      <c r="B1747">
        <v>1150</v>
      </c>
      <c r="C1747">
        <v>19</v>
      </c>
      <c r="D1747" t="s">
        <v>2045</v>
      </c>
      <c r="E1747">
        <f t="shared" si="81"/>
        <v>2024</v>
      </c>
      <c r="F1747" t="str">
        <f t="shared" si="82"/>
        <v>Jan</v>
      </c>
      <c r="G1747">
        <v>2</v>
      </c>
      <c r="H1747">
        <f>_xlfn.XLOOKUP(C1747,Products!A:A,Products!D:D)</f>
        <v>262.97000000000003</v>
      </c>
      <c r="I1747">
        <v>15</v>
      </c>
      <c r="J1747">
        <f t="shared" si="83"/>
        <v>447.04900000000004</v>
      </c>
      <c r="K1747" t="s">
        <v>2019</v>
      </c>
      <c r="L1747" t="str">
        <f>_xlfn.XLOOKUP(Orders[[#This Row],[ProductID]],Products!A:A,Products!C:C)</f>
        <v>Beauty</v>
      </c>
    </row>
    <row r="1748" spans="1:12" x14ac:dyDescent="0.3">
      <c r="A1748">
        <v>1747</v>
      </c>
      <c r="B1748">
        <v>1150</v>
      </c>
      <c r="C1748">
        <v>18</v>
      </c>
      <c r="D1748" t="s">
        <v>2102</v>
      </c>
      <c r="E1748">
        <f t="shared" si="81"/>
        <v>2024</v>
      </c>
      <c r="F1748" t="str">
        <f t="shared" si="82"/>
        <v>Feb</v>
      </c>
      <c r="G1748">
        <v>2</v>
      </c>
      <c r="H1748">
        <f>_xlfn.XLOOKUP(C1748,Products!A:A,Products!D:D)</f>
        <v>138.07</v>
      </c>
      <c r="I1748">
        <v>15</v>
      </c>
      <c r="J1748">
        <f t="shared" si="83"/>
        <v>234.71899999999999</v>
      </c>
      <c r="K1748" t="s">
        <v>2021</v>
      </c>
      <c r="L1748" t="str">
        <f>_xlfn.XLOOKUP(Orders[[#This Row],[ProductID]],Products!A:A,Products!C:C)</f>
        <v>Home</v>
      </c>
    </row>
    <row r="1749" spans="1:12" x14ac:dyDescent="0.3">
      <c r="A1749">
        <v>1748</v>
      </c>
      <c r="B1749">
        <v>1151</v>
      </c>
      <c r="C1749">
        <v>52</v>
      </c>
      <c r="D1749" t="s">
        <v>472</v>
      </c>
      <c r="E1749">
        <f t="shared" si="81"/>
        <v>2023</v>
      </c>
      <c r="F1749" t="str">
        <f t="shared" si="82"/>
        <v>Jul</v>
      </c>
      <c r="G1749">
        <v>1</v>
      </c>
      <c r="H1749">
        <f>_xlfn.XLOOKUP(C1749,Products!A:A,Products!D:D)</f>
        <v>256.76</v>
      </c>
      <c r="I1749">
        <v>15</v>
      </c>
      <c r="J1749">
        <f t="shared" si="83"/>
        <v>218.24599999999998</v>
      </c>
      <c r="K1749" t="s">
        <v>2021</v>
      </c>
      <c r="L1749" t="str">
        <f>_xlfn.XLOOKUP(Orders[[#This Row],[ProductID]],Products!A:A,Products!C:C)</f>
        <v>Home</v>
      </c>
    </row>
    <row r="1750" spans="1:12" x14ac:dyDescent="0.3">
      <c r="A1750">
        <v>1749</v>
      </c>
      <c r="B1750">
        <v>1151</v>
      </c>
      <c r="C1750">
        <v>20</v>
      </c>
      <c r="D1750" t="s">
        <v>2236</v>
      </c>
      <c r="E1750">
        <f t="shared" si="81"/>
        <v>2023</v>
      </c>
      <c r="F1750" t="str">
        <f t="shared" si="82"/>
        <v>Oct</v>
      </c>
      <c r="G1750">
        <v>1</v>
      </c>
      <c r="H1750">
        <f>_xlfn.XLOOKUP(C1750,Products!A:A,Products!D:D)</f>
        <v>613.27</v>
      </c>
      <c r="I1750">
        <v>5</v>
      </c>
      <c r="J1750">
        <f t="shared" si="83"/>
        <v>582.60649999999998</v>
      </c>
      <c r="K1750" t="s">
        <v>2019</v>
      </c>
      <c r="L1750" t="str">
        <f>_xlfn.XLOOKUP(Orders[[#This Row],[ProductID]],Products!A:A,Products!C:C)</f>
        <v>Home</v>
      </c>
    </row>
    <row r="1751" spans="1:12" x14ac:dyDescent="0.3">
      <c r="A1751">
        <v>1750</v>
      </c>
      <c r="B1751">
        <v>1151</v>
      </c>
      <c r="C1751">
        <v>3</v>
      </c>
      <c r="D1751" t="s">
        <v>405</v>
      </c>
      <c r="E1751">
        <f t="shared" si="81"/>
        <v>2023</v>
      </c>
      <c r="F1751" t="str">
        <f t="shared" si="82"/>
        <v>Jul</v>
      </c>
      <c r="G1751">
        <v>2</v>
      </c>
      <c r="H1751">
        <f>_xlfn.XLOOKUP(C1751,Products!A:A,Products!D:D)</f>
        <v>506.08</v>
      </c>
      <c r="I1751">
        <v>5</v>
      </c>
      <c r="J1751">
        <f t="shared" si="83"/>
        <v>961.55199999999991</v>
      </c>
      <c r="K1751" t="s">
        <v>2024</v>
      </c>
      <c r="L1751" t="str">
        <f>_xlfn.XLOOKUP(Orders[[#This Row],[ProductID]],Products!A:A,Products!C:C)</f>
        <v>Clothing</v>
      </c>
    </row>
    <row r="1752" spans="1:12" x14ac:dyDescent="0.3">
      <c r="A1752">
        <v>1751</v>
      </c>
      <c r="B1752">
        <v>1151</v>
      </c>
      <c r="C1752">
        <v>44</v>
      </c>
      <c r="D1752" t="s">
        <v>2107</v>
      </c>
      <c r="E1752">
        <f t="shared" si="81"/>
        <v>2023</v>
      </c>
      <c r="F1752" t="str">
        <f t="shared" si="82"/>
        <v>Apr</v>
      </c>
      <c r="G1752">
        <v>1</v>
      </c>
      <c r="H1752">
        <f>_xlfn.XLOOKUP(C1752,Products!A:A,Products!D:D)</f>
        <v>1038</v>
      </c>
      <c r="I1752">
        <v>15</v>
      </c>
      <c r="J1752">
        <f t="shared" si="83"/>
        <v>882.3</v>
      </c>
      <c r="K1752" t="s">
        <v>2017</v>
      </c>
      <c r="L1752" t="str">
        <f>_xlfn.XLOOKUP(Orders[[#This Row],[ProductID]],Products!A:A,Products!C:C)</f>
        <v>Home</v>
      </c>
    </row>
    <row r="1753" spans="1:12" x14ac:dyDescent="0.3">
      <c r="A1753">
        <v>1752</v>
      </c>
      <c r="B1753">
        <v>1151</v>
      </c>
      <c r="C1753">
        <v>21</v>
      </c>
      <c r="D1753" t="s">
        <v>1373</v>
      </c>
      <c r="E1753">
        <f t="shared" si="81"/>
        <v>2023</v>
      </c>
      <c r="F1753" t="str">
        <f t="shared" si="82"/>
        <v>Jun</v>
      </c>
      <c r="G1753">
        <v>3</v>
      </c>
      <c r="H1753">
        <f>_xlfn.XLOOKUP(C1753,Products!A:A,Products!D:D)</f>
        <v>420.66</v>
      </c>
      <c r="I1753">
        <v>10</v>
      </c>
      <c r="J1753">
        <f t="shared" si="83"/>
        <v>1135.7820000000002</v>
      </c>
      <c r="K1753" t="s">
        <v>2021</v>
      </c>
      <c r="L1753" t="str">
        <f>_xlfn.XLOOKUP(Orders[[#This Row],[ProductID]],Products!A:A,Products!C:C)</f>
        <v>Beauty</v>
      </c>
    </row>
    <row r="1754" spans="1:12" x14ac:dyDescent="0.3">
      <c r="A1754">
        <v>1753</v>
      </c>
      <c r="B1754">
        <v>1151</v>
      </c>
      <c r="C1754">
        <v>25</v>
      </c>
      <c r="D1754" t="s">
        <v>1242</v>
      </c>
      <c r="E1754">
        <f t="shared" si="81"/>
        <v>2023</v>
      </c>
      <c r="F1754" t="str">
        <f t="shared" si="82"/>
        <v>Sep</v>
      </c>
      <c r="G1754">
        <v>3</v>
      </c>
      <c r="H1754">
        <f>_xlfn.XLOOKUP(C1754,Products!A:A,Products!D:D)</f>
        <v>1011.65</v>
      </c>
      <c r="I1754">
        <v>15</v>
      </c>
      <c r="J1754">
        <f t="shared" si="83"/>
        <v>2579.7075</v>
      </c>
      <c r="K1754" t="s">
        <v>2017</v>
      </c>
      <c r="L1754" t="str">
        <f>_xlfn.XLOOKUP(Orders[[#This Row],[ProductID]],Products!A:A,Products!C:C)</f>
        <v>Electronics</v>
      </c>
    </row>
    <row r="1755" spans="1:12" x14ac:dyDescent="0.3">
      <c r="A1755">
        <v>1754</v>
      </c>
      <c r="B1755">
        <v>1152</v>
      </c>
      <c r="C1755">
        <v>56</v>
      </c>
      <c r="D1755" t="s">
        <v>2175</v>
      </c>
      <c r="E1755">
        <f t="shared" si="81"/>
        <v>2024</v>
      </c>
      <c r="F1755" t="str">
        <f t="shared" si="82"/>
        <v>Apr</v>
      </c>
      <c r="G1755">
        <v>1</v>
      </c>
      <c r="H1755">
        <f>_xlfn.XLOOKUP(C1755,Products!A:A,Products!D:D)</f>
        <v>396.01</v>
      </c>
      <c r="I1755">
        <v>15</v>
      </c>
      <c r="J1755">
        <f t="shared" si="83"/>
        <v>336.60849999999999</v>
      </c>
      <c r="K1755" t="s">
        <v>2019</v>
      </c>
      <c r="L1755" t="str">
        <f>_xlfn.XLOOKUP(Orders[[#This Row],[ProductID]],Products!A:A,Products!C:C)</f>
        <v>Home</v>
      </c>
    </row>
    <row r="1756" spans="1:12" x14ac:dyDescent="0.3">
      <c r="A1756">
        <v>1755</v>
      </c>
      <c r="B1756">
        <v>1152</v>
      </c>
      <c r="C1756">
        <v>46</v>
      </c>
      <c r="D1756" t="s">
        <v>2077</v>
      </c>
      <c r="E1756">
        <f t="shared" si="81"/>
        <v>2024</v>
      </c>
      <c r="F1756" t="str">
        <f t="shared" si="82"/>
        <v>May</v>
      </c>
      <c r="G1756">
        <v>1</v>
      </c>
      <c r="H1756">
        <f>_xlfn.XLOOKUP(C1756,Products!A:A,Products!D:D)</f>
        <v>1155.3</v>
      </c>
      <c r="I1756">
        <v>0</v>
      </c>
      <c r="J1756">
        <f t="shared" si="83"/>
        <v>1155.3</v>
      </c>
      <c r="K1756" t="s">
        <v>2024</v>
      </c>
      <c r="L1756" t="str">
        <f>_xlfn.XLOOKUP(Orders[[#This Row],[ProductID]],Products!A:A,Products!C:C)</f>
        <v>Beauty</v>
      </c>
    </row>
    <row r="1757" spans="1:12" x14ac:dyDescent="0.3">
      <c r="A1757">
        <v>1756</v>
      </c>
      <c r="B1757">
        <v>1152</v>
      </c>
      <c r="C1757">
        <v>62</v>
      </c>
      <c r="D1757" t="s">
        <v>360</v>
      </c>
      <c r="E1757">
        <f t="shared" si="81"/>
        <v>2023</v>
      </c>
      <c r="F1757" t="str">
        <f t="shared" si="82"/>
        <v>Nov</v>
      </c>
      <c r="G1757">
        <v>2</v>
      </c>
      <c r="H1757">
        <f>_xlfn.XLOOKUP(C1757,Products!A:A,Products!D:D)</f>
        <v>196.96</v>
      </c>
      <c r="I1757">
        <v>5</v>
      </c>
      <c r="J1757">
        <f t="shared" si="83"/>
        <v>374.22399999999999</v>
      </c>
      <c r="K1757" t="s">
        <v>2021</v>
      </c>
      <c r="L1757" t="str">
        <f>_xlfn.XLOOKUP(Orders[[#This Row],[ProductID]],Products!A:A,Products!C:C)</f>
        <v>Electronics</v>
      </c>
    </row>
    <row r="1758" spans="1:12" x14ac:dyDescent="0.3">
      <c r="A1758">
        <v>1757</v>
      </c>
      <c r="B1758">
        <v>1152</v>
      </c>
      <c r="C1758">
        <v>67</v>
      </c>
      <c r="D1758" t="s">
        <v>2237</v>
      </c>
      <c r="E1758">
        <f t="shared" si="81"/>
        <v>2024</v>
      </c>
      <c r="F1758" t="str">
        <f t="shared" si="82"/>
        <v>Apr</v>
      </c>
      <c r="G1758">
        <v>2</v>
      </c>
      <c r="H1758">
        <f>_xlfn.XLOOKUP(C1758,Products!A:A,Products!D:D)</f>
        <v>258.35000000000002</v>
      </c>
      <c r="I1758">
        <v>5</v>
      </c>
      <c r="J1758">
        <f t="shared" si="83"/>
        <v>490.86500000000001</v>
      </c>
      <c r="K1758" t="s">
        <v>2017</v>
      </c>
      <c r="L1758" t="str">
        <f>_xlfn.XLOOKUP(Orders[[#This Row],[ProductID]],Products!A:A,Products!C:C)</f>
        <v>Electronics</v>
      </c>
    </row>
    <row r="1759" spans="1:12" x14ac:dyDescent="0.3">
      <c r="A1759">
        <v>1758</v>
      </c>
      <c r="B1759">
        <v>1152</v>
      </c>
      <c r="C1759">
        <v>63</v>
      </c>
      <c r="D1759" t="s">
        <v>625</v>
      </c>
      <c r="E1759">
        <f t="shared" si="81"/>
        <v>2023</v>
      </c>
      <c r="F1759" t="str">
        <f t="shared" si="82"/>
        <v>Jan</v>
      </c>
      <c r="G1759">
        <v>2</v>
      </c>
      <c r="H1759">
        <f>_xlfn.XLOOKUP(C1759,Products!A:A,Products!D:D)</f>
        <v>309.79000000000002</v>
      </c>
      <c r="I1759">
        <v>5</v>
      </c>
      <c r="J1759">
        <f t="shared" si="83"/>
        <v>588.601</v>
      </c>
      <c r="K1759" t="s">
        <v>2024</v>
      </c>
      <c r="L1759" t="str">
        <f>_xlfn.XLOOKUP(Orders[[#This Row],[ProductID]],Products!A:A,Products!C:C)</f>
        <v>Electronics</v>
      </c>
    </row>
    <row r="1760" spans="1:12" x14ac:dyDescent="0.3">
      <c r="A1760">
        <v>1759</v>
      </c>
      <c r="B1760">
        <v>1152</v>
      </c>
      <c r="C1760">
        <v>40</v>
      </c>
      <c r="D1760" t="s">
        <v>2223</v>
      </c>
      <c r="E1760">
        <f t="shared" si="81"/>
        <v>2023</v>
      </c>
      <c r="F1760" t="str">
        <f t="shared" si="82"/>
        <v>Dec</v>
      </c>
      <c r="G1760">
        <v>3</v>
      </c>
      <c r="H1760">
        <f>_xlfn.XLOOKUP(C1760,Products!A:A,Products!D:D)</f>
        <v>316.49</v>
      </c>
      <c r="I1760">
        <v>15</v>
      </c>
      <c r="J1760">
        <f t="shared" si="83"/>
        <v>807.04949999999997</v>
      </c>
      <c r="K1760" t="s">
        <v>2015</v>
      </c>
      <c r="L1760" t="str">
        <f>_xlfn.XLOOKUP(Orders[[#This Row],[ProductID]],Products!A:A,Products!C:C)</f>
        <v>Home</v>
      </c>
    </row>
    <row r="1761" spans="1:12" x14ac:dyDescent="0.3">
      <c r="A1761">
        <v>1760</v>
      </c>
      <c r="B1761">
        <v>1153</v>
      </c>
      <c r="C1761">
        <v>16</v>
      </c>
      <c r="D1761" t="s">
        <v>1467</v>
      </c>
      <c r="E1761">
        <f t="shared" si="81"/>
        <v>2023</v>
      </c>
      <c r="F1761" t="str">
        <f t="shared" si="82"/>
        <v>Nov</v>
      </c>
      <c r="G1761">
        <v>1</v>
      </c>
      <c r="H1761">
        <f>_xlfn.XLOOKUP(C1761,Products!A:A,Products!D:D)</f>
        <v>693.02</v>
      </c>
      <c r="I1761">
        <v>20</v>
      </c>
      <c r="J1761">
        <f t="shared" si="83"/>
        <v>554.41600000000005</v>
      </c>
      <c r="K1761" t="s">
        <v>2024</v>
      </c>
      <c r="L1761" t="str">
        <f>_xlfn.XLOOKUP(Orders[[#This Row],[ProductID]],Products!A:A,Products!C:C)</f>
        <v>Home</v>
      </c>
    </row>
    <row r="1762" spans="1:12" x14ac:dyDescent="0.3">
      <c r="A1762">
        <v>1761</v>
      </c>
      <c r="B1762">
        <v>1153</v>
      </c>
      <c r="C1762">
        <v>44</v>
      </c>
      <c r="D1762" t="s">
        <v>2066</v>
      </c>
      <c r="E1762">
        <f t="shared" si="81"/>
        <v>2024</v>
      </c>
      <c r="F1762" t="str">
        <f t="shared" si="82"/>
        <v>Jan</v>
      </c>
      <c r="G1762">
        <v>2</v>
      </c>
      <c r="H1762">
        <f>_xlfn.XLOOKUP(C1762,Products!A:A,Products!D:D)</f>
        <v>1038</v>
      </c>
      <c r="I1762">
        <v>5</v>
      </c>
      <c r="J1762">
        <f t="shared" si="83"/>
        <v>1972.1999999999998</v>
      </c>
      <c r="K1762" t="s">
        <v>2024</v>
      </c>
      <c r="L1762" t="str">
        <f>_xlfn.XLOOKUP(Orders[[#This Row],[ProductID]],Products!A:A,Products!C:C)</f>
        <v>Home</v>
      </c>
    </row>
    <row r="1763" spans="1:12" x14ac:dyDescent="0.3">
      <c r="A1763">
        <v>1762</v>
      </c>
      <c r="B1763">
        <v>1153</v>
      </c>
      <c r="C1763">
        <v>73</v>
      </c>
      <c r="D1763" t="s">
        <v>2059</v>
      </c>
      <c r="E1763">
        <f t="shared" si="81"/>
        <v>2024</v>
      </c>
      <c r="F1763" t="str">
        <f t="shared" si="82"/>
        <v>May</v>
      </c>
      <c r="G1763">
        <v>2</v>
      </c>
      <c r="H1763">
        <f>_xlfn.XLOOKUP(C1763,Products!A:A,Products!D:D)</f>
        <v>943.04</v>
      </c>
      <c r="I1763">
        <v>0</v>
      </c>
      <c r="J1763">
        <f t="shared" si="83"/>
        <v>1886.08</v>
      </c>
      <c r="K1763" t="s">
        <v>2019</v>
      </c>
      <c r="L1763" t="str">
        <f>_xlfn.XLOOKUP(Orders[[#This Row],[ProductID]],Products!A:A,Products!C:C)</f>
        <v>Home</v>
      </c>
    </row>
    <row r="1764" spans="1:12" x14ac:dyDescent="0.3">
      <c r="A1764">
        <v>1763</v>
      </c>
      <c r="B1764">
        <v>1153</v>
      </c>
      <c r="C1764">
        <v>58</v>
      </c>
      <c r="D1764" t="s">
        <v>1347</v>
      </c>
      <c r="E1764">
        <f t="shared" si="81"/>
        <v>2023</v>
      </c>
      <c r="F1764" t="str">
        <f t="shared" si="82"/>
        <v>Jul</v>
      </c>
      <c r="G1764">
        <v>2</v>
      </c>
      <c r="H1764">
        <f>_xlfn.XLOOKUP(C1764,Products!A:A,Products!D:D)</f>
        <v>334.98</v>
      </c>
      <c r="I1764">
        <v>5</v>
      </c>
      <c r="J1764">
        <f t="shared" si="83"/>
        <v>636.46199999999999</v>
      </c>
      <c r="K1764" t="s">
        <v>2021</v>
      </c>
      <c r="L1764" t="str">
        <f>_xlfn.XLOOKUP(Orders[[#This Row],[ProductID]],Products!A:A,Products!C:C)</f>
        <v>Home</v>
      </c>
    </row>
    <row r="1765" spans="1:12" x14ac:dyDescent="0.3">
      <c r="A1765">
        <v>1764</v>
      </c>
      <c r="B1765">
        <v>1153</v>
      </c>
      <c r="C1765">
        <v>42</v>
      </c>
      <c r="D1765" t="s">
        <v>2165</v>
      </c>
      <c r="E1765">
        <f t="shared" si="81"/>
        <v>2023</v>
      </c>
      <c r="F1765" t="str">
        <f t="shared" si="82"/>
        <v>Dec</v>
      </c>
      <c r="G1765">
        <v>1</v>
      </c>
      <c r="H1765">
        <f>_xlfn.XLOOKUP(C1765,Products!A:A,Products!D:D)</f>
        <v>233.11</v>
      </c>
      <c r="I1765">
        <v>10</v>
      </c>
      <c r="J1765">
        <f t="shared" si="83"/>
        <v>209.79900000000001</v>
      </c>
      <c r="K1765" t="s">
        <v>2017</v>
      </c>
      <c r="L1765" t="str">
        <f>_xlfn.XLOOKUP(Orders[[#This Row],[ProductID]],Products!A:A,Products!C:C)</f>
        <v>Home</v>
      </c>
    </row>
    <row r="1766" spans="1:12" x14ac:dyDescent="0.3">
      <c r="A1766">
        <v>1765</v>
      </c>
      <c r="B1766">
        <v>1153</v>
      </c>
      <c r="C1766">
        <v>36</v>
      </c>
      <c r="D1766" t="s">
        <v>942</v>
      </c>
      <c r="E1766">
        <f t="shared" si="81"/>
        <v>2023</v>
      </c>
      <c r="F1766" t="str">
        <f t="shared" si="82"/>
        <v>Oct</v>
      </c>
      <c r="G1766">
        <v>2</v>
      </c>
      <c r="H1766">
        <f>_xlfn.XLOOKUP(C1766,Products!A:A,Products!D:D)</f>
        <v>992.01</v>
      </c>
      <c r="I1766">
        <v>20</v>
      </c>
      <c r="J1766">
        <f t="shared" si="83"/>
        <v>1587.2160000000001</v>
      </c>
      <c r="K1766" t="s">
        <v>2024</v>
      </c>
      <c r="L1766" t="str">
        <f>_xlfn.XLOOKUP(Orders[[#This Row],[ProductID]],Products!A:A,Products!C:C)</f>
        <v>Beauty</v>
      </c>
    </row>
    <row r="1767" spans="1:12" x14ac:dyDescent="0.3">
      <c r="A1767">
        <v>1766</v>
      </c>
      <c r="B1767">
        <v>1154</v>
      </c>
      <c r="C1767">
        <v>25</v>
      </c>
      <c r="D1767" t="s">
        <v>2085</v>
      </c>
      <c r="E1767">
        <f t="shared" si="81"/>
        <v>2024</v>
      </c>
      <c r="F1767" t="str">
        <f t="shared" si="82"/>
        <v>Apr</v>
      </c>
      <c r="G1767">
        <v>1</v>
      </c>
      <c r="H1767">
        <f>_xlfn.XLOOKUP(C1767,Products!A:A,Products!D:D)</f>
        <v>1011.65</v>
      </c>
      <c r="I1767">
        <v>10</v>
      </c>
      <c r="J1767">
        <f t="shared" si="83"/>
        <v>910.48500000000001</v>
      </c>
      <c r="K1767" t="s">
        <v>2015</v>
      </c>
      <c r="L1767" t="str">
        <f>_xlfn.XLOOKUP(Orders[[#This Row],[ProductID]],Products!A:A,Products!C:C)</f>
        <v>Electronics</v>
      </c>
    </row>
    <row r="1768" spans="1:12" x14ac:dyDescent="0.3">
      <c r="A1768">
        <v>1767</v>
      </c>
      <c r="B1768">
        <v>1154</v>
      </c>
      <c r="C1768">
        <v>30</v>
      </c>
      <c r="D1768" t="s">
        <v>2204</v>
      </c>
      <c r="E1768">
        <f t="shared" si="81"/>
        <v>2023</v>
      </c>
      <c r="F1768" t="str">
        <f t="shared" si="82"/>
        <v>Dec</v>
      </c>
      <c r="G1768">
        <v>3</v>
      </c>
      <c r="H1768">
        <f>_xlfn.XLOOKUP(C1768,Products!A:A,Products!D:D)</f>
        <v>866.89</v>
      </c>
      <c r="I1768">
        <v>20</v>
      </c>
      <c r="J1768">
        <f t="shared" si="83"/>
        <v>2080.5360000000001</v>
      </c>
      <c r="K1768" t="s">
        <v>2021</v>
      </c>
      <c r="L1768" t="str">
        <f>_xlfn.XLOOKUP(Orders[[#This Row],[ProductID]],Products!A:A,Products!C:C)</f>
        <v>Electronics</v>
      </c>
    </row>
    <row r="1769" spans="1:12" x14ac:dyDescent="0.3">
      <c r="A1769">
        <v>1768</v>
      </c>
      <c r="B1769">
        <v>1154</v>
      </c>
      <c r="C1769">
        <v>32</v>
      </c>
      <c r="D1769" t="s">
        <v>2034</v>
      </c>
      <c r="E1769">
        <f t="shared" si="81"/>
        <v>2023</v>
      </c>
      <c r="F1769" t="str">
        <f t="shared" si="82"/>
        <v>Sep</v>
      </c>
      <c r="G1769">
        <v>3</v>
      </c>
      <c r="H1769">
        <f>_xlfn.XLOOKUP(C1769,Products!A:A,Products!D:D)</f>
        <v>342.57</v>
      </c>
      <c r="I1769">
        <v>15</v>
      </c>
      <c r="J1769">
        <f t="shared" si="83"/>
        <v>873.55349999999999</v>
      </c>
      <c r="K1769" t="s">
        <v>2019</v>
      </c>
      <c r="L1769" t="str">
        <f>_xlfn.XLOOKUP(Orders[[#This Row],[ProductID]],Products!A:A,Products!C:C)</f>
        <v>Clothing</v>
      </c>
    </row>
    <row r="1770" spans="1:12" x14ac:dyDescent="0.3">
      <c r="A1770">
        <v>1769</v>
      </c>
      <c r="B1770">
        <v>1154</v>
      </c>
      <c r="C1770">
        <v>41</v>
      </c>
      <c r="D1770" t="s">
        <v>703</v>
      </c>
      <c r="E1770">
        <f t="shared" si="81"/>
        <v>2023</v>
      </c>
      <c r="F1770" t="str">
        <f t="shared" si="82"/>
        <v>Sep</v>
      </c>
      <c r="G1770">
        <v>1</v>
      </c>
      <c r="H1770">
        <f>_xlfn.XLOOKUP(C1770,Products!A:A,Products!D:D)</f>
        <v>554.80999999999995</v>
      </c>
      <c r="I1770">
        <v>15</v>
      </c>
      <c r="J1770">
        <f t="shared" si="83"/>
        <v>471.58849999999995</v>
      </c>
      <c r="K1770" t="s">
        <v>2021</v>
      </c>
      <c r="L1770" t="str">
        <f>_xlfn.XLOOKUP(Orders[[#This Row],[ProductID]],Products!A:A,Products!C:C)</f>
        <v>Home</v>
      </c>
    </row>
    <row r="1771" spans="1:12" x14ac:dyDescent="0.3">
      <c r="A1771">
        <v>1770</v>
      </c>
      <c r="B1771">
        <v>1154</v>
      </c>
      <c r="C1771">
        <v>80</v>
      </c>
      <c r="D1771" t="s">
        <v>1080</v>
      </c>
      <c r="E1771">
        <f t="shared" si="81"/>
        <v>2023</v>
      </c>
      <c r="F1771" t="str">
        <f t="shared" si="82"/>
        <v>Jun</v>
      </c>
      <c r="G1771">
        <v>1</v>
      </c>
      <c r="H1771">
        <f>_xlfn.XLOOKUP(C1771,Products!A:A,Products!D:D)</f>
        <v>1014.45</v>
      </c>
      <c r="I1771">
        <v>20</v>
      </c>
      <c r="J1771">
        <f t="shared" si="83"/>
        <v>811.56000000000006</v>
      </c>
      <c r="K1771" t="s">
        <v>2017</v>
      </c>
      <c r="L1771" t="str">
        <f>_xlfn.XLOOKUP(Orders[[#This Row],[ProductID]],Products!A:A,Products!C:C)</f>
        <v>Beauty</v>
      </c>
    </row>
    <row r="1772" spans="1:12" x14ac:dyDescent="0.3">
      <c r="A1772">
        <v>1771</v>
      </c>
      <c r="B1772">
        <v>1154</v>
      </c>
      <c r="C1772">
        <v>60</v>
      </c>
      <c r="D1772" t="s">
        <v>1104</v>
      </c>
      <c r="E1772">
        <f t="shared" si="81"/>
        <v>2023</v>
      </c>
      <c r="F1772" t="str">
        <f t="shared" si="82"/>
        <v>Nov</v>
      </c>
      <c r="G1772">
        <v>3</v>
      </c>
      <c r="H1772">
        <f>_xlfn.XLOOKUP(C1772,Products!A:A,Products!D:D)</f>
        <v>830.49</v>
      </c>
      <c r="I1772">
        <v>10</v>
      </c>
      <c r="J1772">
        <f t="shared" si="83"/>
        <v>2242.3230000000003</v>
      </c>
      <c r="K1772" t="s">
        <v>2019</v>
      </c>
      <c r="L1772" t="str">
        <f>_xlfn.XLOOKUP(Orders[[#This Row],[ProductID]],Products!A:A,Products!C:C)</f>
        <v>Clothing</v>
      </c>
    </row>
    <row r="1773" spans="1:12" x14ac:dyDescent="0.3">
      <c r="A1773">
        <v>1772</v>
      </c>
      <c r="B1773">
        <v>1154</v>
      </c>
      <c r="C1773">
        <v>58</v>
      </c>
      <c r="D1773" t="s">
        <v>2135</v>
      </c>
      <c r="E1773">
        <f t="shared" si="81"/>
        <v>2023</v>
      </c>
      <c r="F1773" t="str">
        <f t="shared" si="82"/>
        <v>Jul</v>
      </c>
      <c r="G1773">
        <v>1</v>
      </c>
      <c r="H1773">
        <f>_xlfn.XLOOKUP(C1773,Products!A:A,Products!D:D)</f>
        <v>334.98</v>
      </c>
      <c r="I1773">
        <v>10</v>
      </c>
      <c r="J1773">
        <f t="shared" si="83"/>
        <v>301.48200000000003</v>
      </c>
      <c r="K1773" t="s">
        <v>2021</v>
      </c>
      <c r="L1773" t="str">
        <f>_xlfn.XLOOKUP(Orders[[#This Row],[ProductID]],Products!A:A,Products!C:C)</f>
        <v>Home</v>
      </c>
    </row>
    <row r="1774" spans="1:12" x14ac:dyDescent="0.3">
      <c r="A1774">
        <v>1773</v>
      </c>
      <c r="B1774">
        <v>1155</v>
      </c>
      <c r="C1774">
        <v>47</v>
      </c>
      <c r="D1774" t="s">
        <v>2162</v>
      </c>
      <c r="E1774">
        <f t="shared" si="81"/>
        <v>2024</v>
      </c>
      <c r="F1774" t="str">
        <f t="shared" si="82"/>
        <v>Mar</v>
      </c>
      <c r="G1774">
        <v>1</v>
      </c>
      <c r="H1774">
        <f>_xlfn.XLOOKUP(C1774,Products!A:A,Products!D:D)</f>
        <v>1126.96</v>
      </c>
      <c r="I1774">
        <v>15</v>
      </c>
      <c r="J1774">
        <f t="shared" si="83"/>
        <v>957.91600000000005</v>
      </c>
      <c r="K1774" t="s">
        <v>2021</v>
      </c>
      <c r="L1774" t="str">
        <f>_xlfn.XLOOKUP(Orders[[#This Row],[ProductID]],Products!A:A,Products!C:C)</f>
        <v>Beauty</v>
      </c>
    </row>
    <row r="1775" spans="1:12" x14ac:dyDescent="0.3">
      <c r="A1775">
        <v>1774</v>
      </c>
      <c r="B1775">
        <v>1155</v>
      </c>
      <c r="C1775">
        <v>29</v>
      </c>
      <c r="D1775" t="s">
        <v>2158</v>
      </c>
      <c r="E1775">
        <f t="shared" si="81"/>
        <v>2023</v>
      </c>
      <c r="F1775" t="str">
        <f t="shared" si="82"/>
        <v>Nov</v>
      </c>
      <c r="G1775">
        <v>1</v>
      </c>
      <c r="H1775">
        <f>_xlfn.XLOOKUP(C1775,Products!A:A,Products!D:D)</f>
        <v>757</v>
      </c>
      <c r="I1775">
        <v>10</v>
      </c>
      <c r="J1775">
        <f t="shared" si="83"/>
        <v>681.30000000000007</v>
      </c>
      <c r="K1775" t="s">
        <v>2024</v>
      </c>
      <c r="L1775" t="str">
        <f>_xlfn.XLOOKUP(Orders[[#This Row],[ProductID]],Products!A:A,Products!C:C)</f>
        <v>Clothing</v>
      </c>
    </row>
    <row r="1776" spans="1:12" x14ac:dyDescent="0.3">
      <c r="A1776">
        <v>1775</v>
      </c>
      <c r="B1776">
        <v>1155</v>
      </c>
      <c r="C1776">
        <v>80</v>
      </c>
      <c r="D1776" t="s">
        <v>2174</v>
      </c>
      <c r="E1776">
        <f t="shared" si="81"/>
        <v>2023</v>
      </c>
      <c r="F1776" t="str">
        <f t="shared" si="82"/>
        <v>Sep</v>
      </c>
      <c r="G1776">
        <v>3</v>
      </c>
      <c r="H1776">
        <f>_xlfn.XLOOKUP(C1776,Products!A:A,Products!D:D)</f>
        <v>1014.45</v>
      </c>
      <c r="I1776">
        <v>5</v>
      </c>
      <c r="J1776">
        <f t="shared" si="83"/>
        <v>2891.1825000000003</v>
      </c>
      <c r="K1776" t="s">
        <v>2024</v>
      </c>
      <c r="L1776" t="str">
        <f>_xlfn.XLOOKUP(Orders[[#This Row],[ProductID]],Products!A:A,Products!C:C)</f>
        <v>Beauty</v>
      </c>
    </row>
    <row r="1777" spans="1:12" x14ac:dyDescent="0.3">
      <c r="A1777">
        <v>1776</v>
      </c>
      <c r="B1777">
        <v>1155</v>
      </c>
      <c r="C1777">
        <v>41</v>
      </c>
      <c r="D1777" t="s">
        <v>1470</v>
      </c>
      <c r="E1777">
        <f t="shared" si="81"/>
        <v>2023</v>
      </c>
      <c r="F1777" t="str">
        <f t="shared" si="82"/>
        <v>Sep</v>
      </c>
      <c r="G1777">
        <v>2</v>
      </c>
      <c r="H1777">
        <f>_xlfn.XLOOKUP(C1777,Products!A:A,Products!D:D)</f>
        <v>554.80999999999995</v>
      </c>
      <c r="I1777">
        <v>20</v>
      </c>
      <c r="J1777">
        <f t="shared" si="83"/>
        <v>887.69599999999991</v>
      </c>
      <c r="K1777" t="s">
        <v>2015</v>
      </c>
      <c r="L1777" t="str">
        <f>_xlfn.XLOOKUP(Orders[[#This Row],[ProductID]],Products!A:A,Products!C:C)</f>
        <v>Home</v>
      </c>
    </row>
    <row r="1778" spans="1:12" x14ac:dyDescent="0.3">
      <c r="A1778">
        <v>1777</v>
      </c>
      <c r="B1778">
        <v>1155</v>
      </c>
      <c r="C1778">
        <v>26</v>
      </c>
      <c r="D1778" t="s">
        <v>2057</v>
      </c>
      <c r="E1778">
        <f t="shared" si="81"/>
        <v>2024</v>
      </c>
      <c r="F1778" t="str">
        <f t="shared" si="82"/>
        <v>Feb</v>
      </c>
      <c r="G1778">
        <v>3</v>
      </c>
      <c r="H1778">
        <f>_xlfn.XLOOKUP(C1778,Products!A:A,Products!D:D)</f>
        <v>272.61</v>
      </c>
      <c r="I1778">
        <v>5</v>
      </c>
      <c r="J1778">
        <f t="shared" si="83"/>
        <v>776.93849999999998</v>
      </c>
      <c r="K1778" t="s">
        <v>2015</v>
      </c>
      <c r="L1778" t="str">
        <f>_xlfn.XLOOKUP(Orders[[#This Row],[ProductID]],Products!A:A,Products!C:C)</f>
        <v>Home</v>
      </c>
    </row>
    <row r="1779" spans="1:12" x14ac:dyDescent="0.3">
      <c r="A1779">
        <v>1778</v>
      </c>
      <c r="B1779">
        <v>1155</v>
      </c>
      <c r="C1779">
        <v>78</v>
      </c>
      <c r="D1779" t="s">
        <v>353</v>
      </c>
      <c r="E1779">
        <f t="shared" si="81"/>
        <v>2023</v>
      </c>
      <c r="F1779" t="str">
        <f t="shared" si="82"/>
        <v>Mar</v>
      </c>
      <c r="G1779">
        <v>2</v>
      </c>
      <c r="H1779">
        <f>_xlfn.XLOOKUP(C1779,Products!A:A,Products!D:D)</f>
        <v>795.77</v>
      </c>
      <c r="I1779">
        <v>0</v>
      </c>
      <c r="J1779">
        <f t="shared" si="83"/>
        <v>1591.54</v>
      </c>
      <c r="K1779" t="s">
        <v>2021</v>
      </c>
      <c r="L1779" t="str">
        <f>_xlfn.XLOOKUP(Orders[[#This Row],[ProductID]],Products!A:A,Products!C:C)</f>
        <v>Beauty</v>
      </c>
    </row>
    <row r="1780" spans="1:12" x14ac:dyDescent="0.3">
      <c r="A1780">
        <v>1779</v>
      </c>
      <c r="B1780">
        <v>1155</v>
      </c>
      <c r="C1780">
        <v>68</v>
      </c>
      <c r="D1780" t="s">
        <v>2169</v>
      </c>
      <c r="E1780">
        <f t="shared" si="81"/>
        <v>2024</v>
      </c>
      <c r="F1780" t="str">
        <f t="shared" si="82"/>
        <v>Feb</v>
      </c>
      <c r="G1780">
        <v>3</v>
      </c>
      <c r="H1780">
        <f>_xlfn.XLOOKUP(C1780,Products!A:A,Products!D:D)</f>
        <v>180.99</v>
      </c>
      <c r="I1780">
        <v>10</v>
      </c>
      <c r="J1780">
        <f t="shared" si="83"/>
        <v>488.67300000000006</v>
      </c>
      <c r="K1780" t="s">
        <v>2021</v>
      </c>
      <c r="L1780" t="str">
        <f>_xlfn.XLOOKUP(Orders[[#This Row],[ProductID]],Products!A:A,Products!C:C)</f>
        <v>Clothing</v>
      </c>
    </row>
    <row r="1781" spans="1:12" x14ac:dyDescent="0.3">
      <c r="A1781">
        <v>1780</v>
      </c>
      <c r="B1781">
        <v>1156</v>
      </c>
      <c r="C1781">
        <v>49</v>
      </c>
      <c r="D1781" t="s">
        <v>1110</v>
      </c>
      <c r="E1781">
        <f t="shared" si="81"/>
        <v>2023</v>
      </c>
      <c r="F1781" t="str">
        <f t="shared" si="82"/>
        <v>Aug</v>
      </c>
      <c r="G1781">
        <v>3</v>
      </c>
      <c r="H1781">
        <f>_xlfn.XLOOKUP(C1781,Products!A:A,Products!D:D)</f>
        <v>974.54</v>
      </c>
      <c r="I1781">
        <v>0</v>
      </c>
      <c r="J1781">
        <f t="shared" si="83"/>
        <v>2923.62</v>
      </c>
      <c r="K1781" t="s">
        <v>2024</v>
      </c>
      <c r="L1781" t="str">
        <f>_xlfn.XLOOKUP(Orders[[#This Row],[ProductID]],Products!A:A,Products!C:C)</f>
        <v>Home</v>
      </c>
    </row>
    <row r="1782" spans="1:12" x14ac:dyDescent="0.3">
      <c r="A1782">
        <v>1781</v>
      </c>
      <c r="B1782">
        <v>1156</v>
      </c>
      <c r="C1782">
        <v>34</v>
      </c>
      <c r="D1782" t="s">
        <v>1588</v>
      </c>
      <c r="E1782">
        <f t="shared" si="81"/>
        <v>2023</v>
      </c>
      <c r="F1782" t="str">
        <f t="shared" si="82"/>
        <v>Apr</v>
      </c>
      <c r="G1782">
        <v>1</v>
      </c>
      <c r="H1782">
        <f>_xlfn.XLOOKUP(C1782,Products!A:A,Products!D:D)</f>
        <v>523.98</v>
      </c>
      <c r="I1782">
        <v>10</v>
      </c>
      <c r="J1782">
        <f t="shared" si="83"/>
        <v>471.58200000000005</v>
      </c>
      <c r="K1782" t="s">
        <v>2019</v>
      </c>
      <c r="L1782" t="str">
        <f>_xlfn.XLOOKUP(Orders[[#This Row],[ProductID]],Products!A:A,Products!C:C)</f>
        <v>Home</v>
      </c>
    </row>
    <row r="1783" spans="1:12" x14ac:dyDescent="0.3">
      <c r="A1783">
        <v>1782</v>
      </c>
      <c r="B1783">
        <v>1156</v>
      </c>
      <c r="C1783">
        <v>4</v>
      </c>
      <c r="D1783" t="s">
        <v>444</v>
      </c>
      <c r="E1783">
        <f t="shared" si="81"/>
        <v>2023</v>
      </c>
      <c r="F1783" t="str">
        <f t="shared" si="82"/>
        <v>Nov</v>
      </c>
      <c r="G1783">
        <v>3</v>
      </c>
      <c r="H1783">
        <f>_xlfn.XLOOKUP(C1783,Products!A:A,Products!D:D)</f>
        <v>800.26</v>
      </c>
      <c r="I1783">
        <v>15</v>
      </c>
      <c r="J1783">
        <f t="shared" si="83"/>
        <v>2040.6629999999998</v>
      </c>
      <c r="K1783" t="s">
        <v>2019</v>
      </c>
      <c r="L1783" t="str">
        <f>_xlfn.XLOOKUP(Orders[[#This Row],[ProductID]],Products!A:A,Products!C:C)</f>
        <v>Electronics</v>
      </c>
    </row>
    <row r="1784" spans="1:12" x14ac:dyDescent="0.3">
      <c r="A1784">
        <v>1783</v>
      </c>
      <c r="B1784">
        <v>1156</v>
      </c>
      <c r="C1784">
        <v>48</v>
      </c>
      <c r="D1784" t="s">
        <v>2094</v>
      </c>
      <c r="E1784">
        <f t="shared" si="81"/>
        <v>2023</v>
      </c>
      <c r="F1784" t="str">
        <f t="shared" si="82"/>
        <v>Aug</v>
      </c>
      <c r="G1784">
        <v>1</v>
      </c>
      <c r="H1784">
        <f>_xlfn.XLOOKUP(C1784,Products!A:A,Products!D:D)</f>
        <v>1125.8499999999999</v>
      </c>
      <c r="I1784">
        <v>15</v>
      </c>
      <c r="J1784">
        <f t="shared" si="83"/>
        <v>956.97249999999985</v>
      </c>
      <c r="K1784" t="s">
        <v>2017</v>
      </c>
      <c r="L1784" t="str">
        <f>_xlfn.XLOOKUP(Orders[[#This Row],[ProductID]],Products!A:A,Products!C:C)</f>
        <v>Clothing</v>
      </c>
    </row>
    <row r="1785" spans="1:12" x14ac:dyDescent="0.3">
      <c r="A1785">
        <v>1784</v>
      </c>
      <c r="B1785">
        <v>1156</v>
      </c>
      <c r="C1785">
        <v>72</v>
      </c>
      <c r="D1785" t="s">
        <v>1837</v>
      </c>
      <c r="E1785">
        <f t="shared" si="81"/>
        <v>2023</v>
      </c>
      <c r="F1785" t="str">
        <f t="shared" si="82"/>
        <v>Mar</v>
      </c>
      <c r="G1785">
        <v>3</v>
      </c>
      <c r="H1785">
        <f>_xlfn.XLOOKUP(C1785,Products!A:A,Products!D:D)</f>
        <v>1157.27</v>
      </c>
      <c r="I1785">
        <v>15</v>
      </c>
      <c r="J1785">
        <f t="shared" si="83"/>
        <v>2951.0384999999997</v>
      </c>
      <c r="K1785" t="s">
        <v>2024</v>
      </c>
      <c r="L1785" t="str">
        <f>_xlfn.XLOOKUP(Orders[[#This Row],[ProductID]],Products!A:A,Products!C:C)</f>
        <v>Electronics</v>
      </c>
    </row>
    <row r="1786" spans="1:12" x14ac:dyDescent="0.3">
      <c r="A1786">
        <v>1785</v>
      </c>
      <c r="B1786">
        <v>1156</v>
      </c>
      <c r="C1786">
        <v>14</v>
      </c>
      <c r="D1786" t="s">
        <v>2191</v>
      </c>
      <c r="E1786">
        <f t="shared" si="81"/>
        <v>2024</v>
      </c>
      <c r="F1786" t="str">
        <f t="shared" si="82"/>
        <v>Apr</v>
      </c>
      <c r="G1786">
        <v>2</v>
      </c>
      <c r="H1786">
        <f>_xlfn.XLOOKUP(C1786,Products!A:A,Products!D:D)</f>
        <v>574.25</v>
      </c>
      <c r="I1786">
        <v>15</v>
      </c>
      <c r="J1786">
        <f t="shared" si="83"/>
        <v>976.22500000000002</v>
      </c>
      <c r="K1786" t="s">
        <v>2024</v>
      </c>
      <c r="L1786" t="str">
        <f>_xlfn.XLOOKUP(Orders[[#This Row],[ProductID]],Products!A:A,Products!C:C)</f>
        <v>Beauty</v>
      </c>
    </row>
    <row r="1787" spans="1:12" x14ac:dyDescent="0.3">
      <c r="A1787">
        <v>1786</v>
      </c>
      <c r="B1787">
        <v>1156</v>
      </c>
      <c r="C1787">
        <v>26</v>
      </c>
      <c r="D1787" t="s">
        <v>2055</v>
      </c>
      <c r="E1787">
        <f t="shared" si="81"/>
        <v>2023</v>
      </c>
      <c r="F1787" t="str">
        <f t="shared" si="82"/>
        <v>Dec</v>
      </c>
      <c r="G1787">
        <v>3</v>
      </c>
      <c r="H1787">
        <f>_xlfn.XLOOKUP(C1787,Products!A:A,Products!D:D)</f>
        <v>272.61</v>
      </c>
      <c r="I1787">
        <v>15</v>
      </c>
      <c r="J1787">
        <f t="shared" si="83"/>
        <v>695.15549999999996</v>
      </c>
      <c r="K1787" t="s">
        <v>2024</v>
      </c>
      <c r="L1787" t="str">
        <f>_xlfn.XLOOKUP(Orders[[#This Row],[ProductID]],Products!A:A,Products!C:C)</f>
        <v>Home</v>
      </c>
    </row>
    <row r="1788" spans="1:12" x14ac:dyDescent="0.3">
      <c r="A1788">
        <v>1787</v>
      </c>
      <c r="B1788">
        <v>1156</v>
      </c>
      <c r="C1788">
        <v>21</v>
      </c>
      <c r="D1788" t="s">
        <v>924</v>
      </c>
      <c r="E1788">
        <f t="shared" si="81"/>
        <v>2023</v>
      </c>
      <c r="F1788" t="str">
        <f t="shared" si="82"/>
        <v>Oct</v>
      </c>
      <c r="G1788">
        <v>1</v>
      </c>
      <c r="H1788">
        <f>_xlfn.XLOOKUP(C1788,Products!A:A,Products!D:D)</f>
        <v>420.66</v>
      </c>
      <c r="I1788">
        <v>10</v>
      </c>
      <c r="J1788">
        <f t="shared" si="83"/>
        <v>378.59400000000005</v>
      </c>
      <c r="K1788" t="s">
        <v>2019</v>
      </c>
      <c r="L1788" t="str">
        <f>_xlfn.XLOOKUP(Orders[[#This Row],[ProductID]],Products!A:A,Products!C:C)</f>
        <v>Beauty</v>
      </c>
    </row>
    <row r="1789" spans="1:12" x14ac:dyDescent="0.3">
      <c r="A1789">
        <v>1788</v>
      </c>
      <c r="B1789">
        <v>1157</v>
      </c>
      <c r="C1789">
        <v>16</v>
      </c>
      <c r="D1789" t="s">
        <v>446</v>
      </c>
      <c r="E1789">
        <f t="shared" si="81"/>
        <v>2023</v>
      </c>
      <c r="F1789" t="str">
        <f t="shared" si="82"/>
        <v>Jan</v>
      </c>
      <c r="G1789">
        <v>2</v>
      </c>
      <c r="H1789">
        <f>_xlfn.XLOOKUP(C1789,Products!A:A,Products!D:D)</f>
        <v>693.02</v>
      </c>
      <c r="I1789">
        <v>20</v>
      </c>
      <c r="J1789">
        <f t="shared" si="83"/>
        <v>1108.8320000000001</v>
      </c>
      <c r="K1789" t="s">
        <v>2017</v>
      </c>
      <c r="L1789" t="str">
        <f>_xlfn.XLOOKUP(Orders[[#This Row],[ProductID]],Products!A:A,Products!C:C)</f>
        <v>Home</v>
      </c>
    </row>
    <row r="1790" spans="1:12" x14ac:dyDescent="0.3">
      <c r="A1790">
        <v>1789</v>
      </c>
      <c r="B1790">
        <v>1157</v>
      </c>
      <c r="C1790">
        <v>48</v>
      </c>
      <c r="D1790" t="s">
        <v>178</v>
      </c>
      <c r="E1790">
        <f t="shared" si="81"/>
        <v>2023</v>
      </c>
      <c r="F1790" t="str">
        <f t="shared" si="82"/>
        <v>Mar</v>
      </c>
      <c r="G1790">
        <v>2</v>
      </c>
      <c r="H1790">
        <f>_xlfn.XLOOKUP(C1790,Products!A:A,Products!D:D)</f>
        <v>1125.8499999999999</v>
      </c>
      <c r="I1790">
        <v>15</v>
      </c>
      <c r="J1790">
        <f t="shared" si="83"/>
        <v>1913.9449999999997</v>
      </c>
      <c r="K1790" t="s">
        <v>2015</v>
      </c>
      <c r="L1790" t="str">
        <f>_xlfn.XLOOKUP(Orders[[#This Row],[ProductID]],Products!A:A,Products!C:C)</f>
        <v>Clothing</v>
      </c>
    </row>
    <row r="1791" spans="1:12" x14ac:dyDescent="0.3">
      <c r="A1791">
        <v>1790</v>
      </c>
      <c r="B1791">
        <v>1157</v>
      </c>
      <c r="C1791">
        <v>4</v>
      </c>
      <c r="D1791" t="s">
        <v>390</v>
      </c>
      <c r="E1791">
        <f t="shared" si="81"/>
        <v>2023</v>
      </c>
      <c r="F1791" t="str">
        <f t="shared" si="82"/>
        <v>Nov</v>
      </c>
      <c r="G1791">
        <v>2</v>
      </c>
      <c r="H1791">
        <f>_xlfn.XLOOKUP(C1791,Products!A:A,Products!D:D)</f>
        <v>800.26</v>
      </c>
      <c r="I1791">
        <v>10</v>
      </c>
      <c r="J1791">
        <f t="shared" si="83"/>
        <v>1440.4680000000001</v>
      </c>
      <c r="K1791" t="s">
        <v>2017</v>
      </c>
      <c r="L1791" t="str">
        <f>_xlfn.XLOOKUP(Orders[[#This Row],[ProductID]],Products!A:A,Products!C:C)</f>
        <v>Electronics</v>
      </c>
    </row>
    <row r="1792" spans="1:12" x14ac:dyDescent="0.3">
      <c r="A1792">
        <v>1791</v>
      </c>
      <c r="B1792">
        <v>1157</v>
      </c>
      <c r="C1792">
        <v>23</v>
      </c>
      <c r="D1792" t="s">
        <v>211</v>
      </c>
      <c r="E1792">
        <f t="shared" si="81"/>
        <v>2023</v>
      </c>
      <c r="F1792" t="str">
        <f t="shared" si="82"/>
        <v>Jun</v>
      </c>
      <c r="G1792">
        <v>3</v>
      </c>
      <c r="H1792">
        <f>_xlfn.XLOOKUP(C1792,Products!A:A,Products!D:D)</f>
        <v>258.08</v>
      </c>
      <c r="I1792">
        <v>0</v>
      </c>
      <c r="J1792">
        <f t="shared" si="83"/>
        <v>774.24</v>
      </c>
      <c r="K1792" t="s">
        <v>2024</v>
      </c>
      <c r="L1792" t="str">
        <f>_xlfn.XLOOKUP(Orders[[#This Row],[ProductID]],Products!A:A,Products!C:C)</f>
        <v>Home</v>
      </c>
    </row>
    <row r="1793" spans="1:12" x14ac:dyDescent="0.3">
      <c r="A1793">
        <v>1792</v>
      </c>
      <c r="B1793">
        <v>1157</v>
      </c>
      <c r="C1793">
        <v>42</v>
      </c>
      <c r="D1793" t="s">
        <v>1911</v>
      </c>
      <c r="E1793">
        <f t="shared" si="81"/>
        <v>2023</v>
      </c>
      <c r="F1793" t="str">
        <f t="shared" si="82"/>
        <v>Oct</v>
      </c>
      <c r="G1793">
        <v>3</v>
      </c>
      <c r="H1793">
        <f>_xlfn.XLOOKUP(C1793,Products!A:A,Products!D:D)</f>
        <v>233.11</v>
      </c>
      <c r="I1793">
        <v>0</v>
      </c>
      <c r="J1793">
        <f t="shared" si="83"/>
        <v>699.33</v>
      </c>
      <c r="K1793" t="s">
        <v>2015</v>
      </c>
      <c r="L1793" t="str">
        <f>_xlfn.XLOOKUP(Orders[[#This Row],[ProductID]],Products!A:A,Products!C:C)</f>
        <v>Home</v>
      </c>
    </row>
    <row r="1794" spans="1:12" x14ac:dyDescent="0.3">
      <c r="A1794">
        <v>1793</v>
      </c>
      <c r="B1794">
        <v>1157</v>
      </c>
      <c r="C1794">
        <v>8</v>
      </c>
      <c r="D1794" t="s">
        <v>2037</v>
      </c>
      <c r="E1794">
        <f t="shared" si="81"/>
        <v>2024</v>
      </c>
      <c r="F1794" t="str">
        <f t="shared" si="82"/>
        <v>Jan</v>
      </c>
      <c r="G1794">
        <v>3</v>
      </c>
      <c r="H1794">
        <f>_xlfn.XLOOKUP(C1794,Products!A:A,Products!D:D)</f>
        <v>155.08000000000001</v>
      </c>
      <c r="I1794">
        <v>5</v>
      </c>
      <c r="J1794">
        <f t="shared" si="83"/>
        <v>441.97800000000001</v>
      </c>
      <c r="K1794" t="s">
        <v>2017</v>
      </c>
      <c r="L1794" t="str">
        <f>_xlfn.XLOOKUP(Orders[[#This Row],[ProductID]],Products!A:A,Products!C:C)</f>
        <v>Clothing</v>
      </c>
    </row>
    <row r="1795" spans="1:12" x14ac:dyDescent="0.3">
      <c r="A1795">
        <v>1794</v>
      </c>
      <c r="B1795">
        <v>1157</v>
      </c>
      <c r="C1795">
        <v>9</v>
      </c>
      <c r="D1795" t="s">
        <v>2181</v>
      </c>
      <c r="E1795">
        <f t="shared" ref="E1795:E1858" si="84">YEAR(D1795)</f>
        <v>2024</v>
      </c>
      <c r="F1795" t="str">
        <f t="shared" ref="F1795:F1858" si="85">TEXT(D1795,"mmm")</f>
        <v>Apr</v>
      </c>
      <c r="G1795">
        <v>1</v>
      </c>
      <c r="H1795">
        <f>_xlfn.XLOOKUP(C1795,Products!A:A,Products!D:D)</f>
        <v>43.26</v>
      </c>
      <c r="I1795">
        <v>5</v>
      </c>
      <c r="J1795">
        <f t="shared" ref="J1795:J1858" si="86">G1795*H1795*(1-I1795/100)</f>
        <v>41.096999999999994</v>
      </c>
      <c r="K1795" t="s">
        <v>2021</v>
      </c>
      <c r="L1795" t="str">
        <f>_xlfn.XLOOKUP(Orders[[#This Row],[ProductID]],Products!A:A,Products!C:C)</f>
        <v>Electronics</v>
      </c>
    </row>
    <row r="1796" spans="1:12" x14ac:dyDescent="0.3">
      <c r="A1796">
        <v>1795</v>
      </c>
      <c r="B1796">
        <v>1157</v>
      </c>
      <c r="C1796">
        <v>14</v>
      </c>
      <c r="D1796" t="s">
        <v>434</v>
      </c>
      <c r="E1796">
        <f t="shared" si="84"/>
        <v>2023</v>
      </c>
      <c r="F1796" t="str">
        <f t="shared" si="85"/>
        <v>Sep</v>
      </c>
      <c r="G1796">
        <v>1</v>
      </c>
      <c r="H1796">
        <f>_xlfn.XLOOKUP(C1796,Products!A:A,Products!D:D)</f>
        <v>574.25</v>
      </c>
      <c r="I1796">
        <v>5</v>
      </c>
      <c r="J1796">
        <f t="shared" si="86"/>
        <v>545.53750000000002</v>
      </c>
      <c r="K1796" t="s">
        <v>2019</v>
      </c>
      <c r="L1796" t="str">
        <f>_xlfn.XLOOKUP(Orders[[#This Row],[ProductID]],Products!A:A,Products!C:C)</f>
        <v>Beauty</v>
      </c>
    </row>
    <row r="1797" spans="1:12" x14ac:dyDescent="0.3">
      <c r="A1797">
        <v>1796</v>
      </c>
      <c r="B1797">
        <v>1158</v>
      </c>
      <c r="C1797">
        <v>47</v>
      </c>
      <c r="D1797" t="s">
        <v>2087</v>
      </c>
      <c r="E1797">
        <f t="shared" si="84"/>
        <v>2024</v>
      </c>
      <c r="F1797" t="str">
        <f t="shared" si="85"/>
        <v>May</v>
      </c>
      <c r="G1797">
        <v>2</v>
      </c>
      <c r="H1797">
        <f>_xlfn.XLOOKUP(C1797,Products!A:A,Products!D:D)</f>
        <v>1126.96</v>
      </c>
      <c r="I1797">
        <v>10</v>
      </c>
      <c r="J1797">
        <f t="shared" si="86"/>
        <v>2028.528</v>
      </c>
      <c r="K1797" t="s">
        <v>2019</v>
      </c>
      <c r="L1797" t="str">
        <f>_xlfn.XLOOKUP(Orders[[#This Row],[ProductID]],Products!A:A,Products!C:C)</f>
        <v>Beauty</v>
      </c>
    </row>
    <row r="1798" spans="1:12" x14ac:dyDescent="0.3">
      <c r="A1798">
        <v>1797</v>
      </c>
      <c r="B1798">
        <v>1158</v>
      </c>
      <c r="C1798">
        <v>53</v>
      </c>
      <c r="D1798" t="s">
        <v>93</v>
      </c>
      <c r="E1798">
        <f t="shared" si="84"/>
        <v>2023</v>
      </c>
      <c r="F1798" t="str">
        <f t="shared" si="85"/>
        <v>Jun</v>
      </c>
      <c r="G1798">
        <v>1</v>
      </c>
      <c r="H1798">
        <f>_xlfn.XLOOKUP(C1798,Products!A:A,Products!D:D)</f>
        <v>194.34</v>
      </c>
      <c r="I1798">
        <v>15</v>
      </c>
      <c r="J1798">
        <f t="shared" si="86"/>
        <v>165.18899999999999</v>
      </c>
      <c r="K1798" t="s">
        <v>2017</v>
      </c>
      <c r="L1798" t="str">
        <f>_xlfn.XLOOKUP(Orders[[#This Row],[ProductID]],Products!A:A,Products!C:C)</f>
        <v>Home</v>
      </c>
    </row>
    <row r="1799" spans="1:12" x14ac:dyDescent="0.3">
      <c r="A1799">
        <v>1798</v>
      </c>
      <c r="B1799">
        <v>1158</v>
      </c>
      <c r="C1799">
        <v>70</v>
      </c>
      <c r="D1799" t="s">
        <v>701</v>
      </c>
      <c r="E1799">
        <f t="shared" si="84"/>
        <v>2023</v>
      </c>
      <c r="F1799" t="str">
        <f t="shared" si="85"/>
        <v>Feb</v>
      </c>
      <c r="G1799">
        <v>3</v>
      </c>
      <c r="H1799">
        <f>_xlfn.XLOOKUP(C1799,Products!A:A,Products!D:D)</f>
        <v>797.23</v>
      </c>
      <c r="I1799">
        <v>15</v>
      </c>
      <c r="J1799">
        <f t="shared" si="86"/>
        <v>2032.9365</v>
      </c>
      <c r="K1799" t="s">
        <v>2017</v>
      </c>
      <c r="L1799" t="str">
        <f>_xlfn.XLOOKUP(Orders[[#This Row],[ProductID]],Products!A:A,Products!C:C)</f>
        <v>Clothing</v>
      </c>
    </row>
    <row r="1800" spans="1:12" x14ac:dyDescent="0.3">
      <c r="A1800">
        <v>1799</v>
      </c>
      <c r="B1800">
        <v>1158</v>
      </c>
      <c r="C1800">
        <v>20</v>
      </c>
      <c r="D1800" t="s">
        <v>403</v>
      </c>
      <c r="E1800">
        <f t="shared" si="84"/>
        <v>2023</v>
      </c>
      <c r="F1800" t="str">
        <f t="shared" si="85"/>
        <v>Oct</v>
      </c>
      <c r="G1800">
        <v>1</v>
      </c>
      <c r="H1800">
        <f>_xlfn.XLOOKUP(C1800,Products!A:A,Products!D:D)</f>
        <v>613.27</v>
      </c>
      <c r="I1800">
        <v>5</v>
      </c>
      <c r="J1800">
        <f t="shared" si="86"/>
        <v>582.60649999999998</v>
      </c>
      <c r="K1800" t="s">
        <v>2017</v>
      </c>
      <c r="L1800" t="str">
        <f>_xlfn.XLOOKUP(Orders[[#This Row],[ProductID]],Products!A:A,Products!C:C)</f>
        <v>Home</v>
      </c>
    </row>
    <row r="1801" spans="1:12" x14ac:dyDescent="0.3">
      <c r="A1801">
        <v>1800</v>
      </c>
      <c r="B1801">
        <v>1158</v>
      </c>
      <c r="C1801">
        <v>21</v>
      </c>
      <c r="D1801" t="s">
        <v>414</v>
      </c>
      <c r="E1801">
        <f t="shared" si="84"/>
        <v>2023</v>
      </c>
      <c r="F1801" t="str">
        <f t="shared" si="85"/>
        <v>Mar</v>
      </c>
      <c r="G1801">
        <v>2</v>
      </c>
      <c r="H1801">
        <f>_xlfn.XLOOKUP(C1801,Products!A:A,Products!D:D)</f>
        <v>420.66</v>
      </c>
      <c r="I1801">
        <v>5</v>
      </c>
      <c r="J1801">
        <f t="shared" si="86"/>
        <v>799.25400000000002</v>
      </c>
      <c r="K1801" t="s">
        <v>2021</v>
      </c>
      <c r="L1801" t="str">
        <f>_xlfn.XLOOKUP(Orders[[#This Row],[ProductID]],Products!A:A,Products!C:C)</f>
        <v>Beauty</v>
      </c>
    </row>
    <row r="1802" spans="1:12" x14ac:dyDescent="0.3">
      <c r="A1802">
        <v>1801</v>
      </c>
      <c r="B1802">
        <v>1158</v>
      </c>
      <c r="C1802">
        <v>8</v>
      </c>
      <c r="D1802" t="s">
        <v>691</v>
      </c>
      <c r="E1802">
        <f t="shared" si="84"/>
        <v>2023</v>
      </c>
      <c r="F1802" t="str">
        <f t="shared" si="85"/>
        <v>Nov</v>
      </c>
      <c r="G1802">
        <v>3</v>
      </c>
      <c r="H1802">
        <f>_xlfn.XLOOKUP(C1802,Products!A:A,Products!D:D)</f>
        <v>155.08000000000001</v>
      </c>
      <c r="I1802">
        <v>20</v>
      </c>
      <c r="J1802">
        <f t="shared" si="86"/>
        <v>372.19200000000001</v>
      </c>
      <c r="K1802" t="s">
        <v>2019</v>
      </c>
      <c r="L1802" t="str">
        <f>_xlfn.XLOOKUP(Orders[[#This Row],[ProductID]],Products!A:A,Products!C:C)</f>
        <v>Clothing</v>
      </c>
    </row>
    <row r="1803" spans="1:12" x14ac:dyDescent="0.3">
      <c r="A1803">
        <v>1802</v>
      </c>
      <c r="B1803">
        <v>1159</v>
      </c>
      <c r="C1803">
        <v>7</v>
      </c>
      <c r="D1803" t="s">
        <v>1303</v>
      </c>
      <c r="E1803">
        <f t="shared" si="84"/>
        <v>2023</v>
      </c>
      <c r="F1803" t="str">
        <f t="shared" si="85"/>
        <v>Nov</v>
      </c>
      <c r="G1803">
        <v>3</v>
      </c>
      <c r="H1803">
        <f>_xlfn.XLOOKUP(C1803,Products!A:A,Products!D:D)</f>
        <v>97.29</v>
      </c>
      <c r="I1803">
        <v>5</v>
      </c>
      <c r="J1803">
        <f t="shared" si="86"/>
        <v>277.2765</v>
      </c>
      <c r="K1803" t="s">
        <v>2017</v>
      </c>
      <c r="L1803" t="str">
        <f>_xlfn.XLOOKUP(Orders[[#This Row],[ProductID]],Products!A:A,Products!C:C)</f>
        <v>Beauty</v>
      </c>
    </row>
    <row r="1804" spans="1:12" x14ac:dyDescent="0.3">
      <c r="A1804">
        <v>1803</v>
      </c>
      <c r="B1804">
        <v>1159</v>
      </c>
      <c r="C1804">
        <v>6</v>
      </c>
      <c r="D1804" t="s">
        <v>858</v>
      </c>
      <c r="E1804">
        <f t="shared" si="84"/>
        <v>2023</v>
      </c>
      <c r="F1804" t="str">
        <f t="shared" si="85"/>
        <v>Jan</v>
      </c>
      <c r="G1804">
        <v>1</v>
      </c>
      <c r="H1804">
        <f>_xlfn.XLOOKUP(C1804,Products!A:A,Products!D:D)</f>
        <v>719.19</v>
      </c>
      <c r="I1804">
        <v>5</v>
      </c>
      <c r="J1804">
        <f t="shared" si="86"/>
        <v>683.23050000000001</v>
      </c>
      <c r="K1804" t="s">
        <v>2021</v>
      </c>
      <c r="L1804" t="str">
        <f>_xlfn.XLOOKUP(Orders[[#This Row],[ProductID]],Products!A:A,Products!C:C)</f>
        <v>Clothing</v>
      </c>
    </row>
    <row r="1805" spans="1:12" x14ac:dyDescent="0.3">
      <c r="A1805">
        <v>1804</v>
      </c>
      <c r="B1805">
        <v>1159</v>
      </c>
      <c r="C1805">
        <v>18</v>
      </c>
      <c r="D1805" t="s">
        <v>1438</v>
      </c>
      <c r="E1805">
        <f t="shared" si="84"/>
        <v>2023</v>
      </c>
      <c r="F1805" t="str">
        <f t="shared" si="85"/>
        <v>Sep</v>
      </c>
      <c r="G1805">
        <v>2</v>
      </c>
      <c r="H1805">
        <f>_xlfn.XLOOKUP(C1805,Products!A:A,Products!D:D)</f>
        <v>138.07</v>
      </c>
      <c r="I1805">
        <v>10</v>
      </c>
      <c r="J1805">
        <f t="shared" si="86"/>
        <v>248.52599999999998</v>
      </c>
      <c r="K1805" t="s">
        <v>2017</v>
      </c>
      <c r="L1805" t="str">
        <f>_xlfn.XLOOKUP(Orders[[#This Row],[ProductID]],Products!A:A,Products!C:C)</f>
        <v>Home</v>
      </c>
    </row>
    <row r="1806" spans="1:12" x14ac:dyDescent="0.3">
      <c r="A1806">
        <v>1805</v>
      </c>
      <c r="B1806">
        <v>1159</v>
      </c>
      <c r="C1806">
        <v>51</v>
      </c>
      <c r="D1806" t="s">
        <v>759</v>
      </c>
      <c r="E1806">
        <f t="shared" si="84"/>
        <v>2023</v>
      </c>
      <c r="F1806" t="str">
        <f t="shared" si="85"/>
        <v>Jan</v>
      </c>
      <c r="G1806">
        <v>3</v>
      </c>
      <c r="H1806">
        <f>_xlfn.XLOOKUP(C1806,Products!A:A,Products!D:D)</f>
        <v>759.57</v>
      </c>
      <c r="I1806">
        <v>10</v>
      </c>
      <c r="J1806">
        <f t="shared" si="86"/>
        <v>2050.8389999999999</v>
      </c>
      <c r="K1806" t="s">
        <v>2017</v>
      </c>
      <c r="L1806" t="str">
        <f>_xlfn.XLOOKUP(Orders[[#This Row],[ProductID]],Products!A:A,Products!C:C)</f>
        <v>Beauty</v>
      </c>
    </row>
    <row r="1807" spans="1:12" x14ac:dyDescent="0.3">
      <c r="A1807">
        <v>1806</v>
      </c>
      <c r="B1807">
        <v>1159</v>
      </c>
      <c r="C1807">
        <v>4</v>
      </c>
      <c r="D1807" t="s">
        <v>2220</v>
      </c>
      <c r="E1807">
        <f t="shared" si="84"/>
        <v>2023</v>
      </c>
      <c r="F1807" t="str">
        <f t="shared" si="85"/>
        <v>Dec</v>
      </c>
      <c r="G1807">
        <v>3</v>
      </c>
      <c r="H1807">
        <f>_xlfn.XLOOKUP(C1807,Products!A:A,Products!D:D)</f>
        <v>800.26</v>
      </c>
      <c r="I1807">
        <v>15</v>
      </c>
      <c r="J1807">
        <f t="shared" si="86"/>
        <v>2040.6629999999998</v>
      </c>
      <c r="K1807" t="s">
        <v>2015</v>
      </c>
      <c r="L1807" t="str">
        <f>_xlfn.XLOOKUP(Orders[[#This Row],[ProductID]],Products!A:A,Products!C:C)</f>
        <v>Electronics</v>
      </c>
    </row>
    <row r="1808" spans="1:12" x14ac:dyDescent="0.3">
      <c r="A1808">
        <v>1807</v>
      </c>
      <c r="B1808">
        <v>1159</v>
      </c>
      <c r="C1808">
        <v>9</v>
      </c>
      <c r="D1808" t="s">
        <v>2124</v>
      </c>
      <c r="E1808">
        <f t="shared" si="84"/>
        <v>2023</v>
      </c>
      <c r="F1808" t="str">
        <f t="shared" si="85"/>
        <v>Jan</v>
      </c>
      <c r="G1808">
        <v>1</v>
      </c>
      <c r="H1808">
        <f>_xlfn.XLOOKUP(C1808,Products!A:A,Products!D:D)</f>
        <v>43.26</v>
      </c>
      <c r="I1808">
        <v>20</v>
      </c>
      <c r="J1808">
        <f t="shared" si="86"/>
        <v>34.607999999999997</v>
      </c>
      <c r="K1808" t="s">
        <v>2019</v>
      </c>
      <c r="L1808" t="str">
        <f>_xlfn.XLOOKUP(Orders[[#This Row],[ProductID]],Products!A:A,Products!C:C)</f>
        <v>Electronics</v>
      </c>
    </row>
    <row r="1809" spans="1:12" x14ac:dyDescent="0.3">
      <c r="A1809">
        <v>1808</v>
      </c>
      <c r="B1809">
        <v>1159</v>
      </c>
      <c r="C1809">
        <v>27</v>
      </c>
      <c r="D1809" t="s">
        <v>1068</v>
      </c>
      <c r="E1809">
        <f t="shared" si="84"/>
        <v>2023</v>
      </c>
      <c r="F1809" t="str">
        <f t="shared" si="85"/>
        <v>Apr</v>
      </c>
      <c r="G1809">
        <v>3</v>
      </c>
      <c r="H1809">
        <f>_xlfn.XLOOKUP(C1809,Products!A:A,Products!D:D)</f>
        <v>76.09</v>
      </c>
      <c r="I1809">
        <v>15</v>
      </c>
      <c r="J1809">
        <f t="shared" si="86"/>
        <v>194.02950000000001</v>
      </c>
      <c r="K1809" t="s">
        <v>2019</v>
      </c>
      <c r="L1809" t="str">
        <f>_xlfn.XLOOKUP(Orders[[#This Row],[ProductID]],Products!A:A,Products!C:C)</f>
        <v>Clothing</v>
      </c>
    </row>
    <row r="1810" spans="1:12" x14ac:dyDescent="0.3">
      <c r="A1810">
        <v>1809</v>
      </c>
      <c r="B1810">
        <v>1159</v>
      </c>
      <c r="C1810">
        <v>45</v>
      </c>
      <c r="D1810" t="s">
        <v>2214</v>
      </c>
      <c r="E1810">
        <f t="shared" si="84"/>
        <v>2023</v>
      </c>
      <c r="F1810" t="str">
        <f t="shared" si="85"/>
        <v>Dec</v>
      </c>
      <c r="G1810">
        <v>1</v>
      </c>
      <c r="H1810">
        <f>_xlfn.XLOOKUP(C1810,Products!A:A,Products!D:D)</f>
        <v>609.05999999999995</v>
      </c>
      <c r="I1810">
        <v>20</v>
      </c>
      <c r="J1810">
        <f t="shared" si="86"/>
        <v>487.24799999999999</v>
      </c>
      <c r="K1810" t="s">
        <v>2024</v>
      </c>
      <c r="L1810" t="str">
        <f>_xlfn.XLOOKUP(Orders[[#This Row],[ProductID]],Products!A:A,Products!C:C)</f>
        <v>Beauty</v>
      </c>
    </row>
    <row r="1811" spans="1:12" x14ac:dyDescent="0.3">
      <c r="A1811">
        <v>1810</v>
      </c>
      <c r="B1811">
        <v>1160</v>
      </c>
      <c r="C1811">
        <v>66</v>
      </c>
      <c r="D1811" t="s">
        <v>2074</v>
      </c>
      <c r="E1811">
        <f t="shared" si="84"/>
        <v>2024</v>
      </c>
      <c r="F1811" t="str">
        <f t="shared" si="85"/>
        <v>Apr</v>
      </c>
      <c r="G1811">
        <v>1</v>
      </c>
      <c r="H1811">
        <f>_xlfn.XLOOKUP(C1811,Products!A:A,Products!D:D)</f>
        <v>783.37</v>
      </c>
      <c r="I1811">
        <v>15</v>
      </c>
      <c r="J1811">
        <f t="shared" si="86"/>
        <v>665.86450000000002</v>
      </c>
      <c r="K1811" t="s">
        <v>2021</v>
      </c>
      <c r="L1811" t="str">
        <f>_xlfn.XLOOKUP(Orders[[#This Row],[ProductID]],Products!A:A,Products!C:C)</f>
        <v>Home</v>
      </c>
    </row>
    <row r="1812" spans="1:12" x14ac:dyDescent="0.3">
      <c r="A1812">
        <v>1811</v>
      </c>
      <c r="B1812">
        <v>1160</v>
      </c>
      <c r="C1812">
        <v>20</v>
      </c>
      <c r="D1812" t="s">
        <v>524</v>
      </c>
      <c r="E1812">
        <f t="shared" si="84"/>
        <v>2023</v>
      </c>
      <c r="F1812" t="str">
        <f t="shared" si="85"/>
        <v>Oct</v>
      </c>
      <c r="G1812">
        <v>1</v>
      </c>
      <c r="H1812">
        <f>_xlfn.XLOOKUP(C1812,Products!A:A,Products!D:D)</f>
        <v>613.27</v>
      </c>
      <c r="I1812">
        <v>20</v>
      </c>
      <c r="J1812">
        <f t="shared" si="86"/>
        <v>490.61599999999999</v>
      </c>
      <c r="K1812" t="s">
        <v>2024</v>
      </c>
      <c r="L1812" t="str">
        <f>_xlfn.XLOOKUP(Orders[[#This Row],[ProductID]],Products!A:A,Products!C:C)</f>
        <v>Home</v>
      </c>
    </row>
    <row r="1813" spans="1:12" x14ac:dyDescent="0.3">
      <c r="A1813">
        <v>1812</v>
      </c>
      <c r="B1813">
        <v>1160</v>
      </c>
      <c r="C1813">
        <v>35</v>
      </c>
      <c r="D1813" t="s">
        <v>942</v>
      </c>
      <c r="E1813">
        <f t="shared" si="84"/>
        <v>2023</v>
      </c>
      <c r="F1813" t="str">
        <f t="shared" si="85"/>
        <v>Oct</v>
      </c>
      <c r="G1813">
        <v>2</v>
      </c>
      <c r="H1813">
        <f>_xlfn.XLOOKUP(C1813,Products!A:A,Products!D:D)</f>
        <v>958.87</v>
      </c>
      <c r="I1813">
        <v>20</v>
      </c>
      <c r="J1813">
        <f t="shared" si="86"/>
        <v>1534.192</v>
      </c>
      <c r="K1813" t="s">
        <v>2017</v>
      </c>
      <c r="L1813" t="str">
        <f>_xlfn.XLOOKUP(Orders[[#This Row],[ProductID]],Products!A:A,Products!C:C)</f>
        <v>Clothing</v>
      </c>
    </row>
    <row r="1814" spans="1:12" x14ac:dyDescent="0.3">
      <c r="A1814">
        <v>1813</v>
      </c>
      <c r="B1814">
        <v>1160</v>
      </c>
      <c r="C1814">
        <v>21</v>
      </c>
      <c r="D1814" t="s">
        <v>2228</v>
      </c>
      <c r="E1814">
        <f t="shared" si="84"/>
        <v>2024</v>
      </c>
      <c r="F1814" t="str">
        <f t="shared" si="85"/>
        <v>Mar</v>
      </c>
      <c r="G1814">
        <v>1</v>
      </c>
      <c r="H1814">
        <f>_xlfn.XLOOKUP(C1814,Products!A:A,Products!D:D)</f>
        <v>420.66</v>
      </c>
      <c r="I1814">
        <v>20</v>
      </c>
      <c r="J1814">
        <f t="shared" si="86"/>
        <v>336.52800000000002</v>
      </c>
      <c r="K1814" t="s">
        <v>2024</v>
      </c>
      <c r="L1814" t="str">
        <f>_xlfn.XLOOKUP(Orders[[#This Row],[ProductID]],Products!A:A,Products!C:C)</f>
        <v>Beauty</v>
      </c>
    </row>
    <row r="1815" spans="1:12" x14ac:dyDescent="0.3">
      <c r="A1815">
        <v>1814</v>
      </c>
      <c r="B1815">
        <v>1160</v>
      </c>
      <c r="C1815">
        <v>43</v>
      </c>
      <c r="D1815" t="s">
        <v>502</v>
      </c>
      <c r="E1815">
        <f t="shared" si="84"/>
        <v>2023</v>
      </c>
      <c r="F1815" t="str">
        <f t="shared" si="85"/>
        <v>Apr</v>
      </c>
      <c r="G1815">
        <v>2</v>
      </c>
      <c r="H1815">
        <f>_xlfn.XLOOKUP(C1815,Products!A:A,Products!D:D)</f>
        <v>760.86</v>
      </c>
      <c r="I1815">
        <v>10</v>
      </c>
      <c r="J1815">
        <f t="shared" si="86"/>
        <v>1369.548</v>
      </c>
      <c r="K1815" t="s">
        <v>2017</v>
      </c>
      <c r="L1815" t="str">
        <f>_xlfn.XLOOKUP(Orders[[#This Row],[ProductID]],Products!A:A,Products!C:C)</f>
        <v>Electronics</v>
      </c>
    </row>
    <row r="1816" spans="1:12" x14ac:dyDescent="0.3">
      <c r="A1816">
        <v>1815</v>
      </c>
      <c r="B1816">
        <v>1160</v>
      </c>
      <c r="C1816">
        <v>16</v>
      </c>
      <c r="D1816" t="s">
        <v>444</v>
      </c>
      <c r="E1816">
        <f t="shared" si="84"/>
        <v>2023</v>
      </c>
      <c r="F1816" t="str">
        <f t="shared" si="85"/>
        <v>Nov</v>
      </c>
      <c r="G1816">
        <v>2</v>
      </c>
      <c r="H1816">
        <f>_xlfn.XLOOKUP(C1816,Products!A:A,Products!D:D)</f>
        <v>693.02</v>
      </c>
      <c r="I1816">
        <v>15</v>
      </c>
      <c r="J1816">
        <f t="shared" si="86"/>
        <v>1178.134</v>
      </c>
      <c r="K1816" t="s">
        <v>2019</v>
      </c>
      <c r="L1816" t="str">
        <f>_xlfn.XLOOKUP(Orders[[#This Row],[ProductID]],Products!A:A,Products!C:C)</f>
        <v>Home</v>
      </c>
    </row>
    <row r="1817" spans="1:12" x14ac:dyDescent="0.3">
      <c r="A1817">
        <v>1816</v>
      </c>
      <c r="B1817">
        <v>1161</v>
      </c>
      <c r="C1817">
        <v>58</v>
      </c>
      <c r="D1817" t="s">
        <v>1104</v>
      </c>
      <c r="E1817">
        <f t="shared" si="84"/>
        <v>2023</v>
      </c>
      <c r="F1817" t="str">
        <f t="shared" si="85"/>
        <v>Nov</v>
      </c>
      <c r="G1817">
        <v>3</v>
      </c>
      <c r="H1817">
        <f>_xlfn.XLOOKUP(C1817,Products!A:A,Products!D:D)</f>
        <v>334.98</v>
      </c>
      <c r="I1817">
        <v>20</v>
      </c>
      <c r="J1817">
        <f t="shared" si="86"/>
        <v>803.95200000000011</v>
      </c>
      <c r="K1817" t="s">
        <v>2017</v>
      </c>
      <c r="L1817" t="str">
        <f>_xlfn.XLOOKUP(Orders[[#This Row],[ProductID]],Products!A:A,Products!C:C)</f>
        <v>Home</v>
      </c>
    </row>
    <row r="1818" spans="1:12" x14ac:dyDescent="0.3">
      <c r="A1818">
        <v>1817</v>
      </c>
      <c r="B1818">
        <v>1161</v>
      </c>
      <c r="C1818">
        <v>27</v>
      </c>
      <c r="D1818" t="s">
        <v>19</v>
      </c>
      <c r="E1818">
        <f t="shared" si="84"/>
        <v>2023</v>
      </c>
      <c r="F1818" t="str">
        <f t="shared" si="85"/>
        <v>Apr</v>
      </c>
      <c r="G1818">
        <v>1</v>
      </c>
      <c r="H1818">
        <f>_xlfn.XLOOKUP(C1818,Products!A:A,Products!D:D)</f>
        <v>76.09</v>
      </c>
      <c r="I1818">
        <v>0</v>
      </c>
      <c r="J1818">
        <f t="shared" si="86"/>
        <v>76.09</v>
      </c>
      <c r="K1818" t="s">
        <v>2017</v>
      </c>
      <c r="L1818" t="str">
        <f>_xlfn.XLOOKUP(Orders[[#This Row],[ProductID]],Products!A:A,Products!C:C)</f>
        <v>Clothing</v>
      </c>
    </row>
    <row r="1819" spans="1:12" x14ac:dyDescent="0.3">
      <c r="A1819">
        <v>1818</v>
      </c>
      <c r="B1819">
        <v>1161</v>
      </c>
      <c r="C1819">
        <v>14</v>
      </c>
      <c r="D1819" t="s">
        <v>2089</v>
      </c>
      <c r="E1819">
        <f t="shared" si="84"/>
        <v>2024</v>
      </c>
      <c r="F1819" t="str">
        <f t="shared" si="85"/>
        <v>Jan</v>
      </c>
      <c r="G1819">
        <v>1</v>
      </c>
      <c r="H1819">
        <f>_xlfn.XLOOKUP(C1819,Products!A:A,Products!D:D)</f>
        <v>574.25</v>
      </c>
      <c r="I1819">
        <v>5</v>
      </c>
      <c r="J1819">
        <f t="shared" si="86"/>
        <v>545.53750000000002</v>
      </c>
      <c r="K1819" t="s">
        <v>2015</v>
      </c>
      <c r="L1819" t="str">
        <f>_xlfn.XLOOKUP(Orders[[#This Row],[ProductID]],Products!A:A,Products!C:C)</f>
        <v>Beauty</v>
      </c>
    </row>
    <row r="1820" spans="1:12" x14ac:dyDescent="0.3">
      <c r="A1820">
        <v>1819</v>
      </c>
      <c r="B1820">
        <v>1161</v>
      </c>
      <c r="C1820">
        <v>39</v>
      </c>
      <c r="D1820" t="s">
        <v>2068</v>
      </c>
      <c r="E1820">
        <f t="shared" si="84"/>
        <v>2024</v>
      </c>
      <c r="F1820" t="str">
        <f t="shared" si="85"/>
        <v>Mar</v>
      </c>
      <c r="G1820">
        <v>3</v>
      </c>
      <c r="H1820">
        <f>_xlfn.XLOOKUP(C1820,Products!A:A,Products!D:D)</f>
        <v>256.08999999999997</v>
      </c>
      <c r="I1820">
        <v>5</v>
      </c>
      <c r="J1820">
        <f t="shared" si="86"/>
        <v>729.85649999999998</v>
      </c>
      <c r="K1820" t="s">
        <v>2015</v>
      </c>
      <c r="L1820" t="str">
        <f>_xlfn.XLOOKUP(Orders[[#This Row],[ProductID]],Products!A:A,Products!C:C)</f>
        <v>Clothing</v>
      </c>
    </row>
    <row r="1821" spans="1:12" x14ac:dyDescent="0.3">
      <c r="A1821">
        <v>1820</v>
      </c>
      <c r="B1821">
        <v>1161</v>
      </c>
      <c r="C1821">
        <v>39</v>
      </c>
      <c r="D1821" t="s">
        <v>757</v>
      </c>
      <c r="E1821">
        <f t="shared" si="84"/>
        <v>2023</v>
      </c>
      <c r="F1821" t="str">
        <f t="shared" si="85"/>
        <v>Jul</v>
      </c>
      <c r="G1821">
        <v>2</v>
      </c>
      <c r="H1821">
        <f>_xlfn.XLOOKUP(C1821,Products!A:A,Products!D:D)</f>
        <v>256.08999999999997</v>
      </c>
      <c r="I1821">
        <v>0</v>
      </c>
      <c r="J1821">
        <f t="shared" si="86"/>
        <v>512.17999999999995</v>
      </c>
      <c r="K1821" t="s">
        <v>2021</v>
      </c>
      <c r="L1821" t="str">
        <f>_xlfn.XLOOKUP(Orders[[#This Row],[ProductID]],Products!A:A,Products!C:C)</f>
        <v>Clothing</v>
      </c>
    </row>
    <row r="1822" spans="1:12" x14ac:dyDescent="0.3">
      <c r="A1822">
        <v>1821</v>
      </c>
      <c r="B1822">
        <v>1161</v>
      </c>
      <c r="C1822">
        <v>73</v>
      </c>
      <c r="D1822" t="s">
        <v>2072</v>
      </c>
      <c r="E1822">
        <f t="shared" si="84"/>
        <v>2024</v>
      </c>
      <c r="F1822" t="str">
        <f t="shared" si="85"/>
        <v>Mar</v>
      </c>
      <c r="G1822">
        <v>2</v>
      </c>
      <c r="H1822">
        <f>_xlfn.XLOOKUP(C1822,Products!A:A,Products!D:D)</f>
        <v>943.04</v>
      </c>
      <c r="I1822">
        <v>5</v>
      </c>
      <c r="J1822">
        <f t="shared" si="86"/>
        <v>1791.7759999999998</v>
      </c>
      <c r="K1822" t="s">
        <v>2015</v>
      </c>
      <c r="L1822" t="str">
        <f>_xlfn.XLOOKUP(Orders[[#This Row],[ProductID]],Products!A:A,Products!C:C)</f>
        <v>Home</v>
      </c>
    </row>
    <row r="1823" spans="1:12" x14ac:dyDescent="0.3">
      <c r="A1823">
        <v>1822</v>
      </c>
      <c r="B1823">
        <v>1162</v>
      </c>
      <c r="C1823">
        <v>4</v>
      </c>
      <c r="D1823" t="s">
        <v>1350</v>
      </c>
      <c r="E1823">
        <f t="shared" si="84"/>
        <v>2023</v>
      </c>
      <c r="F1823" t="str">
        <f t="shared" si="85"/>
        <v>Jun</v>
      </c>
      <c r="G1823">
        <v>1</v>
      </c>
      <c r="H1823">
        <f>_xlfn.XLOOKUP(C1823,Products!A:A,Products!D:D)</f>
        <v>800.26</v>
      </c>
      <c r="I1823">
        <v>5</v>
      </c>
      <c r="J1823">
        <f t="shared" si="86"/>
        <v>760.24699999999996</v>
      </c>
      <c r="K1823" t="s">
        <v>2021</v>
      </c>
      <c r="L1823" t="str">
        <f>_xlfn.XLOOKUP(Orders[[#This Row],[ProductID]],Products!A:A,Products!C:C)</f>
        <v>Electronics</v>
      </c>
    </row>
    <row r="1824" spans="1:12" x14ac:dyDescent="0.3">
      <c r="A1824">
        <v>1823</v>
      </c>
      <c r="B1824">
        <v>1162</v>
      </c>
      <c r="C1824">
        <v>43</v>
      </c>
      <c r="D1824" t="s">
        <v>1312</v>
      </c>
      <c r="E1824">
        <f t="shared" si="84"/>
        <v>2023</v>
      </c>
      <c r="F1824" t="str">
        <f t="shared" si="85"/>
        <v>Apr</v>
      </c>
      <c r="G1824">
        <v>2</v>
      </c>
      <c r="H1824">
        <f>_xlfn.XLOOKUP(C1824,Products!A:A,Products!D:D)</f>
        <v>760.86</v>
      </c>
      <c r="I1824">
        <v>15</v>
      </c>
      <c r="J1824">
        <f t="shared" si="86"/>
        <v>1293.462</v>
      </c>
      <c r="K1824" t="s">
        <v>2024</v>
      </c>
      <c r="L1824" t="str">
        <f>_xlfn.XLOOKUP(Orders[[#This Row],[ProductID]],Products!A:A,Products!C:C)</f>
        <v>Electronics</v>
      </c>
    </row>
    <row r="1825" spans="1:12" x14ac:dyDescent="0.3">
      <c r="A1825">
        <v>1824</v>
      </c>
      <c r="B1825">
        <v>1162</v>
      </c>
      <c r="C1825">
        <v>59</v>
      </c>
      <c r="D1825" t="s">
        <v>405</v>
      </c>
      <c r="E1825">
        <f t="shared" si="84"/>
        <v>2023</v>
      </c>
      <c r="F1825" t="str">
        <f t="shared" si="85"/>
        <v>Jul</v>
      </c>
      <c r="G1825">
        <v>3</v>
      </c>
      <c r="H1825">
        <f>_xlfn.XLOOKUP(C1825,Products!A:A,Products!D:D)</f>
        <v>782.33</v>
      </c>
      <c r="I1825">
        <v>5</v>
      </c>
      <c r="J1825">
        <f t="shared" si="86"/>
        <v>2229.6405</v>
      </c>
      <c r="K1825" t="s">
        <v>2017</v>
      </c>
      <c r="L1825" t="str">
        <f>_xlfn.XLOOKUP(Orders[[#This Row],[ProductID]],Products!A:A,Products!C:C)</f>
        <v>Clothing</v>
      </c>
    </row>
    <row r="1826" spans="1:12" x14ac:dyDescent="0.3">
      <c r="A1826">
        <v>1825</v>
      </c>
      <c r="B1826">
        <v>1162</v>
      </c>
      <c r="C1826">
        <v>62</v>
      </c>
      <c r="D1826" t="s">
        <v>1317</v>
      </c>
      <c r="E1826">
        <f t="shared" si="84"/>
        <v>2023</v>
      </c>
      <c r="F1826" t="str">
        <f t="shared" si="85"/>
        <v>Oct</v>
      </c>
      <c r="G1826">
        <v>3</v>
      </c>
      <c r="H1826">
        <f>_xlfn.XLOOKUP(C1826,Products!A:A,Products!D:D)</f>
        <v>196.96</v>
      </c>
      <c r="I1826">
        <v>10</v>
      </c>
      <c r="J1826">
        <f t="shared" si="86"/>
        <v>531.79200000000003</v>
      </c>
      <c r="K1826" t="s">
        <v>2021</v>
      </c>
      <c r="L1826" t="str">
        <f>_xlfn.XLOOKUP(Orders[[#This Row],[ProductID]],Products!A:A,Products!C:C)</f>
        <v>Electronics</v>
      </c>
    </row>
    <row r="1827" spans="1:12" x14ac:dyDescent="0.3">
      <c r="A1827">
        <v>1826</v>
      </c>
      <c r="B1827">
        <v>1162</v>
      </c>
      <c r="C1827">
        <v>10</v>
      </c>
      <c r="D1827" t="s">
        <v>214</v>
      </c>
      <c r="E1827">
        <f t="shared" si="84"/>
        <v>2023</v>
      </c>
      <c r="F1827" t="str">
        <f t="shared" si="85"/>
        <v>Nov</v>
      </c>
      <c r="G1827">
        <v>1</v>
      </c>
      <c r="H1827">
        <f>_xlfn.XLOOKUP(C1827,Products!A:A,Products!D:D)</f>
        <v>64.11</v>
      </c>
      <c r="I1827">
        <v>0</v>
      </c>
      <c r="J1827">
        <f t="shared" si="86"/>
        <v>64.11</v>
      </c>
      <c r="K1827" t="s">
        <v>2019</v>
      </c>
      <c r="L1827" t="str">
        <f>_xlfn.XLOOKUP(Orders[[#This Row],[ProductID]],Products!A:A,Products!C:C)</f>
        <v>Clothing</v>
      </c>
    </row>
    <row r="1828" spans="1:12" x14ac:dyDescent="0.3">
      <c r="A1828">
        <v>1827</v>
      </c>
      <c r="B1828">
        <v>1162</v>
      </c>
      <c r="C1828">
        <v>80</v>
      </c>
      <c r="D1828" t="s">
        <v>1448</v>
      </c>
      <c r="E1828">
        <f t="shared" si="84"/>
        <v>2023</v>
      </c>
      <c r="F1828" t="str">
        <f t="shared" si="85"/>
        <v>Jan</v>
      </c>
      <c r="G1828">
        <v>1</v>
      </c>
      <c r="H1828">
        <f>_xlfn.XLOOKUP(C1828,Products!A:A,Products!D:D)</f>
        <v>1014.45</v>
      </c>
      <c r="I1828">
        <v>10</v>
      </c>
      <c r="J1828">
        <f t="shared" si="86"/>
        <v>913.00500000000011</v>
      </c>
      <c r="K1828" t="s">
        <v>2019</v>
      </c>
      <c r="L1828" t="str">
        <f>_xlfn.XLOOKUP(Orders[[#This Row],[ProductID]],Products!A:A,Products!C:C)</f>
        <v>Beauty</v>
      </c>
    </row>
    <row r="1829" spans="1:12" x14ac:dyDescent="0.3">
      <c r="A1829">
        <v>1828</v>
      </c>
      <c r="B1829">
        <v>1162</v>
      </c>
      <c r="C1829">
        <v>39</v>
      </c>
      <c r="D1829" t="s">
        <v>292</v>
      </c>
      <c r="E1829">
        <f t="shared" si="84"/>
        <v>2023</v>
      </c>
      <c r="F1829" t="str">
        <f t="shared" si="85"/>
        <v>Aug</v>
      </c>
      <c r="G1829">
        <v>2</v>
      </c>
      <c r="H1829">
        <f>_xlfn.XLOOKUP(C1829,Products!A:A,Products!D:D)</f>
        <v>256.08999999999997</v>
      </c>
      <c r="I1829">
        <v>20</v>
      </c>
      <c r="J1829">
        <f t="shared" si="86"/>
        <v>409.74399999999997</v>
      </c>
      <c r="K1829" t="s">
        <v>2021</v>
      </c>
      <c r="L1829" t="str">
        <f>_xlfn.XLOOKUP(Orders[[#This Row],[ProductID]],Products!A:A,Products!C:C)</f>
        <v>Clothing</v>
      </c>
    </row>
    <row r="1830" spans="1:12" x14ac:dyDescent="0.3">
      <c r="A1830">
        <v>1829</v>
      </c>
      <c r="B1830">
        <v>1163</v>
      </c>
      <c r="C1830">
        <v>13</v>
      </c>
      <c r="D1830" t="s">
        <v>256</v>
      </c>
      <c r="E1830">
        <f t="shared" si="84"/>
        <v>2023</v>
      </c>
      <c r="F1830" t="str">
        <f t="shared" si="85"/>
        <v>Jan</v>
      </c>
      <c r="G1830">
        <v>2</v>
      </c>
      <c r="H1830">
        <f>_xlfn.XLOOKUP(C1830,Products!A:A,Products!D:D)</f>
        <v>334.61</v>
      </c>
      <c r="I1830">
        <v>5</v>
      </c>
      <c r="J1830">
        <f t="shared" si="86"/>
        <v>635.75900000000001</v>
      </c>
      <c r="K1830" t="s">
        <v>2021</v>
      </c>
      <c r="L1830" t="str">
        <f>_xlfn.XLOOKUP(Orders[[#This Row],[ProductID]],Products!A:A,Products!C:C)</f>
        <v>Home</v>
      </c>
    </row>
    <row r="1831" spans="1:12" x14ac:dyDescent="0.3">
      <c r="A1831">
        <v>1830</v>
      </c>
      <c r="B1831">
        <v>1163</v>
      </c>
      <c r="C1831">
        <v>55</v>
      </c>
      <c r="D1831" t="s">
        <v>2189</v>
      </c>
      <c r="E1831">
        <f t="shared" si="84"/>
        <v>2024</v>
      </c>
      <c r="F1831" t="str">
        <f t="shared" si="85"/>
        <v>Jan</v>
      </c>
      <c r="G1831">
        <v>2</v>
      </c>
      <c r="H1831">
        <f>_xlfn.XLOOKUP(C1831,Products!A:A,Products!D:D)</f>
        <v>1016.06</v>
      </c>
      <c r="I1831">
        <v>0</v>
      </c>
      <c r="J1831">
        <f t="shared" si="86"/>
        <v>2032.12</v>
      </c>
      <c r="K1831" t="s">
        <v>2024</v>
      </c>
      <c r="L1831" t="str">
        <f>_xlfn.XLOOKUP(Orders[[#This Row],[ProductID]],Products!A:A,Products!C:C)</f>
        <v>Clothing</v>
      </c>
    </row>
    <row r="1832" spans="1:12" x14ac:dyDescent="0.3">
      <c r="A1832">
        <v>1831</v>
      </c>
      <c r="B1832">
        <v>1163</v>
      </c>
      <c r="C1832">
        <v>54</v>
      </c>
      <c r="D1832" t="s">
        <v>1201</v>
      </c>
      <c r="E1832">
        <f t="shared" si="84"/>
        <v>2023</v>
      </c>
      <c r="F1832" t="str">
        <f t="shared" si="85"/>
        <v>Dec</v>
      </c>
      <c r="G1832">
        <v>1</v>
      </c>
      <c r="H1832">
        <f>_xlfn.XLOOKUP(C1832,Products!A:A,Products!D:D)</f>
        <v>900.79</v>
      </c>
      <c r="I1832">
        <v>10</v>
      </c>
      <c r="J1832">
        <f t="shared" si="86"/>
        <v>810.71100000000001</v>
      </c>
      <c r="K1832" t="s">
        <v>2019</v>
      </c>
      <c r="L1832" t="str">
        <f>_xlfn.XLOOKUP(Orders[[#This Row],[ProductID]],Products!A:A,Products!C:C)</f>
        <v>Electronics</v>
      </c>
    </row>
    <row r="1833" spans="1:12" x14ac:dyDescent="0.3">
      <c r="A1833">
        <v>1832</v>
      </c>
      <c r="B1833">
        <v>1163</v>
      </c>
      <c r="C1833">
        <v>16</v>
      </c>
      <c r="D1833" t="s">
        <v>542</v>
      </c>
      <c r="E1833">
        <f t="shared" si="84"/>
        <v>2023</v>
      </c>
      <c r="F1833" t="str">
        <f t="shared" si="85"/>
        <v>Jun</v>
      </c>
      <c r="G1833">
        <v>1</v>
      </c>
      <c r="H1833">
        <f>_xlfn.XLOOKUP(C1833,Products!A:A,Products!D:D)</f>
        <v>693.02</v>
      </c>
      <c r="I1833">
        <v>10</v>
      </c>
      <c r="J1833">
        <f t="shared" si="86"/>
        <v>623.71799999999996</v>
      </c>
      <c r="K1833" t="s">
        <v>2017</v>
      </c>
      <c r="L1833" t="str">
        <f>_xlfn.XLOOKUP(Orders[[#This Row],[ProductID]],Products!A:A,Products!C:C)</f>
        <v>Home</v>
      </c>
    </row>
    <row r="1834" spans="1:12" x14ac:dyDescent="0.3">
      <c r="A1834">
        <v>1833</v>
      </c>
      <c r="B1834">
        <v>1163</v>
      </c>
      <c r="C1834">
        <v>27</v>
      </c>
      <c r="D1834" t="s">
        <v>353</v>
      </c>
      <c r="E1834">
        <f t="shared" si="84"/>
        <v>2023</v>
      </c>
      <c r="F1834" t="str">
        <f t="shared" si="85"/>
        <v>Mar</v>
      </c>
      <c r="G1834">
        <v>3</v>
      </c>
      <c r="H1834">
        <f>_xlfn.XLOOKUP(C1834,Products!A:A,Products!D:D)</f>
        <v>76.09</v>
      </c>
      <c r="I1834">
        <v>0</v>
      </c>
      <c r="J1834">
        <f t="shared" si="86"/>
        <v>228.27</v>
      </c>
      <c r="K1834" t="s">
        <v>2017</v>
      </c>
      <c r="L1834" t="str">
        <f>_xlfn.XLOOKUP(Orders[[#This Row],[ProductID]],Products!A:A,Products!C:C)</f>
        <v>Clothing</v>
      </c>
    </row>
    <row r="1835" spans="1:12" x14ac:dyDescent="0.3">
      <c r="A1835">
        <v>1834</v>
      </c>
      <c r="B1835">
        <v>1163</v>
      </c>
      <c r="C1835">
        <v>23</v>
      </c>
      <c r="D1835" t="s">
        <v>2195</v>
      </c>
      <c r="E1835">
        <f t="shared" si="84"/>
        <v>2023</v>
      </c>
      <c r="F1835" t="str">
        <f t="shared" si="85"/>
        <v>Jan</v>
      </c>
      <c r="G1835">
        <v>1</v>
      </c>
      <c r="H1835">
        <f>_xlfn.XLOOKUP(C1835,Products!A:A,Products!D:D)</f>
        <v>258.08</v>
      </c>
      <c r="I1835">
        <v>0</v>
      </c>
      <c r="J1835">
        <f t="shared" si="86"/>
        <v>258.08</v>
      </c>
      <c r="K1835" t="s">
        <v>2021</v>
      </c>
      <c r="L1835" t="str">
        <f>_xlfn.XLOOKUP(Orders[[#This Row],[ProductID]],Products!A:A,Products!C:C)</f>
        <v>Home</v>
      </c>
    </row>
    <row r="1836" spans="1:12" x14ac:dyDescent="0.3">
      <c r="A1836">
        <v>1835</v>
      </c>
      <c r="B1836">
        <v>1164</v>
      </c>
      <c r="C1836">
        <v>59</v>
      </c>
      <c r="D1836" t="s">
        <v>2073</v>
      </c>
      <c r="E1836">
        <f t="shared" si="84"/>
        <v>2024</v>
      </c>
      <c r="F1836" t="str">
        <f t="shared" si="85"/>
        <v>Mar</v>
      </c>
      <c r="G1836">
        <v>3</v>
      </c>
      <c r="H1836">
        <f>_xlfn.XLOOKUP(C1836,Products!A:A,Products!D:D)</f>
        <v>782.33</v>
      </c>
      <c r="I1836">
        <v>20</v>
      </c>
      <c r="J1836">
        <f t="shared" si="86"/>
        <v>1877.5920000000003</v>
      </c>
      <c r="K1836" t="s">
        <v>2024</v>
      </c>
      <c r="L1836" t="str">
        <f>_xlfn.XLOOKUP(Orders[[#This Row],[ProductID]],Products!A:A,Products!C:C)</f>
        <v>Clothing</v>
      </c>
    </row>
    <row r="1837" spans="1:12" x14ac:dyDescent="0.3">
      <c r="A1837">
        <v>1836</v>
      </c>
      <c r="B1837">
        <v>1164</v>
      </c>
      <c r="C1837">
        <v>35</v>
      </c>
      <c r="D1837" t="s">
        <v>2042</v>
      </c>
      <c r="E1837">
        <f t="shared" si="84"/>
        <v>2023</v>
      </c>
      <c r="F1837" t="str">
        <f t="shared" si="85"/>
        <v>Jan</v>
      </c>
      <c r="G1837">
        <v>3</v>
      </c>
      <c r="H1837">
        <f>_xlfn.XLOOKUP(C1837,Products!A:A,Products!D:D)</f>
        <v>958.87</v>
      </c>
      <c r="I1837">
        <v>20</v>
      </c>
      <c r="J1837">
        <f t="shared" si="86"/>
        <v>2301.288</v>
      </c>
      <c r="K1837" t="s">
        <v>2017</v>
      </c>
      <c r="L1837" t="str">
        <f>_xlfn.XLOOKUP(Orders[[#This Row],[ProductID]],Products!A:A,Products!C:C)</f>
        <v>Clothing</v>
      </c>
    </row>
    <row r="1838" spans="1:12" x14ac:dyDescent="0.3">
      <c r="A1838">
        <v>1837</v>
      </c>
      <c r="B1838">
        <v>1164</v>
      </c>
      <c r="C1838">
        <v>9</v>
      </c>
      <c r="D1838" t="s">
        <v>2069</v>
      </c>
      <c r="E1838">
        <f t="shared" si="84"/>
        <v>2024</v>
      </c>
      <c r="F1838" t="str">
        <f t="shared" si="85"/>
        <v>Jan</v>
      </c>
      <c r="G1838">
        <v>3</v>
      </c>
      <c r="H1838">
        <f>_xlfn.XLOOKUP(C1838,Products!A:A,Products!D:D)</f>
        <v>43.26</v>
      </c>
      <c r="I1838">
        <v>5</v>
      </c>
      <c r="J1838">
        <f t="shared" si="86"/>
        <v>123.291</v>
      </c>
      <c r="K1838" t="s">
        <v>2021</v>
      </c>
      <c r="L1838" t="str">
        <f>_xlfn.XLOOKUP(Orders[[#This Row],[ProductID]],Products!A:A,Products!C:C)</f>
        <v>Electronics</v>
      </c>
    </row>
    <row r="1839" spans="1:12" x14ac:dyDescent="0.3">
      <c r="A1839">
        <v>1838</v>
      </c>
      <c r="B1839">
        <v>1164</v>
      </c>
      <c r="C1839">
        <v>9</v>
      </c>
      <c r="D1839" t="s">
        <v>2200</v>
      </c>
      <c r="E1839">
        <f t="shared" si="84"/>
        <v>2023</v>
      </c>
      <c r="F1839" t="str">
        <f t="shared" si="85"/>
        <v>Jul</v>
      </c>
      <c r="G1839">
        <v>3</v>
      </c>
      <c r="H1839">
        <f>_xlfn.XLOOKUP(C1839,Products!A:A,Products!D:D)</f>
        <v>43.26</v>
      </c>
      <c r="I1839">
        <v>15</v>
      </c>
      <c r="J1839">
        <f t="shared" si="86"/>
        <v>110.313</v>
      </c>
      <c r="K1839" t="s">
        <v>2019</v>
      </c>
      <c r="L1839" t="str">
        <f>_xlfn.XLOOKUP(Orders[[#This Row],[ProductID]],Products!A:A,Products!C:C)</f>
        <v>Electronics</v>
      </c>
    </row>
    <row r="1840" spans="1:12" x14ac:dyDescent="0.3">
      <c r="A1840">
        <v>1839</v>
      </c>
      <c r="B1840">
        <v>1164</v>
      </c>
      <c r="C1840">
        <v>5</v>
      </c>
      <c r="D1840" t="s">
        <v>1761</v>
      </c>
      <c r="E1840">
        <f t="shared" si="84"/>
        <v>2023</v>
      </c>
      <c r="F1840" t="str">
        <f t="shared" si="85"/>
        <v>Sep</v>
      </c>
      <c r="G1840">
        <v>2</v>
      </c>
      <c r="H1840">
        <f>_xlfn.XLOOKUP(C1840,Products!A:A,Products!D:D)</f>
        <v>296.85000000000002</v>
      </c>
      <c r="I1840">
        <v>15</v>
      </c>
      <c r="J1840">
        <f t="shared" si="86"/>
        <v>504.64500000000004</v>
      </c>
      <c r="K1840" t="s">
        <v>2017</v>
      </c>
      <c r="L1840" t="str">
        <f>_xlfn.XLOOKUP(Orders[[#This Row],[ProductID]],Products!A:A,Products!C:C)</f>
        <v>Clothing</v>
      </c>
    </row>
    <row r="1841" spans="1:12" x14ac:dyDescent="0.3">
      <c r="A1841">
        <v>1840</v>
      </c>
      <c r="B1841">
        <v>1164</v>
      </c>
      <c r="C1841">
        <v>23</v>
      </c>
      <c r="D1841" t="s">
        <v>2151</v>
      </c>
      <c r="E1841">
        <f t="shared" si="84"/>
        <v>2024</v>
      </c>
      <c r="F1841" t="str">
        <f t="shared" si="85"/>
        <v>May</v>
      </c>
      <c r="G1841">
        <v>1</v>
      </c>
      <c r="H1841">
        <f>_xlfn.XLOOKUP(C1841,Products!A:A,Products!D:D)</f>
        <v>258.08</v>
      </c>
      <c r="I1841">
        <v>20</v>
      </c>
      <c r="J1841">
        <f t="shared" si="86"/>
        <v>206.464</v>
      </c>
      <c r="K1841" t="s">
        <v>2019</v>
      </c>
      <c r="L1841" t="str">
        <f>_xlfn.XLOOKUP(Orders[[#This Row],[ProductID]],Products!A:A,Products!C:C)</f>
        <v>Home</v>
      </c>
    </row>
    <row r="1842" spans="1:12" x14ac:dyDescent="0.3">
      <c r="A1842">
        <v>1841</v>
      </c>
      <c r="B1842">
        <v>1164</v>
      </c>
      <c r="C1842">
        <v>9</v>
      </c>
      <c r="D1842" t="s">
        <v>2103</v>
      </c>
      <c r="E1842">
        <f t="shared" si="84"/>
        <v>2024</v>
      </c>
      <c r="F1842" t="str">
        <f t="shared" si="85"/>
        <v>May</v>
      </c>
      <c r="G1842">
        <v>2</v>
      </c>
      <c r="H1842">
        <f>_xlfn.XLOOKUP(C1842,Products!A:A,Products!D:D)</f>
        <v>43.26</v>
      </c>
      <c r="I1842">
        <v>10</v>
      </c>
      <c r="J1842">
        <f t="shared" si="86"/>
        <v>77.867999999999995</v>
      </c>
      <c r="K1842" t="s">
        <v>2017</v>
      </c>
      <c r="L1842" t="str">
        <f>_xlfn.XLOOKUP(Orders[[#This Row],[ProductID]],Products!A:A,Products!C:C)</f>
        <v>Electronics</v>
      </c>
    </row>
    <row r="1843" spans="1:12" x14ac:dyDescent="0.3">
      <c r="A1843">
        <v>1842</v>
      </c>
      <c r="B1843">
        <v>1164</v>
      </c>
      <c r="C1843">
        <v>26</v>
      </c>
      <c r="D1843" t="s">
        <v>2061</v>
      </c>
      <c r="E1843">
        <f t="shared" si="84"/>
        <v>2024</v>
      </c>
      <c r="F1843" t="str">
        <f t="shared" si="85"/>
        <v>Feb</v>
      </c>
      <c r="G1843">
        <v>2</v>
      </c>
      <c r="H1843">
        <f>_xlfn.XLOOKUP(C1843,Products!A:A,Products!D:D)</f>
        <v>272.61</v>
      </c>
      <c r="I1843">
        <v>0</v>
      </c>
      <c r="J1843">
        <f t="shared" si="86"/>
        <v>545.22</v>
      </c>
      <c r="K1843" t="s">
        <v>2024</v>
      </c>
      <c r="L1843" t="str">
        <f>_xlfn.XLOOKUP(Orders[[#This Row],[ProductID]],Products!A:A,Products!C:C)</f>
        <v>Home</v>
      </c>
    </row>
    <row r="1844" spans="1:12" x14ac:dyDescent="0.3">
      <c r="A1844">
        <v>1843</v>
      </c>
      <c r="B1844">
        <v>1165</v>
      </c>
      <c r="C1844">
        <v>25</v>
      </c>
      <c r="D1844" t="s">
        <v>534</v>
      </c>
      <c r="E1844">
        <f t="shared" si="84"/>
        <v>2023</v>
      </c>
      <c r="F1844" t="str">
        <f t="shared" si="85"/>
        <v>May</v>
      </c>
      <c r="G1844">
        <v>3</v>
      </c>
      <c r="H1844">
        <f>_xlfn.XLOOKUP(C1844,Products!A:A,Products!D:D)</f>
        <v>1011.65</v>
      </c>
      <c r="I1844">
        <v>15</v>
      </c>
      <c r="J1844">
        <f t="shared" si="86"/>
        <v>2579.7075</v>
      </c>
      <c r="K1844" t="s">
        <v>2019</v>
      </c>
      <c r="L1844" t="str">
        <f>_xlfn.XLOOKUP(Orders[[#This Row],[ProductID]],Products!A:A,Products!C:C)</f>
        <v>Electronics</v>
      </c>
    </row>
    <row r="1845" spans="1:12" x14ac:dyDescent="0.3">
      <c r="A1845">
        <v>1844</v>
      </c>
      <c r="B1845">
        <v>1165</v>
      </c>
      <c r="C1845">
        <v>6</v>
      </c>
      <c r="D1845" t="s">
        <v>2190</v>
      </c>
      <c r="E1845">
        <f t="shared" si="84"/>
        <v>2024</v>
      </c>
      <c r="F1845" t="str">
        <f t="shared" si="85"/>
        <v>Mar</v>
      </c>
      <c r="G1845">
        <v>3</v>
      </c>
      <c r="H1845">
        <f>_xlfn.XLOOKUP(C1845,Products!A:A,Products!D:D)</f>
        <v>719.19</v>
      </c>
      <c r="I1845">
        <v>15</v>
      </c>
      <c r="J1845">
        <f t="shared" si="86"/>
        <v>1833.9345000000001</v>
      </c>
      <c r="K1845" t="s">
        <v>2015</v>
      </c>
      <c r="L1845" t="str">
        <f>_xlfn.XLOOKUP(Orders[[#This Row],[ProductID]],Products!A:A,Products!C:C)</f>
        <v>Clothing</v>
      </c>
    </row>
    <row r="1846" spans="1:12" x14ac:dyDescent="0.3">
      <c r="A1846">
        <v>1845</v>
      </c>
      <c r="B1846">
        <v>1165</v>
      </c>
      <c r="C1846">
        <v>63</v>
      </c>
      <c r="D1846" t="s">
        <v>2141</v>
      </c>
      <c r="E1846">
        <f t="shared" si="84"/>
        <v>2024</v>
      </c>
      <c r="F1846" t="str">
        <f t="shared" si="85"/>
        <v>Feb</v>
      </c>
      <c r="G1846">
        <v>1</v>
      </c>
      <c r="H1846">
        <f>_xlfn.XLOOKUP(C1846,Products!A:A,Products!D:D)</f>
        <v>309.79000000000002</v>
      </c>
      <c r="I1846">
        <v>0</v>
      </c>
      <c r="J1846">
        <f t="shared" si="86"/>
        <v>309.79000000000002</v>
      </c>
      <c r="K1846" t="s">
        <v>2024</v>
      </c>
      <c r="L1846" t="str">
        <f>_xlfn.XLOOKUP(Orders[[#This Row],[ProductID]],Products!A:A,Products!C:C)</f>
        <v>Electronics</v>
      </c>
    </row>
    <row r="1847" spans="1:12" x14ac:dyDescent="0.3">
      <c r="A1847">
        <v>1846</v>
      </c>
      <c r="B1847">
        <v>1165</v>
      </c>
      <c r="C1847">
        <v>47</v>
      </c>
      <c r="D1847" t="s">
        <v>1123</v>
      </c>
      <c r="E1847">
        <f t="shared" si="84"/>
        <v>2023</v>
      </c>
      <c r="F1847" t="str">
        <f t="shared" si="85"/>
        <v>Feb</v>
      </c>
      <c r="G1847">
        <v>3</v>
      </c>
      <c r="H1847">
        <f>_xlfn.XLOOKUP(C1847,Products!A:A,Products!D:D)</f>
        <v>1126.96</v>
      </c>
      <c r="I1847">
        <v>10</v>
      </c>
      <c r="J1847">
        <f t="shared" si="86"/>
        <v>3042.7920000000004</v>
      </c>
      <c r="K1847" t="s">
        <v>2017</v>
      </c>
      <c r="L1847" t="str">
        <f>_xlfn.XLOOKUP(Orders[[#This Row],[ProductID]],Products!A:A,Products!C:C)</f>
        <v>Beauty</v>
      </c>
    </row>
    <row r="1848" spans="1:12" x14ac:dyDescent="0.3">
      <c r="A1848">
        <v>1847</v>
      </c>
      <c r="B1848">
        <v>1165</v>
      </c>
      <c r="C1848">
        <v>61</v>
      </c>
      <c r="D1848" t="s">
        <v>1071</v>
      </c>
      <c r="E1848">
        <f t="shared" si="84"/>
        <v>2023</v>
      </c>
      <c r="F1848" t="str">
        <f t="shared" si="85"/>
        <v>Oct</v>
      </c>
      <c r="G1848">
        <v>1</v>
      </c>
      <c r="H1848">
        <f>_xlfn.XLOOKUP(C1848,Products!A:A,Products!D:D)</f>
        <v>498.92</v>
      </c>
      <c r="I1848">
        <v>10</v>
      </c>
      <c r="J1848">
        <f t="shared" si="86"/>
        <v>449.02800000000002</v>
      </c>
      <c r="K1848" t="s">
        <v>2024</v>
      </c>
      <c r="L1848" t="str">
        <f>_xlfn.XLOOKUP(Orders[[#This Row],[ProductID]],Products!A:A,Products!C:C)</f>
        <v>Clothing</v>
      </c>
    </row>
    <row r="1849" spans="1:12" x14ac:dyDescent="0.3">
      <c r="A1849">
        <v>1848</v>
      </c>
      <c r="B1849">
        <v>1165</v>
      </c>
      <c r="C1849">
        <v>71</v>
      </c>
      <c r="D1849" t="s">
        <v>1376</v>
      </c>
      <c r="E1849">
        <f t="shared" si="84"/>
        <v>2023</v>
      </c>
      <c r="F1849" t="str">
        <f t="shared" si="85"/>
        <v>Oct</v>
      </c>
      <c r="G1849">
        <v>1</v>
      </c>
      <c r="H1849">
        <f>_xlfn.XLOOKUP(C1849,Products!A:A,Products!D:D)</f>
        <v>780.27</v>
      </c>
      <c r="I1849">
        <v>10</v>
      </c>
      <c r="J1849">
        <f t="shared" si="86"/>
        <v>702.24300000000005</v>
      </c>
      <c r="K1849" t="s">
        <v>2024</v>
      </c>
      <c r="L1849" t="str">
        <f>_xlfn.XLOOKUP(Orders[[#This Row],[ProductID]],Products!A:A,Products!C:C)</f>
        <v>Electronics</v>
      </c>
    </row>
    <row r="1850" spans="1:12" x14ac:dyDescent="0.3">
      <c r="A1850">
        <v>1849</v>
      </c>
      <c r="B1850">
        <v>1166</v>
      </c>
      <c r="C1850">
        <v>53</v>
      </c>
      <c r="D1850" t="s">
        <v>497</v>
      </c>
      <c r="E1850">
        <f t="shared" si="84"/>
        <v>2023</v>
      </c>
      <c r="F1850" t="str">
        <f t="shared" si="85"/>
        <v>Mar</v>
      </c>
      <c r="G1850">
        <v>3</v>
      </c>
      <c r="H1850">
        <f>_xlfn.XLOOKUP(C1850,Products!A:A,Products!D:D)</f>
        <v>194.34</v>
      </c>
      <c r="I1850">
        <v>15</v>
      </c>
      <c r="J1850">
        <f t="shared" si="86"/>
        <v>495.56699999999995</v>
      </c>
      <c r="K1850" t="s">
        <v>2024</v>
      </c>
      <c r="L1850" t="str">
        <f>_xlfn.XLOOKUP(Orders[[#This Row],[ProductID]],Products!A:A,Products!C:C)</f>
        <v>Home</v>
      </c>
    </row>
    <row r="1851" spans="1:12" x14ac:dyDescent="0.3">
      <c r="A1851">
        <v>1850</v>
      </c>
      <c r="B1851">
        <v>1166</v>
      </c>
      <c r="C1851">
        <v>60</v>
      </c>
      <c r="D1851" t="s">
        <v>1925</v>
      </c>
      <c r="E1851">
        <f t="shared" si="84"/>
        <v>2023</v>
      </c>
      <c r="F1851" t="str">
        <f t="shared" si="85"/>
        <v>Jun</v>
      </c>
      <c r="G1851">
        <v>2</v>
      </c>
      <c r="H1851">
        <f>_xlfn.XLOOKUP(C1851,Products!A:A,Products!D:D)</f>
        <v>830.49</v>
      </c>
      <c r="I1851">
        <v>5</v>
      </c>
      <c r="J1851">
        <f t="shared" si="86"/>
        <v>1577.931</v>
      </c>
      <c r="K1851" t="s">
        <v>2017</v>
      </c>
      <c r="L1851" t="str">
        <f>_xlfn.XLOOKUP(Orders[[#This Row],[ProductID]],Products!A:A,Products!C:C)</f>
        <v>Clothing</v>
      </c>
    </row>
    <row r="1852" spans="1:12" x14ac:dyDescent="0.3">
      <c r="A1852">
        <v>1851</v>
      </c>
      <c r="B1852">
        <v>1166</v>
      </c>
      <c r="C1852">
        <v>70</v>
      </c>
      <c r="D1852" t="s">
        <v>800</v>
      </c>
      <c r="E1852">
        <f t="shared" si="84"/>
        <v>2023</v>
      </c>
      <c r="F1852" t="str">
        <f t="shared" si="85"/>
        <v>Jul</v>
      </c>
      <c r="G1852">
        <v>2</v>
      </c>
      <c r="H1852">
        <f>_xlfn.XLOOKUP(C1852,Products!A:A,Products!D:D)</f>
        <v>797.23</v>
      </c>
      <c r="I1852">
        <v>15</v>
      </c>
      <c r="J1852">
        <f t="shared" si="86"/>
        <v>1355.2909999999999</v>
      </c>
      <c r="K1852" t="s">
        <v>2019</v>
      </c>
      <c r="L1852" t="str">
        <f>_xlfn.XLOOKUP(Orders[[#This Row],[ProductID]],Products!A:A,Products!C:C)</f>
        <v>Clothing</v>
      </c>
    </row>
    <row r="1853" spans="1:12" x14ac:dyDescent="0.3">
      <c r="A1853">
        <v>1852</v>
      </c>
      <c r="B1853">
        <v>1166</v>
      </c>
      <c r="C1853">
        <v>78</v>
      </c>
      <c r="D1853" t="s">
        <v>410</v>
      </c>
      <c r="E1853">
        <f t="shared" si="84"/>
        <v>2023</v>
      </c>
      <c r="F1853" t="str">
        <f t="shared" si="85"/>
        <v>May</v>
      </c>
      <c r="G1853">
        <v>1</v>
      </c>
      <c r="H1853">
        <f>_xlfn.XLOOKUP(C1853,Products!A:A,Products!D:D)</f>
        <v>795.77</v>
      </c>
      <c r="I1853">
        <v>10</v>
      </c>
      <c r="J1853">
        <f t="shared" si="86"/>
        <v>716.19299999999998</v>
      </c>
      <c r="K1853" t="s">
        <v>2024</v>
      </c>
      <c r="L1853" t="str">
        <f>_xlfn.XLOOKUP(Orders[[#This Row],[ProductID]],Products!A:A,Products!C:C)</f>
        <v>Beauty</v>
      </c>
    </row>
    <row r="1854" spans="1:12" x14ac:dyDescent="0.3">
      <c r="A1854">
        <v>1853</v>
      </c>
      <c r="B1854">
        <v>1166</v>
      </c>
      <c r="C1854">
        <v>60</v>
      </c>
      <c r="D1854" t="s">
        <v>2118</v>
      </c>
      <c r="E1854">
        <f t="shared" si="84"/>
        <v>2023</v>
      </c>
      <c r="F1854" t="str">
        <f t="shared" si="85"/>
        <v>Aug</v>
      </c>
      <c r="G1854">
        <v>3</v>
      </c>
      <c r="H1854">
        <f>_xlfn.XLOOKUP(C1854,Products!A:A,Products!D:D)</f>
        <v>830.49</v>
      </c>
      <c r="I1854">
        <v>5</v>
      </c>
      <c r="J1854">
        <f t="shared" si="86"/>
        <v>2366.8965000000003</v>
      </c>
      <c r="K1854" t="s">
        <v>2019</v>
      </c>
      <c r="L1854" t="str">
        <f>_xlfn.XLOOKUP(Orders[[#This Row],[ProductID]],Products!A:A,Products!C:C)</f>
        <v>Clothing</v>
      </c>
    </row>
    <row r="1855" spans="1:12" x14ac:dyDescent="0.3">
      <c r="A1855">
        <v>1854</v>
      </c>
      <c r="B1855">
        <v>1166</v>
      </c>
      <c r="C1855">
        <v>44</v>
      </c>
      <c r="D1855" t="s">
        <v>2238</v>
      </c>
      <c r="E1855">
        <f t="shared" si="84"/>
        <v>2023</v>
      </c>
      <c r="F1855" t="str">
        <f t="shared" si="85"/>
        <v>Sep</v>
      </c>
      <c r="G1855">
        <v>3</v>
      </c>
      <c r="H1855">
        <f>_xlfn.XLOOKUP(C1855,Products!A:A,Products!D:D)</f>
        <v>1038</v>
      </c>
      <c r="I1855">
        <v>5</v>
      </c>
      <c r="J1855">
        <f t="shared" si="86"/>
        <v>2958.2999999999997</v>
      </c>
      <c r="K1855" t="s">
        <v>2015</v>
      </c>
      <c r="L1855" t="str">
        <f>_xlfn.XLOOKUP(Orders[[#This Row],[ProductID]],Products!A:A,Products!C:C)</f>
        <v>Home</v>
      </c>
    </row>
    <row r="1856" spans="1:12" x14ac:dyDescent="0.3">
      <c r="A1856">
        <v>1855</v>
      </c>
      <c r="B1856">
        <v>1166</v>
      </c>
      <c r="C1856">
        <v>44</v>
      </c>
      <c r="D1856" t="s">
        <v>1376</v>
      </c>
      <c r="E1856">
        <f t="shared" si="84"/>
        <v>2023</v>
      </c>
      <c r="F1856" t="str">
        <f t="shared" si="85"/>
        <v>Oct</v>
      </c>
      <c r="G1856">
        <v>3</v>
      </c>
      <c r="H1856">
        <f>_xlfn.XLOOKUP(C1856,Products!A:A,Products!D:D)</f>
        <v>1038</v>
      </c>
      <c r="I1856">
        <v>5</v>
      </c>
      <c r="J1856">
        <f t="shared" si="86"/>
        <v>2958.2999999999997</v>
      </c>
      <c r="K1856" t="s">
        <v>2015</v>
      </c>
      <c r="L1856" t="str">
        <f>_xlfn.XLOOKUP(Orders[[#This Row],[ProductID]],Products!A:A,Products!C:C)</f>
        <v>Home</v>
      </c>
    </row>
    <row r="1857" spans="1:12" x14ac:dyDescent="0.3">
      <c r="A1857">
        <v>1856</v>
      </c>
      <c r="B1857">
        <v>1166</v>
      </c>
      <c r="C1857">
        <v>18</v>
      </c>
      <c r="D1857" t="s">
        <v>2170</v>
      </c>
      <c r="E1857">
        <f t="shared" si="84"/>
        <v>2024</v>
      </c>
      <c r="F1857" t="str">
        <f t="shared" si="85"/>
        <v>May</v>
      </c>
      <c r="G1857">
        <v>1</v>
      </c>
      <c r="H1857">
        <f>_xlfn.XLOOKUP(C1857,Products!A:A,Products!D:D)</f>
        <v>138.07</v>
      </c>
      <c r="I1857">
        <v>15</v>
      </c>
      <c r="J1857">
        <f t="shared" si="86"/>
        <v>117.3595</v>
      </c>
      <c r="K1857" t="s">
        <v>2019</v>
      </c>
      <c r="L1857" t="str">
        <f>_xlfn.XLOOKUP(Orders[[#This Row],[ProductID]],Products!A:A,Products!C:C)</f>
        <v>Home</v>
      </c>
    </row>
    <row r="1858" spans="1:12" x14ac:dyDescent="0.3">
      <c r="A1858">
        <v>1857</v>
      </c>
      <c r="B1858">
        <v>1167</v>
      </c>
      <c r="C1858">
        <v>54</v>
      </c>
      <c r="D1858" t="s">
        <v>2097</v>
      </c>
      <c r="E1858">
        <f t="shared" si="84"/>
        <v>2024</v>
      </c>
      <c r="F1858" t="str">
        <f t="shared" si="85"/>
        <v>Mar</v>
      </c>
      <c r="G1858">
        <v>1</v>
      </c>
      <c r="H1858">
        <f>_xlfn.XLOOKUP(C1858,Products!A:A,Products!D:D)</f>
        <v>900.79</v>
      </c>
      <c r="I1858">
        <v>20</v>
      </c>
      <c r="J1858">
        <f t="shared" si="86"/>
        <v>720.63200000000006</v>
      </c>
      <c r="K1858" t="s">
        <v>2015</v>
      </c>
      <c r="L1858" t="str">
        <f>_xlfn.XLOOKUP(Orders[[#This Row],[ProductID]],Products!A:A,Products!C:C)</f>
        <v>Electronics</v>
      </c>
    </row>
    <row r="1859" spans="1:12" x14ac:dyDescent="0.3">
      <c r="A1859">
        <v>1858</v>
      </c>
      <c r="B1859">
        <v>1167</v>
      </c>
      <c r="C1859">
        <v>6</v>
      </c>
      <c r="D1859" t="s">
        <v>959</v>
      </c>
      <c r="E1859">
        <f t="shared" ref="E1859:E1922" si="87">YEAR(D1859)</f>
        <v>2023</v>
      </c>
      <c r="F1859" t="str">
        <f t="shared" ref="F1859:F1922" si="88">TEXT(D1859,"mmm")</f>
        <v>Sep</v>
      </c>
      <c r="G1859">
        <v>1</v>
      </c>
      <c r="H1859">
        <f>_xlfn.XLOOKUP(C1859,Products!A:A,Products!D:D)</f>
        <v>719.19</v>
      </c>
      <c r="I1859">
        <v>20</v>
      </c>
      <c r="J1859">
        <f t="shared" ref="J1859:J1922" si="89">G1859*H1859*(1-I1859/100)</f>
        <v>575.35200000000009</v>
      </c>
      <c r="K1859" t="s">
        <v>2019</v>
      </c>
      <c r="L1859" t="str">
        <f>_xlfn.XLOOKUP(Orders[[#This Row],[ProductID]],Products!A:A,Products!C:C)</f>
        <v>Clothing</v>
      </c>
    </row>
    <row r="1860" spans="1:12" x14ac:dyDescent="0.3">
      <c r="A1860">
        <v>1859</v>
      </c>
      <c r="B1860">
        <v>1167</v>
      </c>
      <c r="C1860">
        <v>33</v>
      </c>
      <c r="D1860" t="s">
        <v>2134</v>
      </c>
      <c r="E1860">
        <f t="shared" si="87"/>
        <v>2024</v>
      </c>
      <c r="F1860" t="str">
        <f t="shared" si="88"/>
        <v>Apr</v>
      </c>
      <c r="G1860">
        <v>3</v>
      </c>
      <c r="H1860">
        <f>_xlfn.XLOOKUP(C1860,Products!A:A,Products!D:D)</f>
        <v>965.4</v>
      </c>
      <c r="I1860">
        <v>5</v>
      </c>
      <c r="J1860">
        <f t="shared" si="89"/>
        <v>2751.39</v>
      </c>
      <c r="K1860" t="s">
        <v>2021</v>
      </c>
      <c r="L1860" t="str">
        <f>_xlfn.XLOOKUP(Orders[[#This Row],[ProductID]],Products!A:A,Products!C:C)</f>
        <v>Beauty</v>
      </c>
    </row>
    <row r="1861" spans="1:12" x14ac:dyDescent="0.3">
      <c r="A1861">
        <v>1860</v>
      </c>
      <c r="B1861">
        <v>1167</v>
      </c>
      <c r="C1861">
        <v>43</v>
      </c>
      <c r="D1861" t="s">
        <v>2034</v>
      </c>
      <c r="E1861">
        <f t="shared" si="87"/>
        <v>2023</v>
      </c>
      <c r="F1861" t="str">
        <f t="shared" si="88"/>
        <v>Sep</v>
      </c>
      <c r="G1861">
        <v>1</v>
      </c>
      <c r="H1861">
        <f>_xlfn.XLOOKUP(C1861,Products!A:A,Products!D:D)</f>
        <v>760.86</v>
      </c>
      <c r="I1861">
        <v>10</v>
      </c>
      <c r="J1861">
        <f t="shared" si="89"/>
        <v>684.774</v>
      </c>
      <c r="K1861" t="s">
        <v>2024</v>
      </c>
      <c r="L1861" t="str">
        <f>_xlfn.XLOOKUP(Orders[[#This Row],[ProductID]],Products!A:A,Products!C:C)</f>
        <v>Electronics</v>
      </c>
    </row>
    <row r="1862" spans="1:12" x14ac:dyDescent="0.3">
      <c r="A1862">
        <v>1861</v>
      </c>
      <c r="B1862">
        <v>1167</v>
      </c>
      <c r="C1862">
        <v>71</v>
      </c>
      <c r="D1862" t="s">
        <v>2191</v>
      </c>
      <c r="E1862">
        <f t="shared" si="87"/>
        <v>2024</v>
      </c>
      <c r="F1862" t="str">
        <f t="shared" si="88"/>
        <v>Apr</v>
      </c>
      <c r="G1862">
        <v>2</v>
      </c>
      <c r="H1862">
        <f>_xlfn.XLOOKUP(C1862,Products!A:A,Products!D:D)</f>
        <v>780.27</v>
      </c>
      <c r="I1862">
        <v>20</v>
      </c>
      <c r="J1862">
        <f t="shared" si="89"/>
        <v>1248.432</v>
      </c>
      <c r="K1862" t="s">
        <v>2017</v>
      </c>
      <c r="L1862" t="str">
        <f>_xlfn.XLOOKUP(Orders[[#This Row],[ProductID]],Products!A:A,Products!C:C)</f>
        <v>Electronics</v>
      </c>
    </row>
    <row r="1863" spans="1:12" x14ac:dyDescent="0.3">
      <c r="A1863">
        <v>1862</v>
      </c>
      <c r="B1863">
        <v>1167</v>
      </c>
      <c r="C1863">
        <v>29</v>
      </c>
      <c r="D1863" t="s">
        <v>499</v>
      </c>
      <c r="E1863">
        <f t="shared" si="87"/>
        <v>2023</v>
      </c>
      <c r="F1863" t="str">
        <f t="shared" si="88"/>
        <v>Oct</v>
      </c>
      <c r="G1863">
        <v>2</v>
      </c>
      <c r="H1863">
        <f>_xlfn.XLOOKUP(C1863,Products!A:A,Products!D:D)</f>
        <v>757</v>
      </c>
      <c r="I1863">
        <v>15</v>
      </c>
      <c r="J1863">
        <f t="shared" si="89"/>
        <v>1286.8999999999999</v>
      </c>
      <c r="K1863" t="s">
        <v>2019</v>
      </c>
      <c r="L1863" t="str">
        <f>_xlfn.XLOOKUP(Orders[[#This Row],[ProductID]],Products!A:A,Products!C:C)</f>
        <v>Clothing</v>
      </c>
    </row>
    <row r="1864" spans="1:12" x14ac:dyDescent="0.3">
      <c r="A1864">
        <v>1863</v>
      </c>
      <c r="B1864">
        <v>1168</v>
      </c>
      <c r="C1864">
        <v>29</v>
      </c>
      <c r="D1864" t="s">
        <v>1307</v>
      </c>
      <c r="E1864">
        <f t="shared" si="87"/>
        <v>2023</v>
      </c>
      <c r="F1864" t="str">
        <f t="shared" si="88"/>
        <v>Nov</v>
      </c>
      <c r="G1864">
        <v>3</v>
      </c>
      <c r="H1864">
        <f>_xlfn.XLOOKUP(C1864,Products!A:A,Products!D:D)</f>
        <v>757</v>
      </c>
      <c r="I1864">
        <v>15</v>
      </c>
      <c r="J1864">
        <f t="shared" si="89"/>
        <v>1930.35</v>
      </c>
      <c r="K1864" t="s">
        <v>2021</v>
      </c>
      <c r="L1864" t="str">
        <f>_xlfn.XLOOKUP(Orders[[#This Row],[ProductID]],Products!A:A,Products!C:C)</f>
        <v>Clothing</v>
      </c>
    </row>
    <row r="1865" spans="1:12" x14ac:dyDescent="0.3">
      <c r="A1865">
        <v>1864</v>
      </c>
      <c r="B1865">
        <v>1168</v>
      </c>
      <c r="C1865">
        <v>25</v>
      </c>
      <c r="D1865" t="s">
        <v>2211</v>
      </c>
      <c r="E1865">
        <f t="shared" si="87"/>
        <v>2024</v>
      </c>
      <c r="F1865" t="str">
        <f t="shared" si="88"/>
        <v>Jan</v>
      </c>
      <c r="G1865">
        <v>1</v>
      </c>
      <c r="H1865">
        <f>_xlfn.XLOOKUP(C1865,Products!A:A,Products!D:D)</f>
        <v>1011.65</v>
      </c>
      <c r="I1865">
        <v>20</v>
      </c>
      <c r="J1865">
        <f t="shared" si="89"/>
        <v>809.32</v>
      </c>
      <c r="K1865" t="s">
        <v>2019</v>
      </c>
      <c r="L1865" t="str">
        <f>_xlfn.XLOOKUP(Orders[[#This Row],[ProductID]],Products!A:A,Products!C:C)</f>
        <v>Electronics</v>
      </c>
    </row>
    <row r="1866" spans="1:12" x14ac:dyDescent="0.3">
      <c r="A1866">
        <v>1865</v>
      </c>
      <c r="B1866">
        <v>1168</v>
      </c>
      <c r="C1866">
        <v>64</v>
      </c>
      <c r="D1866" t="s">
        <v>1952</v>
      </c>
      <c r="E1866">
        <f t="shared" si="87"/>
        <v>2023</v>
      </c>
      <c r="F1866" t="str">
        <f t="shared" si="88"/>
        <v>Mar</v>
      </c>
      <c r="G1866">
        <v>1</v>
      </c>
      <c r="H1866">
        <f>_xlfn.XLOOKUP(C1866,Products!A:A,Products!D:D)</f>
        <v>567.71</v>
      </c>
      <c r="I1866">
        <v>10</v>
      </c>
      <c r="J1866">
        <f t="shared" si="89"/>
        <v>510.93900000000002</v>
      </c>
      <c r="K1866" t="s">
        <v>2021</v>
      </c>
      <c r="L1866" t="str">
        <f>_xlfn.XLOOKUP(Orders[[#This Row],[ProductID]],Products!A:A,Products!C:C)</f>
        <v>Clothing</v>
      </c>
    </row>
    <row r="1867" spans="1:12" x14ac:dyDescent="0.3">
      <c r="A1867">
        <v>1866</v>
      </c>
      <c r="B1867">
        <v>1168</v>
      </c>
      <c r="C1867">
        <v>52</v>
      </c>
      <c r="D1867" t="s">
        <v>1373</v>
      </c>
      <c r="E1867">
        <f t="shared" si="87"/>
        <v>2023</v>
      </c>
      <c r="F1867" t="str">
        <f t="shared" si="88"/>
        <v>Jun</v>
      </c>
      <c r="G1867">
        <v>1</v>
      </c>
      <c r="H1867">
        <f>_xlfn.XLOOKUP(C1867,Products!A:A,Products!D:D)</f>
        <v>256.76</v>
      </c>
      <c r="I1867">
        <v>20</v>
      </c>
      <c r="J1867">
        <f t="shared" si="89"/>
        <v>205.40800000000002</v>
      </c>
      <c r="K1867" t="s">
        <v>2019</v>
      </c>
      <c r="L1867" t="str">
        <f>_xlfn.XLOOKUP(Orders[[#This Row],[ProductID]],Products!A:A,Products!C:C)</f>
        <v>Home</v>
      </c>
    </row>
    <row r="1868" spans="1:12" x14ac:dyDescent="0.3">
      <c r="A1868">
        <v>1867</v>
      </c>
      <c r="B1868">
        <v>1168</v>
      </c>
      <c r="C1868">
        <v>25</v>
      </c>
      <c r="D1868" t="s">
        <v>714</v>
      </c>
      <c r="E1868">
        <f t="shared" si="87"/>
        <v>2023</v>
      </c>
      <c r="F1868" t="str">
        <f t="shared" si="88"/>
        <v>Jan</v>
      </c>
      <c r="G1868">
        <v>1</v>
      </c>
      <c r="H1868">
        <f>_xlfn.XLOOKUP(C1868,Products!A:A,Products!D:D)</f>
        <v>1011.65</v>
      </c>
      <c r="I1868">
        <v>0</v>
      </c>
      <c r="J1868">
        <f t="shared" si="89"/>
        <v>1011.65</v>
      </c>
      <c r="K1868" t="s">
        <v>2024</v>
      </c>
      <c r="L1868" t="str">
        <f>_xlfn.XLOOKUP(Orders[[#This Row],[ProductID]],Products!A:A,Products!C:C)</f>
        <v>Electronics</v>
      </c>
    </row>
    <row r="1869" spans="1:12" x14ac:dyDescent="0.3">
      <c r="A1869">
        <v>1868</v>
      </c>
      <c r="B1869">
        <v>1169</v>
      </c>
      <c r="C1869">
        <v>16</v>
      </c>
      <c r="D1869" t="s">
        <v>197</v>
      </c>
      <c r="E1869">
        <f t="shared" si="87"/>
        <v>2023</v>
      </c>
      <c r="F1869" t="str">
        <f t="shared" si="88"/>
        <v>Apr</v>
      </c>
      <c r="G1869">
        <v>1</v>
      </c>
      <c r="H1869">
        <f>_xlfn.XLOOKUP(C1869,Products!A:A,Products!D:D)</f>
        <v>693.02</v>
      </c>
      <c r="I1869">
        <v>0</v>
      </c>
      <c r="J1869">
        <f t="shared" si="89"/>
        <v>693.02</v>
      </c>
      <c r="K1869" t="s">
        <v>2019</v>
      </c>
      <c r="L1869" t="str">
        <f>_xlfn.XLOOKUP(Orders[[#This Row],[ProductID]],Products!A:A,Products!C:C)</f>
        <v>Home</v>
      </c>
    </row>
    <row r="1870" spans="1:12" x14ac:dyDescent="0.3">
      <c r="A1870">
        <v>1869</v>
      </c>
      <c r="B1870">
        <v>1169</v>
      </c>
      <c r="C1870">
        <v>33</v>
      </c>
      <c r="D1870" t="s">
        <v>1207</v>
      </c>
      <c r="E1870">
        <f t="shared" si="87"/>
        <v>2023</v>
      </c>
      <c r="F1870" t="str">
        <f t="shared" si="88"/>
        <v>Aug</v>
      </c>
      <c r="G1870">
        <v>1</v>
      </c>
      <c r="H1870">
        <f>_xlfn.XLOOKUP(C1870,Products!A:A,Products!D:D)</f>
        <v>965.4</v>
      </c>
      <c r="I1870">
        <v>15</v>
      </c>
      <c r="J1870">
        <f t="shared" si="89"/>
        <v>820.58999999999992</v>
      </c>
      <c r="K1870" t="s">
        <v>2024</v>
      </c>
      <c r="L1870" t="str">
        <f>_xlfn.XLOOKUP(Orders[[#This Row],[ProductID]],Products!A:A,Products!C:C)</f>
        <v>Beauty</v>
      </c>
    </row>
    <row r="1871" spans="1:12" x14ac:dyDescent="0.3">
      <c r="A1871">
        <v>1870</v>
      </c>
      <c r="B1871">
        <v>1169</v>
      </c>
      <c r="C1871">
        <v>52</v>
      </c>
      <c r="D1871" t="s">
        <v>842</v>
      </c>
      <c r="E1871">
        <f t="shared" si="87"/>
        <v>2023</v>
      </c>
      <c r="F1871" t="str">
        <f t="shared" si="88"/>
        <v>Jan</v>
      </c>
      <c r="G1871">
        <v>3</v>
      </c>
      <c r="H1871">
        <f>_xlfn.XLOOKUP(C1871,Products!A:A,Products!D:D)</f>
        <v>256.76</v>
      </c>
      <c r="I1871">
        <v>20</v>
      </c>
      <c r="J1871">
        <f t="shared" si="89"/>
        <v>616.22400000000005</v>
      </c>
      <c r="K1871" t="s">
        <v>2024</v>
      </c>
      <c r="L1871" t="str">
        <f>_xlfn.XLOOKUP(Orders[[#This Row],[ProductID]],Products!A:A,Products!C:C)</f>
        <v>Home</v>
      </c>
    </row>
    <row r="1872" spans="1:12" x14ac:dyDescent="0.3">
      <c r="A1872">
        <v>1871</v>
      </c>
      <c r="B1872">
        <v>1169</v>
      </c>
      <c r="C1872">
        <v>44</v>
      </c>
      <c r="D1872" t="s">
        <v>1136</v>
      </c>
      <c r="E1872">
        <f t="shared" si="87"/>
        <v>2023</v>
      </c>
      <c r="F1872" t="str">
        <f t="shared" si="88"/>
        <v>Jul</v>
      </c>
      <c r="G1872">
        <v>2</v>
      </c>
      <c r="H1872">
        <f>_xlfn.XLOOKUP(C1872,Products!A:A,Products!D:D)</f>
        <v>1038</v>
      </c>
      <c r="I1872">
        <v>5</v>
      </c>
      <c r="J1872">
        <f t="shared" si="89"/>
        <v>1972.1999999999998</v>
      </c>
      <c r="K1872" t="s">
        <v>2024</v>
      </c>
      <c r="L1872" t="str">
        <f>_xlfn.XLOOKUP(Orders[[#This Row],[ProductID]],Products!A:A,Products!C:C)</f>
        <v>Home</v>
      </c>
    </row>
    <row r="1873" spans="1:12" x14ac:dyDescent="0.3">
      <c r="A1873">
        <v>1872</v>
      </c>
      <c r="B1873">
        <v>1169</v>
      </c>
      <c r="C1873">
        <v>55</v>
      </c>
      <c r="D1873" t="s">
        <v>1556</v>
      </c>
      <c r="E1873">
        <f t="shared" si="87"/>
        <v>2023</v>
      </c>
      <c r="F1873" t="str">
        <f t="shared" si="88"/>
        <v>Nov</v>
      </c>
      <c r="G1873">
        <v>3</v>
      </c>
      <c r="H1873">
        <f>_xlfn.XLOOKUP(C1873,Products!A:A,Products!D:D)</f>
        <v>1016.06</v>
      </c>
      <c r="I1873">
        <v>15</v>
      </c>
      <c r="J1873">
        <f t="shared" si="89"/>
        <v>2590.953</v>
      </c>
      <c r="K1873" t="s">
        <v>2015</v>
      </c>
      <c r="L1873" t="str">
        <f>_xlfn.XLOOKUP(Orders[[#This Row],[ProductID]],Products!A:A,Products!C:C)</f>
        <v>Clothing</v>
      </c>
    </row>
    <row r="1874" spans="1:12" x14ac:dyDescent="0.3">
      <c r="A1874">
        <v>1873</v>
      </c>
      <c r="B1874">
        <v>1169</v>
      </c>
      <c r="C1874">
        <v>76</v>
      </c>
      <c r="D1874" t="s">
        <v>858</v>
      </c>
      <c r="E1874">
        <f t="shared" si="87"/>
        <v>2023</v>
      </c>
      <c r="F1874" t="str">
        <f t="shared" si="88"/>
        <v>Jan</v>
      </c>
      <c r="G1874">
        <v>3</v>
      </c>
      <c r="H1874">
        <f>_xlfn.XLOOKUP(C1874,Products!A:A,Products!D:D)</f>
        <v>1043.26</v>
      </c>
      <c r="I1874">
        <v>15</v>
      </c>
      <c r="J1874">
        <f t="shared" si="89"/>
        <v>2660.3129999999996</v>
      </c>
      <c r="K1874" t="s">
        <v>2019</v>
      </c>
      <c r="L1874" t="str">
        <f>_xlfn.XLOOKUP(Orders[[#This Row],[ProductID]],Products!A:A,Products!C:C)</f>
        <v>Clothing</v>
      </c>
    </row>
    <row r="1875" spans="1:12" x14ac:dyDescent="0.3">
      <c r="A1875">
        <v>1874</v>
      </c>
      <c r="B1875">
        <v>1169</v>
      </c>
      <c r="C1875">
        <v>64</v>
      </c>
      <c r="D1875" t="s">
        <v>1095</v>
      </c>
      <c r="E1875">
        <f t="shared" si="87"/>
        <v>2023</v>
      </c>
      <c r="F1875" t="str">
        <f t="shared" si="88"/>
        <v>Jun</v>
      </c>
      <c r="G1875">
        <v>2</v>
      </c>
      <c r="H1875">
        <f>_xlfn.XLOOKUP(C1875,Products!A:A,Products!D:D)</f>
        <v>567.71</v>
      </c>
      <c r="I1875">
        <v>0</v>
      </c>
      <c r="J1875">
        <f t="shared" si="89"/>
        <v>1135.42</v>
      </c>
      <c r="K1875" t="s">
        <v>2024</v>
      </c>
      <c r="L1875" t="str">
        <f>_xlfn.XLOOKUP(Orders[[#This Row],[ProductID]],Products!A:A,Products!C:C)</f>
        <v>Clothing</v>
      </c>
    </row>
    <row r="1876" spans="1:12" x14ac:dyDescent="0.3">
      <c r="A1876">
        <v>1875</v>
      </c>
      <c r="B1876">
        <v>1170</v>
      </c>
      <c r="C1876">
        <v>61</v>
      </c>
      <c r="D1876" t="s">
        <v>2239</v>
      </c>
      <c r="E1876">
        <f t="shared" si="87"/>
        <v>2024</v>
      </c>
      <c r="F1876" t="str">
        <f t="shared" si="88"/>
        <v>Mar</v>
      </c>
      <c r="G1876">
        <v>2</v>
      </c>
      <c r="H1876">
        <f>_xlfn.XLOOKUP(C1876,Products!A:A,Products!D:D)</f>
        <v>498.92</v>
      </c>
      <c r="I1876">
        <v>20</v>
      </c>
      <c r="J1876">
        <f t="shared" si="89"/>
        <v>798.27200000000005</v>
      </c>
      <c r="K1876" t="s">
        <v>2019</v>
      </c>
      <c r="L1876" t="str">
        <f>_xlfn.XLOOKUP(Orders[[#This Row],[ProductID]],Products!A:A,Products!C:C)</f>
        <v>Clothing</v>
      </c>
    </row>
    <row r="1877" spans="1:12" x14ac:dyDescent="0.3">
      <c r="A1877">
        <v>1876</v>
      </c>
      <c r="B1877">
        <v>1170</v>
      </c>
      <c r="C1877">
        <v>55</v>
      </c>
      <c r="D1877" t="s">
        <v>2165</v>
      </c>
      <c r="E1877">
        <f t="shared" si="87"/>
        <v>2023</v>
      </c>
      <c r="F1877" t="str">
        <f t="shared" si="88"/>
        <v>Dec</v>
      </c>
      <c r="G1877">
        <v>3</v>
      </c>
      <c r="H1877">
        <f>_xlfn.XLOOKUP(C1877,Products!A:A,Products!D:D)</f>
        <v>1016.06</v>
      </c>
      <c r="I1877">
        <v>20</v>
      </c>
      <c r="J1877">
        <f t="shared" si="89"/>
        <v>2438.5439999999999</v>
      </c>
      <c r="K1877" t="s">
        <v>2024</v>
      </c>
      <c r="L1877" t="str">
        <f>_xlfn.XLOOKUP(Orders[[#This Row],[ProductID]],Products!A:A,Products!C:C)</f>
        <v>Clothing</v>
      </c>
    </row>
    <row r="1878" spans="1:12" x14ac:dyDescent="0.3">
      <c r="A1878">
        <v>1877</v>
      </c>
      <c r="B1878">
        <v>1170</v>
      </c>
      <c r="C1878">
        <v>63</v>
      </c>
      <c r="D1878" t="s">
        <v>1750</v>
      </c>
      <c r="E1878">
        <f t="shared" si="87"/>
        <v>2023</v>
      </c>
      <c r="F1878" t="str">
        <f t="shared" si="88"/>
        <v>Jan</v>
      </c>
      <c r="G1878">
        <v>2</v>
      </c>
      <c r="H1878">
        <f>_xlfn.XLOOKUP(C1878,Products!A:A,Products!D:D)</f>
        <v>309.79000000000002</v>
      </c>
      <c r="I1878">
        <v>0</v>
      </c>
      <c r="J1878">
        <f t="shared" si="89"/>
        <v>619.58000000000004</v>
      </c>
      <c r="K1878" t="s">
        <v>2017</v>
      </c>
      <c r="L1878" t="str">
        <f>_xlfn.XLOOKUP(Orders[[#This Row],[ProductID]],Products!A:A,Products!C:C)</f>
        <v>Electronics</v>
      </c>
    </row>
    <row r="1879" spans="1:12" x14ac:dyDescent="0.3">
      <c r="A1879">
        <v>1878</v>
      </c>
      <c r="B1879">
        <v>1170</v>
      </c>
      <c r="C1879">
        <v>12</v>
      </c>
      <c r="D1879" t="s">
        <v>148</v>
      </c>
      <c r="E1879">
        <f t="shared" si="87"/>
        <v>2023</v>
      </c>
      <c r="F1879" t="str">
        <f t="shared" si="88"/>
        <v>Sep</v>
      </c>
      <c r="G1879">
        <v>2</v>
      </c>
      <c r="H1879">
        <f>_xlfn.XLOOKUP(C1879,Products!A:A,Products!D:D)</f>
        <v>627.41999999999996</v>
      </c>
      <c r="I1879">
        <v>20</v>
      </c>
      <c r="J1879">
        <f t="shared" si="89"/>
        <v>1003.872</v>
      </c>
      <c r="K1879" t="s">
        <v>2019</v>
      </c>
      <c r="L1879" t="str">
        <f>_xlfn.XLOOKUP(Orders[[#This Row],[ProductID]],Products!A:A,Products!C:C)</f>
        <v>Beauty</v>
      </c>
    </row>
    <row r="1880" spans="1:12" x14ac:dyDescent="0.3">
      <c r="A1880">
        <v>1879</v>
      </c>
      <c r="B1880">
        <v>1170</v>
      </c>
      <c r="C1880">
        <v>11</v>
      </c>
      <c r="D1880" t="s">
        <v>673</v>
      </c>
      <c r="E1880">
        <f t="shared" si="87"/>
        <v>2023</v>
      </c>
      <c r="F1880" t="str">
        <f t="shared" si="88"/>
        <v>May</v>
      </c>
      <c r="G1880">
        <v>3</v>
      </c>
      <c r="H1880">
        <f>_xlfn.XLOOKUP(C1880,Products!A:A,Products!D:D)</f>
        <v>1038.77</v>
      </c>
      <c r="I1880">
        <v>0</v>
      </c>
      <c r="J1880">
        <f t="shared" si="89"/>
        <v>3116.31</v>
      </c>
      <c r="K1880" t="s">
        <v>2017</v>
      </c>
      <c r="L1880" t="str">
        <f>_xlfn.XLOOKUP(Orders[[#This Row],[ProductID]],Products!A:A,Products!C:C)</f>
        <v>Beauty</v>
      </c>
    </row>
    <row r="1881" spans="1:12" x14ac:dyDescent="0.3">
      <c r="A1881">
        <v>1880</v>
      </c>
      <c r="B1881">
        <v>1170</v>
      </c>
      <c r="C1881">
        <v>49</v>
      </c>
      <c r="D1881" t="s">
        <v>2027</v>
      </c>
      <c r="E1881">
        <f t="shared" si="87"/>
        <v>2024</v>
      </c>
      <c r="F1881" t="str">
        <f t="shared" si="88"/>
        <v>Jan</v>
      </c>
      <c r="G1881">
        <v>2</v>
      </c>
      <c r="H1881">
        <f>_xlfn.XLOOKUP(C1881,Products!A:A,Products!D:D)</f>
        <v>974.54</v>
      </c>
      <c r="I1881">
        <v>5</v>
      </c>
      <c r="J1881">
        <f t="shared" si="89"/>
        <v>1851.6259999999997</v>
      </c>
      <c r="K1881" t="s">
        <v>2015</v>
      </c>
      <c r="L1881" t="str">
        <f>_xlfn.XLOOKUP(Orders[[#This Row],[ProductID]],Products!A:A,Products!C:C)</f>
        <v>Home</v>
      </c>
    </row>
    <row r="1882" spans="1:12" x14ac:dyDescent="0.3">
      <c r="A1882">
        <v>1881</v>
      </c>
      <c r="B1882">
        <v>1170</v>
      </c>
      <c r="C1882">
        <v>61</v>
      </c>
      <c r="D1882" t="s">
        <v>2209</v>
      </c>
      <c r="E1882">
        <f t="shared" si="87"/>
        <v>2023</v>
      </c>
      <c r="F1882" t="str">
        <f t="shared" si="88"/>
        <v>Jan</v>
      </c>
      <c r="G1882">
        <v>2</v>
      </c>
      <c r="H1882">
        <f>_xlfn.XLOOKUP(C1882,Products!A:A,Products!D:D)</f>
        <v>498.92</v>
      </c>
      <c r="I1882">
        <v>10</v>
      </c>
      <c r="J1882">
        <f t="shared" si="89"/>
        <v>898.05600000000004</v>
      </c>
      <c r="K1882" t="s">
        <v>2015</v>
      </c>
      <c r="L1882" t="str">
        <f>_xlfn.XLOOKUP(Orders[[#This Row],[ProductID]],Products!A:A,Products!C:C)</f>
        <v>Clothing</v>
      </c>
    </row>
    <row r="1883" spans="1:12" x14ac:dyDescent="0.3">
      <c r="A1883">
        <v>1882</v>
      </c>
      <c r="B1883">
        <v>1171</v>
      </c>
      <c r="C1883">
        <v>58</v>
      </c>
      <c r="D1883" t="s">
        <v>1223</v>
      </c>
      <c r="E1883">
        <f t="shared" si="87"/>
        <v>2023</v>
      </c>
      <c r="F1883" t="str">
        <f t="shared" si="88"/>
        <v>Apr</v>
      </c>
      <c r="G1883">
        <v>3</v>
      </c>
      <c r="H1883">
        <f>_xlfn.XLOOKUP(C1883,Products!A:A,Products!D:D)</f>
        <v>334.98</v>
      </c>
      <c r="I1883">
        <v>15</v>
      </c>
      <c r="J1883">
        <f t="shared" si="89"/>
        <v>854.19900000000007</v>
      </c>
      <c r="K1883" t="s">
        <v>2019</v>
      </c>
      <c r="L1883" t="str">
        <f>_xlfn.XLOOKUP(Orders[[#This Row],[ProductID]],Products!A:A,Products!C:C)</f>
        <v>Home</v>
      </c>
    </row>
    <row r="1884" spans="1:12" x14ac:dyDescent="0.3">
      <c r="A1884">
        <v>1883</v>
      </c>
      <c r="B1884">
        <v>1171</v>
      </c>
      <c r="C1884">
        <v>2</v>
      </c>
      <c r="D1884" t="s">
        <v>2223</v>
      </c>
      <c r="E1884">
        <f t="shared" si="87"/>
        <v>2023</v>
      </c>
      <c r="F1884" t="str">
        <f t="shared" si="88"/>
        <v>Dec</v>
      </c>
      <c r="G1884">
        <v>1</v>
      </c>
      <c r="H1884">
        <f>_xlfn.XLOOKUP(C1884,Products!A:A,Products!D:D)</f>
        <v>427.27</v>
      </c>
      <c r="I1884">
        <v>20</v>
      </c>
      <c r="J1884">
        <f t="shared" si="89"/>
        <v>341.81600000000003</v>
      </c>
      <c r="K1884" t="s">
        <v>2019</v>
      </c>
      <c r="L1884" t="str">
        <f>_xlfn.XLOOKUP(Orders[[#This Row],[ProductID]],Products!A:A,Products!C:C)</f>
        <v>Home</v>
      </c>
    </row>
    <row r="1885" spans="1:12" x14ac:dyDescent="0.3">
      <c r="A1885">
        <v>1884</v>
      </c>
      <c r="B1885">
        <v>1171</v>
      </c>
      <c r="C1885">
        <v>65</v>
      </c>
      <c r="D1885" t="s">
        <v>292</v>
      </c>
      <c r="E1885">
        <f t="shared" si="87"/>
        <v>2023</v>
      </c>
      <c r="F1885" t="str">
        <f t="shared" si="88"/>
        <v>Aug</v>
      </c>
      <c r="G1885">
        <v>1</v>
      </c>
      <c r="H1885">
        <f>_xlfn.XLOOKUP(C1885,Products!A:A,Products!D:D)</f>
        <v>1189.73</v>
      </c>
      <c r="I1885">
        <v>20</v>
      </c>
      <c r="J1885">
        <f t="shared" si="89"/>
        <v>951.78400000000011</v>
      </c>
      <c r="K1885" t="s">
        <v>2021</v>
      </c>
      <c r="L1885" t="str">
        <f>_xlfn.XLOOKUP(Orders[[#This Row],[ProductID]],Products!A:A,Products!C:C)</f>
        <v>Home</v>
      </c>
    </row>
    <row r="1886" spans="1:12" x14ac:dyDescent="0.3">
      <c r="A1886">
        <v>1885</v>
      </c>
      <c r="B1886">
        <v>1171</v>
      </c>
      <c r="C1886">
        <v>60</v>
      </c>
      <c r="D1886" t="s">
        <v>1100</v>
      </c>
      <c r="E1886">
        <f t="shared" si="87"/>
        <v>2023</v>
      </c>
      <c r="F1886" t="str">
        <f t="shared" si="88"/>
        <v>May</v>
      </c>
      <c r="G1886">
        <v>3</v>
      </c>
      <c r="H1886">
        <f>_xlfn.XLOOKUP(C1886,Products!A:A,Products!D:D)</f>
        <v>830.49</v>
      </c>
      <c r="I1886">
        <v>20</v>
      </c>
      <c r="J1886">
        <f t="shared" si="89"/>
        <v>1993.1760000000004</v>
      </c>
      <c r="K1886" t="s">
        <v>2017</v>
      </c>
      <c r="L1886" t="str">
        <f>_xlfn.XLOOKUP(Orders[[#This Row],[ProductID]],Products!A:A,Products!C:C)</f>
        <v>Clothing</v>
      </c>
    </row>
    <row r="1887" spans="1:12" x14ac:dyDescent="0.3">
      <c r="A1887">
        <v>1886</v>
      </c>
      <c r="B1887">
        <v>1171</v>
      </c>
      <c r="C1887">
        <v>69</v>
      </c>
      <c r="D1887" t="s">
        <v>1201</v>
      </c>
      <c r="E1887">
        <f t="shared" si="87"/>
        <v>2023</v>
      </c>
      <c r="F1887" t="str">
        <f t="shared" si="88"/>
        <v>Dec</v>
      </c>
      <c r="G1887">
        <v>3</v>
      </c>
      <c r="H1887">
        <f>_xlfn.XLOOKUP(C1887,Products!A:A,Products!D:D)</f>
        <v>951.81</v>
      </c>
      <c r="I1887">
        <v>0</v>
      </c>
      <c r="J1887">
        <f t="shared" si="89"/>
        <v>2855.43</v>
      </c>
      <c r="K1887" t="s">
        <v>2024</v>
      </c>
      <c r="L1887" t="str">
        <f>_xlfn.XLOOKUP(Orders[[#This Row],[ProductID]],Products!A:A,Products!C:C)</f>
        <v>Clothing</v>
      </c>
    </row>
    <row r="1888" spans="1:12" x14ac:dyDescent="0.3">
      <c r="A1888">
        <v>1887</v>
      </c>
      <c r="B1888">
        <v>1171</v>
      </c>
      <c r="C1888">
        <v>75</v>
      </c>
      <c r="D1888" t="s">
        <v>838</v>
      </c>
      <c r="E1888">
        <f t="shared" si="87"/>
        <v>2023</v>
      </c>
      <c r="F1888" t="str">
        <f t="shared" si="88"/>
        <v>Mar</v>
      </c>
      <c r="G1888">
        <v>3</v>
      </c>
      <c r="H1888">
        <f>_xlfn.XLOOKUP(C1888,Products!A:A,Products!D:D)</f>
        <v>390.41</v>
      </c>
      <c r="I1888">
        <v>20</v>
      </c>
      <c r="J1888">
        <f t="shared" si="89"/>
        <v>936.98400000000004</v>
      </c>
      <c r="K1888" t="s">
        <v>2017</v>
      </c>
      <c r="L1888" t="str">
        <f>_xlfn.XLOOKUP(Orders[[#This Row],[ProductID]],Products!A:A,Products!C:C)</f>
        <v>Electronics</v>
      </c>
    </row>
    <row r="1889" spans="1:12" x14ac:dyDescent="0.3">
      <c r="A1889">
        <v>1888</v>
      </c>
      <c r="B1889">
        <v>1172</v>
      </c>
      <c r="C1889">
        <v>23</v>
      </c>
      <c r="D1889" t="s">
        <v>2085</v>
      </c>
      <c r="E1889">
        <f t="shared" si="87"/>
        <v>2024</v>
      </c>
      <c r="F1889" t="str">
        <f t="shared" si="88"/>
        <v>Apr</v>
      </c>
      <c r="G1889">
        <v>2</v>
      </c>
      <c r="H1889">
        <f>_xlfn.XLOOKUP(C1889,Products!A:A,Products!D:D)</f>
        <v>258.08</v>
      </c>
      <c r="I1889">
        <v>10</v>
      </c>
      <c r="J1889">
        <f t="shared" si="89"/>
        <v>464.54399999999998</v>
      </c>
      <c r="K1889" t="s">
        <v>2021</v>
      </c>
      <c r="L1889" t="str">
        <f>_xlfn.XLOOKUP(Orders[[#This Row],[ProductID]],Products!A:A,Products!C:C)</f>
        <v>Home</v>
      </c>
    </row>
    <row r="1890" spans="1:12" x14ac:dyDescent="0.3">
      <c r="A1890">
        <v>1889</v>
      </c>
      <c r="B1890">
        <v>1172</v>
      </c>
      <c r="C1890">
        <v>6</v>
      </c>
      <c r="D1890" t="s">
        <v>2217</v>
      </c>
      <c r="E1890">
        <f t="shared" si="87"/>
        <v>2023</v>
      </c>
      <c r="F1890" t="str">
        <f t="shared" si="88"/>
        <v>May</v>
      </c>
      <c r="G1890">
        <v>3</v>
      </c>
      <c r="H1890">
        <f>_xlfn.XLOOKUP(C1890,Products!A:A,Products!D:D)</f>
        <v>719.19</v>
      </c>
      <c r="I1890">
        <v>10</v>
      </c>
      <c r="J1890">
        <f t="shared" si="89"/>
        <v>1941.8130000000001</v>
      </c>
      <c r="K1890" t="s">
        <v>2017</v>
      </c>
      <c r="L1890" t="str">
        <f>_xlfn.XLOOKUP(Orders[[#This Row],[ProductID]],Products!A:A,Products!C:C)</f>
        <v>Clothing</v>
      </c>
    </row>
    <row r="1891" spans="1:12" x14ac:dyDescent="0.3">
      <c r="A1891">
        <v>1890</v>
      </c>
      <c r="B1891">
        <v>1172</v>
      </c>
      <c r="C1891">
        <v>15</v>
      </c>
      <c r="D1891" t="s">
        <v>2240</v>
      </c>
      <c r="E1891">
        <f t="shared" si="87"/>
        <v>2023</v>
      </c>
      <c r="F1891" t="str">
        <f t="shared" si="88"/>
        <v>Dec</v>
      </c>
      <c r="G1891">
        <v>1</v>
      </c>
      <c r="H1891">
        <f>_xlfn.XLOOKUP(C1891,Products!A:A,Products!D:D)</f>
        <v>1183.2</v>
      </c>
      <c r="I1891">
        <v>0</v>
      </c>
      <c r="J1891">
        <f t="shared" si="89"/>
        <v>1183.2</v>
      </c>
      <c r="K1891" t="s">
        <v>2021</v>
      </c>
      <c r="L1891" t="str">
        <f>_xlfn.XLOOKUP(Orders[[#This Row],[ProductID]],Products!A:A,Products!C:C)</f>
        <v>Electronics</v>
      </c>
    </row>
    <row r="1892" spans="1:12" x14ac:dyDescent="0.3">
      <c r="A1892">
        <v>1891</v>
      </c>
      <c r="B1892">
        <v>1172</v>
      </c>
      <c r="C1892">
        <v>62</v>
      </c>
      <c r="D1892" t="s">
        <v>1470</v>
      </c>
      <c r="E1892">
        <f t="shared" si="87"/>
        <v>2023</v>
      </c>
      <c r="F1892" t="str">
        <f t="shared" si="88"/>
        <v>Sep</v>
      </c>
      <c r="G1892">
        <v>1</v>
      </c>
      <c r="H1892">
        <f>_xlfn.XLOOKUP(C1892,Products!A:A,Products!D:D)</f>
        <v>196.96</v>
      </c>
      <c r="I1892">
        <v>0</v>
      </c>
      <c r="J1892">
        <f t="shared" si="89"/>
        <v>196.96</v>
      </c>
      <c r="K1892" t="s">
        <v>2017</v>
      </c>
      <c r="L1892" t="str">
        <f>_xlfn.XLOOKUP(Orders[[#This Row],[ProductID]],Products!A:A,Products!C:C)</f>
        <v>Electronics</v>
      </c>
    </row>
    <row r="1893" spans="1:12" x14ac:dyDescent="0.3">
      <c r="A1893">
        <v>1892</v>
      </c>
      <c r="B1893">
        <v>1172</v>
      </c>
      <c r="C1893">
        <v>23</v>
      </c>
      <c r="D1893" t="s">
        <v>2226</v>
      </c>
      <c r="E1893">
        <f t="shared" si="87"/>
        <v>2024</v>
      </c>
      <c r="F1893" t="str">
        <f t="shared" si="88"/>
        <v>Jan</v>
      </c>
      <c r="G1893">
        <v>2</v>
      </c>
      <c r="H1893">
        <f>_xlfn.XLOOKUP(C1893,Products!A:A,Products!D:D)</f>
        <v>258.08</v>
      </c>
      <c r="I1893">
        <v>0</v>
      </c>
      <c r="J1893">
        <f t="shared" si="89"/>
        <v>516.16</v>
      </c>
      <c r="K1893" t="s">
        <v>2024</v>
      </c>
      <c r="L1893" t="str">
        <f>_xlfn.XLOOKUP(Orders[[#This Row],[ProductID]],Products!A:A,Products!C:C)</f>
        <v>Home</v>
      </c>
    </row>
    <row r="1894" spans="1:12" x14ac:dyDescent="0.3">
      <c r="A1894">
        <v>1893</v>
      </c>
      <c r="B1894">
        <v>1172</v>
      </c>
      <c r="C1894">
        <v>24</v>
      </c>
      <c r="D1894" t="s">
        <v>1726</v>
      </c>
      <c r="E1894">
        <f t="shared" si="87"/>
        <v>2023</v>
      </c>
      <c r="F1894" t="str">
        <f t="shared" si="88"/>
        <v>Apr</v>
      </c>
      <c r="G1894">
        <v>2</v>
      </c>
      <c r="H1894">
        <f>_xlfn.XLOOKUP(C1894,Products!A:A,Products!D:D)</f>
        <v>1019.85</v>
      </c>
      <c r="I1894">
        <v>20</v>
      </c>
      <c r="J1894">
        <f t="shared" si="89"/>
        <v>1631.7600000000002</v>
      </c>
      <c r="K1894" t="s">
        <v>2017</v>
      </c>
      <c r="L1894" t="str">
        <f>_xlfn.XLOOKUP(Orders[[#This Row],[ProductID]],Products!A:A,Products!C:C)</f>
        <v>Beauty</v>
      </c>
    </row>
    <row r="1895" spans="1:12" x14ac:dyDescent="0.3">
      <c r="A1895">
        <v>1894</v>
      </c>
      <c r="B1895">
        <v>1172</v>
      </c>
      <c r="C1895">
        <v>30</v>
      </c>
      <c r="D1895" t="s">
        <v>2046</v>
      </c>
      <c r="E1895">
        <f t="shared" si="87"/>
        <v>2024</v>
      </c>
      <c r="F1895" t="str">
        <f t="shared" si="88"/>
        <v>Jan</v>
      </c>
      <c r="G1895">
        <v>2</v>
      </c>
      <c r="H1895">
        <f>_xlfn.XLOOKUP(C1895,Products!A:A,Products!D:D)</f>
        <v>866.89</v>
      </c>
      <c r="I1895">
        <v>0</v>
      </c>
      <c r="J1895">
        <f t="shared" si="89"/>
        <v>1733.78</v>
      </c>
      <c r="K1895" t="s">
        <v>2019</v>
      </c>
      <c r="L1895" t="str">
        <f>_xlfn.XLOOKUP(Orders[[#This Row],[ProductID]],Products!A:A,Products!C:C)</f>
        <v>Electronics</v>
      </c>
    </row>
    <row r="1896" spans="1:12" x14ac:dyDescent="0.3">
      <c r="A1896">
        <v>1895</v>
      </c>
      <c r="B1896">
        <v>1172</v>
      </c>
      <c r="C1896">
        <v>22</v>
      </c>
      <c r="D1896" t="s">
        <v>1131</v>
      </c>
      <c r="E1896">
        <f t="shared" si="87"/>
        <v>2023</v>
      </c>
      <c r="F1896" t="str">
        <f t="shared" si="88"/>
        <v>Mar</v>
      </c>
      <c r="G1896">
        <v>1</v>
      </c>
      <c r="H1896">
        <f>_xlfn.XLOOKUP(C1896,Products!A:A,Products!D:D)</f>
        <v>373.43</v>
      </c>
      <c r="I1896">
        <v>20</v>
      </c>
      <c r="J1896">
        <f t="shared" si="89"/>
        <v>298.74400000000003</v>
      </c>
      <c r="K1896" t="s">
        <v>2015</v>
      </c>
      <c r="L1896" t="str">
        <f>_xlfn.XLOOKUP(Orders[[#This Row],[ProductID]],Products!A:A,Products!C:C)</f>
        <v>Beauty</v>
      </c>
    </row>
    <row r="1897" spans="1:12" x14ac:dyDescent="0.3">
      <c r="A1897">
        <v>1896</v>
      </c>
      <c r="B1897">
        <v>1173</v>
      </c>
      <c r="C1897">
        <v>4</v>
      </c>
      <c r="D1897" t="s">
        <v>871</v>
      </c>
      <c r="E1897">
        <f t="shared" si="87"/>
        <v>2023</v>
      </c>
      <c r="F1897" t="str">
        <f t="shared" si="88"/>
        <v>Aug</v>
      </c>
      <c r="G1897">
        <v>2</v>
      </c>
      <c r="H1897">
        <f>_xlfn.XLOOKUP(C1897,Products!A:A,Products!D:D)</f>
        <v>800.26</v>
      </c>
      <c r="I1897">
        <v>10</v>
      </c>
      <c r="J1897">
        <f t="shared" si="89"/>
        <v>1440.4680000000001</v>
      </c>
      <c r="K1897" t="s">
        <v>2017</v>
      </c>
      <c r="L1897" t="str">
        <f>_xlfn.XLOOKUP(Orders[[#This Row],[ProductID]],Products!A:A,Products!C:C)</f>
        <v>Electronics</v>
      </c>
    </row>
    <row r="1898" spans="1:12" x14ac:dyDescent="0.3">
      <c r="A1898">
        <v>1897</v>
      </c>
      <c r="B1898">
        <v>1173</v>
      </c>
      <c r="C1898">
        <v>3</v>
      </c>
      <c r="D1898" t="s">
        <v>2204</v>
      </c>
      <c r="E1898">
        <f t="shared" si="87"/>
        <v>2023</v>
      </c>
      <c r="F1898" t="str">
        <f t="shared" si="88"/>
        <v>Dec</v>
      </c>
      <c r="G1898">
        <v>3</v>
      </c>
      <c r="H1898">
        <f>_xlfn.XLOOKUP(C1898,Products!A:A,Products!D:D)</f>
        <v>506.08</v>
      </c>
      <c r="I1898">
        <v>10</v>
      </c>
      <c r="J1898">
        <f t="shared" si="89"/>
        <v>1366.4159999999999</v>
      </c>
      <c r="K1898" t="s">
        <v>2015</v>
      </c>
      <c r="L1898" t="str">
        <f>_xlfn.XLOOKUP(Orders[[#This Row],[ProductID]],Products!A:A,Products!C:C)</f>
        <v>Clothing</v>
      </c>
    </row>
    <row r="1899" spans="1:12" x14ac:dyDescent="0.3">
      <c r="A1899">
        <v>1898</v>
      </c>
      <c r="B1899">
        <v>1173</v>
      </c>
      <c r="C1899">
        <v>14</v>
      </c>
      <c r="D1899" t="s">
        <v>2120</v>
      </c>
      <c r="E1899">
        <f t="shared" si="87"/>
        <v>2023</v>
      </c>
      <c r="F1899" t="str">
        <f t="shared" si="88"/>
        <v>Aug</v>
      </c>
      <c r="G1899">
        <v>2</v>
      </c>
      <c r="H1899">
        <f>_xlfn.XLOOKUP(C1899,Products!A:A,Products!D:D)</f>
        <v>574.25</v>
      </c>
      <c r="I1899">
        <v>0</v>
      </c>
      <c r="J1899">
        <f t="shared" si="89"/>
        <v>1148.5</v>
      </c>
      <c r="K1899" t="s">
        <v>2024</v>
      </c>
      <c r="L1899" t="str">
        <f>_xlfn.XLOOKUP(Orders[[#This Row],[ProductID]],Products!A:A,Products!C:C)</f>
        <v>Beauty</v>
      </c>
    </row>
    <row r="1900" spans="1:12" x14ac:dyDescent="0.3">
      <c r="A1900">
        <v>1899</v>
      </c>
      <c r="B1900">
        <v>1173</v>
      </c>
      <c r="C1900">
        <v>56</v>
      </c>
      <c r="D1900" t="s">
        <v>667</v>
      </c>
      <c r="E1900">
        <f t="shared" si="87"/>
        <v>2023</v>
      </c>
      <c r="F1900" t="str">
        <f t="shared" si="88"/>
        <v>Oct</v>
      </c>
      <c r="G1900">
        <v>3</v>
      </c>
      <c r="H1900">
        <f>_xlfn.XLOOKUP(C1900,Products!A:A,Products!D:D)</f>
        <v>396.01</v>
      </c>
      <c r="I1900">
        <v>15</v>
      </c>
      <c r="J1900">
        <f t="shared" si="89"/>
        <v>1009.8254999999999</v>
      </c>
      <c r="K1900" t="s">
        <v>2019</v>
      </c>
      <c r="L1900" t="str">
        <f>_xlfn.XLOOKUP(Orders[[#This Row],[ProductID]],Products!A:A,Products!C:C)</f>
        <v>Home</v>
      </c>
    </row>
    <row r="1901" spans="1:12" x14ac:dyDescent="0.3">
      <c r="A1901">
        <v>1900</v>
      </c>
      <c r="B1901">
        <v>1173</v>
      </c>
      <c r="C1901">
        <v>9</v>
      </c>
      <c r="D1901" t="s">
        <v>1473</v>
      </c>
      <c r="E1901">
        <f t="shared" si="87"/>
        <v>2023</v>
      </c>
      <c r="F1901" t="str">
        <f t="shared" si="88"/>
        <v>Feb</v>
      </c>
      <c r="G1901">
        <v>2</v>
      </c>
      <c r="H1901">
        <f>_xlfn.XLOOKUP(C1901,Products!A:A,Products!D:D)</f>
        <v>43.26</v>
      </c>
      <c r="I1901">
        <v>10</v>
      </c>
      <c r="J1901">
        <f t="shared" si="89"/>
        <v>77.867999999999995</v>
      </c>
      <c r="K1901" t="s">
        <v>2017</v>
      </c>
      <c r="L1901" t="str">
        <f>_xlfn.XLOOKUP(Orders[[#This Row],[ProductID]],Products!A:A,Products!C:C)</f>
        <v>Electronics</v>
      </c>
    </row>
    <row r="1902" spans="1:12" x14ac:dyDescent="0.3">
      <c r="A1902">
        <v>1901</v>
      </c>
      <c r="B1902">
        <v>1173</v>
      </c>
      <c r="C1902">
        <v>52</v>
      </c>
      <c r="D1902" t="s">
        <v>2238</v>
      </c>
      <c r="E1902">
        <f t="shared" si="87"/>
        <v>2023</v>
      </c>
      <c r="F1902" t="str">
        <f t="shared" si="88"/>
        <v>Sep</v>
      </c>
      <c r="G1902">
        <v>1</v>
      </c>
      <c r="H1902">
        <f>_xlfn.XLOOKUP(C1902,Products!A:A,Products!D:D)</f>
        <v>256.76</v>
      </c>
      <c r="I1902">
        <v>5</v>
      </c>
      <c r="J1902">
        <f t="shared" si="89"/>
        <v>243.92199999999997</v>
      </c>
      <c r="K1902" t="s">
        <v>2019</v>
      </c>
      <c r="L1902" t="str">
        <f>_xlfn.XLOOKUP(Orders[[#This Row],[ProductID]],Products!A:A,Products!C:C)</f>
        <v>Home</v>
      </c>
    </row>
    <row r="1903" spans="1:12" x14ac:dyDescent="0.3">
      <c r="A1903">
        <v>1902</v>
      </c>
      <c r="B1903">
        <v>1174</v>
      </c>
      <c r="C1903">
        <v>4</v>
      </c>
      <c r="D1903" t="s">
        <v>648</v>
      </c>
      <c r="E1903">
        <f t="shared" si="87"/>
        <v>2023</v>
      </c>
      <c r="F1903" t="str">
        <f t="shared" si="88"/>
        <v>Mar</v>
      </c>
      <c r="G1903">
        <v>1</v>
      </c>
      <c r="H1903">
        <f>_xlfn.XLOOKUP(C1903,Products!A:A,Products!D:D)</f>
        <v>800.26</v>
      </c>
      <c r="I1903">
        <v>20</v>
      </c>
      <c r="J1903">
        <f t="shared" si="89"/>
        <v>640.20800000000008</v>
      </c>
      <c r="K1903" t="s">
        <v>2021</v>
      </c>
      <c r="L1903" t="str">
        <f>_xlfn.XLOOKUP(Orders[[#This Row],[ProductID]],Products!A:A,Products!C:C)</f>
        <v>Electronics</v>
      </c>
    </row>
    <row r="1904" spans="1:12" x14ac:dyDescent="0.3">
      <c r="A1904">
        <v>1903</v>
      </c>
      <c r="B1904">
        <v>1174</v>
      </c>
      <c r="C1904">
        <v>26</v>
      </c>
      <c r="D1904" t="s">
        <v>1816</v>
      </c>
      <c r="E1904">
        <f t="shared" si="87"/>
        <v>2023</v>
      </c>
      <c r="F1904" t="str">
        <f t="shared" si="88"/>
        <v>Aug</v>
      </c>
      <c r="G1904">
        <v>3</v>
      </c>
      <c r="H1904">
        <f>_xlfn.XLOOKUP(C1904,Products!A:A,Products!D:D)</f>
        <v>272.61</v>
      </c>
      <c r="I1904">
        <v>20</v>
      </c>
      <c r="J1904">
        <f t="shared" si="89"/>
        <v>654.26400000000012</v>
      </c>
      <c r="K1904" t="s">
        <v>2024</v>
      </c>
      <c r="L1904" t="str">
        <f>_xlfn.XLOOKUP(Orders[[#This Row],[ProductID]],Products!A:A,Products!C:C)</f>
        <v>Home</v>
      </c>
    </row>
    <row r="1905" spans="1:12" x14ac:dyDescent="0.3">
      <c r="A1905">
        <v>1904</v>
      </c>
      <c r="B1905">
        <v>1174</v>
      </c>
      <c r="C1905">
        <v>72</v>
      </c>
      <c r="D1905" t="s">
        <v>317</v>
      </c>
      <c r="E1905">
        <f t="shared" si="87"/>
        <v>2023</v>
      </c>
      <c r="F1905" t="str">
        <f t="shared" si="88"/>
        <v>May</v>
      </c>
      <c r="G1905">
        <v>2</v>
      </c>
      <c r="H1905">
        <f>_xlfn.XLOOKUP(C1905,Products!A:A,Products!D:D)</f>
        <v>1157.27</v>
      </c>
      <c r="I1905">
        <v>0</v>
      </c>
      <c r="J1905">
        <f t="shared" si="89"/>
        <v>2314.54</v>
      </c>
      <c r="K1905" t="s">
        <v>2021</v>
      </c>
      <c r="L1905" t="str">
        <f>_xlfn.XLOOKUP(Orders[[#This Row],[ProductID]],Products!A:A,Products!C:C)</f>
        <v>Electronics</v>
      </c>
    </row>
    <row r="1906" spans="1:12" x14ac:dyDescent="0.3">
      <c r="A1906">
        <v>1905</v>
      </c>
      <c r="B1906">
        <v>1174</v>
      </c>
      <c r="C1906">
        <v>75</v>
      </c>
      <c r="D1906" t="s">
        <v>351</v>
      </c>
      <c r="E1906">
        <f t="shared" si="87"/>
        <v>2023</v>
      </c>
      <c r="F1906" t="str">
        <f t="shared" si="88"/>
        <v>Jul</v>
      </c>
      <c r="G1906">
        <v>1</v>
      </c>
      <c r="H1906">
        <f>_xlfn.XLOOKUP(C1906,Products!A:A,Products!D:D)</f>
        <v>390.41</v>
      </c>
      <c r="I1906">
        <v>20</v>
      </c>
      <c r="J1906">
        <f t="shared" si="89"/>
        <v>312.32800000000003</v>
      </c>
      <c r="K1906" t="s">
        <v>2019</v>
      </c>
      <c r="L1906" t="str">
        <f>_xlfn.XLOOKUP(Orders[[#This Row],[ProductID]],Products!A:A,Products!C:C)</f>
        <v>Electronics</v>
      </c>
    </row>
    <row r="1907" spans="1:12" x14ac:dyDescent="0.3">
      <c r="A1907">
        <v>1906</v>
      </c>
      <c r="B1907">
        <v>1174</v>
      </c>
      <c r="C1907">
        <v>30</v>
      </c>
      <c r="D1907" t="s">
        <v>1630</v>
      </c>
      <c r="E1907">
        <f t="shared" si="87"/>
        <v>2023</v>
      </c>
      <c r="F1907" t="str">
        <f t="shared" si="88"/>
        <v>Apr</v>
      </c>
      <c r="G1907">
        <v>1</v>
      </c>
      <c r="H1907">
        <f>_xlfn.XLOOKUP(C1907,Products!A:A,Products!D:D)</f>
        <v>866.89</v>
      </c>
      <c r="I1907">
        <v>10</v>
      </c>
      <c r="J1907">
        <f t="shared" si="89"/>
        <v>780.20100000000002</v>
      </c>
      <c r="K1907" t="s">
        <v>2021</v>
      </c>
      <c r="L1907" t="str">
        <f>_xlfn.XLOOKUP(Orders[[#This Row],[ProductID]],Products!A:A,Products!C:C)</f>
        <v>Electronics</v>
      </c>
    </row>
    <row r="1908" spans="1:12" x14ac:dyDescent="0.3">
      <c r="A1908">
        <v>1907</v>
      </c>
      <c r="B1908">
        <v>1174</v>
      </c>
      <c r="C1908">
        <v>51</v>
      </c>
      <c r="D1908" t="s">
        <v>842</v>
      </c>
      <c r="E1908">
        <f t="shared" si="87"/>
        <v>2023</v>
      </c>
      <c r="F1908" t="str">
        <f t="shared" si="88"/>
        <v>Jan</v>
      </c>
      <c r="G1908">
        <v>2</v>
      </c>
      <c r="H1908">
        <f>_xlfn.XLOOKUP(C1908,Products!A:A,Products!D:D)</f>
        <v>759.57</v>
      </c>
      <c r="I1908">
        <v>0</v>
      </c>
      <c r="J1908">
        <f t="shared" si="89"/>
        <v>1519.14</v>
      </c>
      <c r="K1908" t="s">
        <v>2015</v>
      </c>
      <c r="L1908" t="str">
        <f>_xlfn.XLOOKUP(Orders[[#This Row],[ProductID]],Products!A:A,Products!C:C)</f>
        <v>Beauty</v>
      </c>
    </row>
    <row r="1909" spans="1:12" x14ac:dyDescent="0.3">
      <c r="A1909">
        <v>1908</v>
      </c>
      <c r="B1909">
        <v>1174</v>
      </c>
      <c r="C1909">
        <v>2</v>
      </c>
      <c r="D1909" t="s">
        <v>787</v>
      </c>
      <c r="E1909">
        <f t="shared" si="87"/>
        <v>2023</v>
      </c>
      <c r="F1909" t="str">
        <f t="shared" si="88"/>
        <v>Feb</v>
      </c>
      <c r="G1909">
        <v>3</v>
      </c>
      <c r="H1909">
        <f>_xlfn.XLOOKUP(C1909,Products!A:A,Products!D:D)</f>
        <v>427.27</v>
      </c>
      <c r="I1909">
        <v>10</v>
      </c>
      <c r="J1909">
        <f t="shared" si="89"/>
        <v>1153.6289999999999</v>
      </c>
      <c r="K1909" t="s">
        <v>2015</v>
      </c>
      <c r="L1909" t="str">
        <f>_xlfn.XLOOKUP(Orders[[#This Row],[ProductID]],Products!A:A,Products!C:C)</f>
        <v>Home</v>
      </c>
    </row>
    <row r="1910" spans="1:12" x14ac:dyDescent="0.3">
      <c r="A1910">
        <v>1909</v>
      </c>
      <c r="B1910">
        <v>1175</v>
      </c>
      <c r="C1910">
        <v>68</v>
      </c>
      <c r="D1910" t="s">
        <v>1044</v>
      </c>
      <c r="E1910">
        <f t="shared" si="87"/>
        <v>2023</v>
      </c>
      <c r="F1910" t="str">
        <f t="shared" si="88"/>
        <v>Jan</v>
      </c>
      <c r="G1910">
        <v>2</v>
      </c>
      <c r="H1910">
        <f>_xlfn.XLOOKUP(C1910,Products!A:A,Products!D:D)</f>
        <v>180.99</v>
      </c>
      <c r="I1910">
        <v>5</v>
      </c>
      <c r="J1910">
        <f t="shared" si="89"/>
        <v>343.88100000000003</v>
      </c>
      <c r="K1910" t="s">
        <v>2024</v>
      </c>
      <c r="L1910" t="str">
        <f>_xlfn.XLOOKUP(Orders[[#This Row],[ProductID]],Products!A:A,Products!C:C)</f>
        <v>Clothing</v>
      </c>
    </row>
    <row r="1911" spans="1:12" x14ac:dyDescent="0.3">
      <c r="A1911">
        <v>1910</v>
      </c>
      <c r="B1911">
        <v>1175</v>
      </c>
      <c r="C1911">
        <v>32</v>
      </c>
      <c r="D1911" t="s">
        <v>2239</v>
      </c>
      <c r="E1911">
        <f t="shared" si="87"/>
        <v>2024</v>
      </c>
      <c r="F1911" t="str">
        <f t="shared" si="88"/>
        <v>Mar</v>
      </c>
      <c r="G1911">
        <v>2</v>
      </c>
      <c r="H1911">
        <f>_xlfn.XLOOKUP(C1911,Products!A:A,Products!D:D)</f>
        <v>342.57</v>
      </c>
      <c r="I1911">
        <v>5</v>
      </c>
      <c r="J1911">
        <f t="shared" si="89"/>
        <v>650.88299999999992</v>
      </c>
      <c r="K1911" t="s">
        <v>2021</v>
      </c>
      <c r="L1911" t="str">
        <f>_xlfn.XLOOKUP(Orders[[#This Row],[ProductID]],Products!A:A,Products!C:C)</f>
        <v>Clothing</v>
      </c>
    </row>
    <row r="1912" spans="1:12" x14ac:dyDescent="0.3">
      <c r="A1912">
        <v>1911</v>
      </c>
      <c r="B1912">
        <v>1175</v>
      </c>
      <c r="C1912">
        <v>61</v>
      </c>
      <c r="D1912" t="s">
        <v>1680</v>
      </c>
      <c r="E1912">
        <f t="shared" si="87"/>
        <v>2023</v>
      </c>
      <c r="F1912" t="str">
        <f t="shared" si="88"/>
        <v>Sep</v>
      </c>
      <c r="G1912">
        <v>2</v>
      </c>
      <c r="H1912">
        <f>_xlfn.XLOOKUP(C1912,Products!A:A,Products!D:D)</f>
        <v>498.92</v>
      </c>
      <c r="I1912">
        <v>5</v>
      </c>
      <c r="J1912">
        <f t="shared" si="89"/>
        <v>947.94799999999998</v>
      </c>
      <c r="K1912" t="s">
        <v>2019</v>
      </c>
      <c r="L1912" t="str">
        <f>_xlfn.XLOOKUP(Orders[[#This Row],[ProductID]],Products!A:A,Products!C:C)</f>
        <v>Clothing</v>
      </c>
    </row>
    <row r="1913" spans="1:12" x14ac:dyDescent="0.3">
      <c r="A1913">
        <v>1912</v>
      </c>
      <c r="B1913">
        <v>1175</v>
      </c>
      <c r="C1913">
        <v>23</v>
      </c>
      <c r="D1913" t="s">
        <v>1136</v>
      </c>
      <c r="E1913">
        <f t="shared" si="87"/>
        <v>2023</v>
      </c>
      <c r="F1913" t="str">
        <f t="shared" si="88"/>
        <v>Jul</v>
      </c>
      <c r="G1913">
        <v>3</v>
      </c>
      <c r="H1913">
        <f>_xlfn.XLOOKUP(C1913,Products!A:A,Products!D:D)</f>
        <v>258.08</v>
      </c>
      <c r="I1913">
        <v>20</v>
      </c>
      <c r="J1913">
        <f t="shared" si="89"/>
        <v>619.39200000000005</v>
      </c>
      <c r="K1913" t="s">
        <v>2019</v>
      </c>
      <c r="L1913" t="str">
        <f>_xlfn.XLOOKUP(Orders[[#This Row],[ProductID]],Products!A:A,Products!C:C)</f>
        <v>Home</v>
      </c>
    </row>
    <row r="1914" spans="1:12" x14ac:dyDescent="0.3">
      <c r="A1914">
        <v>1913</v>
      </c>
      <c r="B1914">
        <v>1175</v>
      </c>
      <c r="C1914">
        <v>19</v>
      </c>
      <c r="D1914" t="s">
        <v>2192</v>
      </c>
      <c r="E1914">
        <f t="shared" si="87"/>
        <v>2023</v>
      </c>
      <c r="F1914" t="str">
        <f t="shared" si="88"/>
        <v>Dec</v>
      </c>
      <c r="G1914">
        <v>1</v>
      </c>
      <c r="H1914">
        <f>_xlfn.XLOOKUP(C1914,Products!A:A,Products!D:D)</f>
        <v>262.97000000000003</v>
      </c>
      <c r="I1914">
        <v>20</v>
      </c>
      <c r="J1914">
        <f t="shared" si="89"/>
        <v>210.37600000000003</v>
      </c>
      <c r="K1914" t="s">
        <v>2021</v>
      </c>
      <c r="L1914" t="str">
        <f>_xlfn.XLOOKUP(Orders[[#This Row],[ProductID]],Products!A:A,Products!C:C)</f>
        <v>Beauty</v>
      </c>
    </row>
    <row r="1915" spans="1:12" x14ac:dyDescent="0.3">
      <c r="A1915">
        <v>1914</v>
      </c>
      <c r="B1915">
        <v>1175</v>
      </c>
      <c r="C1915">
        <v>9</v>
      </c>
      <c r="D1915" t="s">
        <v>1680</v>
      </c>
      <c r="E1915">
        <f t="shared" si="87"/>
        <v>2023</v>
      </c>
      <c r="F1915" t="str">
        <f t="shared" si="88"/>
        <v>Sep</v>
      </c>
      <c r="G1915">
        <v>3</v>
      </c>
      <c r="H1915">
        <f>_xlfn.XLOOKUP(C1915,Products!A:A,Products!D:D)</f>
        <v>43.26</v>
      </c>
      <c r="I1915">
        <v>0</v>
      </c>
      <c r="J1915">
        <f t="shared" si="89"/>
        <v>129.78</v>
      </c>
      <c r="K1915" t="s">
        <v>2015</v>
      </c>
      <c r="L1915" t="str">
        <f>_xlfn.XLOOKUP(Orders[[#This Row],[ProductID]],Products!A:A,Products!C:C)</f>
        <v>Electronics</v>
      </c>
    </row>
    <row r="1916" spans="1:12" x14ac:dyDescent="0.3">
      <c r="A1916">
        <v>1915</v>
      </c>
      <c r="B1916">
        <v>1175</v>
      </c>
      <c r="C1916">
        <v>22</v>
      </c>
      <c r="D1916" t="s">
        <v>2150</v>
      </c>
      <c r="E1916">
        <f t="shared" si="87"/>
        <v>2023</v>
      </c>
      <c r="F1916" t="str">
        <f t="shared" si="88"/>
        <v>May</v>
      </c>
      <c r="G1916">
        <v>3</v>
      </c>
      <c r="H1916">
        <f>_xlfn.XLOOKUP(C1916,Products!A:A,Products!D:D)</f>
        <v>373.43</v>
      </c>
      <c r="I1916">
        <v>15</v>
      </c>
      <c r="J1916">
        <f t="shared" si="89"/>
        <v>952.24649999999997</v>
      </c>
      <c r="K1916" t="s">
        <v>2024</v>
      </c>
      <c r="L1916" t="str">
        <f>_xlfn.XLOOKUP(Orders[[#This Row],[ProductID]],Products!A:A,Products!C:C)</f>
        <v>Beauty</v>
      </c>
    </row>
    <row r="1917" spans="1:12" x14ac:dyDescent="0.3">
      <c r="A1917">
        <v>1916</v>
      </c>
      <c r="B1917">
        <v>1175</v>
      </c>
      <c r="C1917">
        <v>29</v>
      </c>
      <c r="D1917" t="s">
        <v>2052</v>
      </c>
      <c r="E1917">
        <f t="shared" si="87"/>
        <v>2024</v>
      </c>
      <c r="F1917" t="str">
        <f t="shared" si="88"/>
        <v>Feb</v>
      </c>
      <c r="G1917">
        <v>2</v>
      </c>
      <c r="H1917">
        <f>_xlfn.XLOOKUP(C1917,Products!A:A,Products!D:D)</f>
        <v>757</v>
      </c>
      <c r="I1917">
        <v>15</v>
      </c>
      <c r="J1917">
        <f t="shared" si="89"/>
        <v>1286.8999999999999</v>
      </c>
      <c r="K1917" t="s">
        <v>2019</v>
      </c>
      <c r="L1917" t="str">
        <f>_xlfn.XLOOKUP(Orders[[#This Row],[ProductID]],Products!A:A,Products!C:C)</f>
        <v>Clothing</v>
      </c>
    </row>
    <row r="1918" spans="1:12" x14ac:dyDescent="0.3">
      <c r="A1918">
        <v>1917</v>
      </c>
      <c r="B1918">
        <v>1176</v>
      </c>
      <c r="C1918">
        <v>56</v>
      </c>
      <c r="D1918" t="s">
        <v>858</v>
      </c>
      <c r="E1918">
        <f t="shared" si="87"/>
        <v>2023</v>
      </c>
      <c r="F1918" t="str">
        <f t="shared" si="88"/>
        <v>Jan</v>
      </c>
      <c r="G1918">
        <v>2</v>
      </c>
      <c r="H1918">
        <f>_xlfn.XLOOKUP(C1918,Products!A:A,Products!D:D)</f>
        <v>396.01</v>
      </c>
      <c r="I1918">
        <v>15</v>
      </c>
      <c r="J1918">
        <f t="shared" si="89"/>
        <v>673.21699999999998</v>
      </c>
      <c r="K1918" t="s">
        <v>2019</v>
      </c>
      <c r="L1918" t="str">
        <f>_xlfn.XLOOKUP(Orders[[#This Row],[ProductID]],Products!A:A,Products!C:C)</f>
        <v>Home</v>
      </c>
    </row>
    <row r="1919" spans="1:12" x14ac:dyDescent="0.3">
      <c r="A1919">
        <v>1918</v>
      </c>
      <c r="B1919">
        <v>1176</v>
      </c>
      <c r="C1919">
        <v>25</v>
      </c>
      <c r="D1919" t="s">
        <v>2202</v>
      </c>
      <c r="E1919">
        <f t="shared" si="87"/>
        <v>2023</v>
      </c>
      <c r="F1919" t="str">
        <f t="shared" si="88"/>
        <v>Dec</v>
      </c>
      <c r="G1919">
        <v>3</v>
      </c>
      <c r="H1919">
        <f>_xlfn.XLOOKUP(C1919,Products!A:A,Products!D:D)</f>
        <v>1011.65</v>
      </c>
      <c r="I1919">
        <v>10</v>
      </c>
      <c r="J1919">
        <f t="shared" si="89"/>
        <v>2731.4549999999999</v>
      </c>
      <c r="K1919" t="s">
        <v>2017</v>
      </c>
      <c r="L1919" t="str">
        <f>_xlfn.XLOOKUP(Orders[[#This Row],[ProductID]],Products!A:A,Products!C:C)</f>
        <v>Electronics</v>
      </c>
    </row>
    <row r="1920" spans="1:12" x14ac:dyDescent="0.3">
      <c r="A1920">
        <v>1919</v>
      </c>
      <c r="B1920">
        <v>1176</v>
      </c>
      <c r="C1920">
        <v>58</v>
      </c>
      <c r="D1920" t="s">
        <v>912</v>
      </c>
      <c r="E1920">
        <f t="shared" si="87"/>
        <v>2023</v>
      </c>
      <c r="F1920" t="str">
        <f t="shared" si="88"/>
        <v>Nov</v>
      </c>
      <c r="G1920">
        <v>1</v>
      </c>
      <c r="H1920">
        <f>_xlfn.XLOOKUP(C1920,Products!A:A,Products!D:D)</f>
        <v>334.98</v>
      </c>
      <c r="I1920">
        <v>5</v>
      </c>
      <c r="J1920">
        <f t="shared" si="89"/>
        <v>318.23099999999999</v>
      </c>
      <c r="K1920" t="s">
        <v>2017</v>
      </c>
      <c r="L1920" t="str">
        <f>_xlfn.XLOOKUP(Orders[[#This Row],[ProductID]],Products!A:A,Products!C:C)</f>
        <v>Home</v>
      </c>
    </row>
    <row r="1921" spans="1:12" x14ac:dyDescent="0.3">
      <c r="A1921">
        <v>1920</v>
      </c>
      <c r="B1921">
        <v>1176</v>
      </c>
      <c r="C1921">
        <v>79</v>
      </c>
      <c r="D1921" t="s">
        <v>2081</v>
      </c>
      <c r="E1921">
        <f t="shared" si="87"/>
        <v>2024</v>
      </c>
      <c r="F1921" t="str">
        <f t="shared" si="88"/>
        <v>May</v>
      </c>
      <c r="G1921">
        <v>3</v>
      </c>
      <c r="H1921">
        <f>_xlfn.XLOOKUP(C1921,Products!A:A,Products!D:D)</f>
        <v>488.34</v>
      </c>
      <c r="I1921">
        <v>15</v>
      </c>
      <c r="J1921">
        <f t="shared" si="89"/>
        <v>1245.2670000000001</v>
      </c>
      <c r="K1921" t="s">
        <v>2021</v>
      </c>
      <c r="L1921" t="str">
        <f>_xlfn.XLOOKUP(Orders[[#This Row],[ProductID]],Products!A:A,Products!C:C)</f>
        <v>Electronics</v>
      </c>
    </row>
    <row r="1922" spans="1:12" x14ac:dyDescent="0.3">
      <c r="A1922">
        <v>1921</v>
      </c>
      <c r="B1922">
        <v>1176</v>
      </c>
      <c r="C1922">
        <v>31</v>
      </c>
      <c r="D1922" t="s">
        <v>1467</v>
      </c>
      <c r="E1922">
        <f t="shared" si="87"/>
        <v>2023</v>
      </c>
      <c r="F1922" t="str">
        <f t="shared" si="88"/>
        <v>Nov</v>
      </c>
      <c r="G1922">
        <v>3</v>
      </c>
      <c r="H1922">
        <f>_xlfn.XLOOKUP(C1922,Products!A:A,Products!D:D)</f>
        <v>131.79</v>
      </c>
      <c r="I1922">
        <v>10</v>
      </c>
      <c r="J1922">
        <f t="shared" si="89"/>
        <v>355.83300000000003</v>
      </c>
      <c r="K1922" t="s">
        <v>2017</v>
      </c>
      <c r="L1922" t="str">
        <f>_xlfn.XLOOKUP(Orders[[#This Row],[ProductID]],Products!A:A,Products!C:C)</f>
        <v>Beauty</v>
      </c>
    </row>
    <row r="1923" spans="1:12" x14ac:dyDescent="0.3">
      <c r="A1923">
        <v>1922</v>
      </c>
      <c r="B1923">
        <v>1177</v>
      </c>
      <c r="C1923">
        <v>10</v>
      </c>
      <c r="D1923" t="s">
        <v>829</v>
      </c>
      <c r="E1923">
        <f t="shared" ref="E1923:E1986" si="90">YEAR(D1923)</f>
        <v>2023</v>
      </c>
      <c r="F1923" t="str">
        <f t="shared" ref="F1923:F1986" si="91">TEXT(D1923,"mmm")</f>
        <v>Aug</v>
      </c>
      <c r="G1923">
        <v>3</v>
      </c>
      <c r="H1923">
        <f>_xlfn.XLOOKUP(C1923,Products!A:A,Products!D:D)</f>
        <v>64.11</v>
      </c>
      <c r="I1923">
        <v>0</v>
      </c>
      <c r="J1923">
        <f t="shared" ref="J1923:J1986" si="92">G1923*H1923*(1-I1923/100)</f>
        <v>192.32999999999998</v>
      </c>
      <c r="K1923" t="s">
        <v>2017</v>
      </c>
      <c r="L1923" t="str">
        <f>_xlfn.XLOOKUP(Orders[[#This Row],[ProductID]],Products!A:A,Products!C:C)</f>
        <v>Clothing</v>
      </c>
    </row>
    <row r="1924" spans="1:12" x14ac:dyDescent="0.3">
      <c r="A1924">
        <v>1923</v>
      </c>
      <c r="B1924">
        <v>1177</v>
      </c>
      <c r="C1924">
        <v>9</v>
      </c>
      <c r="D1924" t="s">
        <v>1317</v>
      </c>
      <c r="E1924">
        <f t="shared" si="90"/>
        <v>2023</v>
      </c>
      <c r="F1924" t="str">
        <f t="shared" si="91"/>
        <v>Oct</v>
      </c>
      <c r="G1924">
        <v>1</v>
      </c>
      <c r="H1924">
        <f>_xlfn.XLOOKUP(C1924,Products!A:A,Products!D:D)</f>
        <v>43.26</v>
      </c>
      <c r="I1924">
        <v>5</v>
      </c>
      <c r="J1924">
        <f t="shared" si="92"/>
        <v>41.096999999999994</v>
      </c>
      <c r="K1924" t="s">
        <v>2019</v>
      </c>
      <c r="L1924" t="str">
        <f>_xlfn.XLOOKUP(Orders[[#This Row],[ProductID]],Products!A:A,Products!C:C)</f>
        <v>Electronics</v>
      </c>
    </row>
    <row r="1925" spans="1:12" x14ac:dyDescent="0.3">
      <c r="A1925">
        <v>1924</v>
      </c>
      <c r="B1925">
        <v>1177</v>
      </c>
      <c r="C1925">
        <v>48</v>
      </c>
      <c r="D1925" t="s">
        <v>2215</v>
      </c>
      <c r="E1925">
        <f t="shared" si="90"/>
        <v>2023</v>
      </c>
      <c r="F1925" t="str">
        <f t="shared" si="91"/>
        <v>May</v>
      </c>
      <c r="G1925">
        <v>2</v>
      </c>
      <c r="H1925">
        <f>_xlfn.XLOOKUP(C1925,Products!A:A,Products!D:D)</f>
        <v>1125.8499999999999</v>
      </c>
      <c r="I1925">
        <v>10</v>
      </c>
      <c r="J1925">
        <f t="shared" si="92"/>
        <v>2026.53</v>
      </c>
      <c r="K1925" t="s">
        <v>2017</v>
      </c>
      <c r="L1925" t="str">
        <f>_xlfn.XLOOKUP(Orders[[#This Row],[ProductID]],Products!A:A,Products!C:C)</f>
        <v>Clothing</v>
      </c>
    </row>
    <row r="1926" spans="1:12" x14ac:dyDescent="0.3">
      <c r="A1926">
        <v>1925</v>
      </c>
      <c r="B1926">
        <v>1177</v>
      </c>
      <c r="C1926">
        <v>44</v>
      </c>
      <c r="D1926" t="s">
        <v>1373</v>
      </c>
      <c r="E1926">
        <f t="shared" si="90"/>
        <v>2023</v>
      </c>
      <c r="F1926" t="str">
        <f t="shared" si="91"/>
        <v>Jun</v>
      </c>
      <c r="G1926">
        <v>3</v>
      </c>
      <c r="H1926">
        <f>_xlfn.XLOOKUP(C1926,Products!A:A,Products!D:D)</f>
        <v>1038</v>
      </c>
      <c r="I1926">
        <v>20</v>
      </c>
      <c r="J1926">
        <f t="shared" si="92"/>
        <v>2491.2000000000003</v>
      </c>
      <c r="K1926" t="s">
        <v>2024</v>
      </c>
      <c r="L1926" t="str">
        <f>_xlfn.XLOOKUP(Orders[[#This Row],[ProductID]],Products!A:A,Products!C:C)</f>
        <v>Home</v>
      </c>
    </row>
    <row r="1927" spans="1:12" x14ac:dyDescent="0.3">
      <c r="A1927">
        <v>1926</v>
      </c>
      <c r="B1927">
        <v>1177</v>
      </c>
      <c r="C1927">
        <v>40</v>
      </c>
      <c r="D1927" t="s">
        <v>2198</v>
      </c>
      <c r="E1927">
        <f t="shared" si="90"/>
        <v>2024</v>
      </c>
      <c r="F1927" t="str">
        <f t="shared" si="91"/>
        <v>Mar</v>
      </c>
      <c r="G1927">
        <v>2</v>
      </c>
      <c r="H1927">
        <f>_xlfn.XLOOKUP(C1927,Products!A:A,Products!D:D)</f>
        <v>316.49</v>
      </c>
      <c r="I1927">
        <v>20</v>
      </c>
      <c r="J1927">
        <f t="shared" si="92"/>
        <v>506.38400000000001</v>
      </c>
      <c r="K1927" t="s">
        <v>2017</v>
      </c>
      <c r="L1927" t="str">
        <f>_xlfn.XLOOKUP(Orders[[#This Row],[ProductID]],Products!A:A,Products!C:C)</f>
        <v>Home</v>
      </c>
    </row>
    <row r="1928" spans="1:12" x14ac:dyDescent="0.3">
      <c r="A1928">
        <v>1927</v>
      </c>
      <c r="B1928">
        <v>1178</v>
      </c>
      <c r="C1928">
        <v>50</v>
      </c>
      <c r="D1928" t="s">
        <v>2140</v>
      </c>
      <c r="E1928">
        <f t="shared" si="90"/>
        <v>2024</v>
      </c>
      <c r="F1928" t="str">
        <f t="shared" si="91"/>
        <v>Jan</v>
      </c>
      <c r="G1928">
        <v>3</v>
      </c>
      <c r="H1928">
        <f>_xlfn.XLOOKUP(C1928,Products!A:A,Products!D:D)</f>
        <v>1122.8699999999999</v>
      </c>
      <c r="I1928">
        <v>20</v>
      </c>
      <c r="J1928">
        <f t="shared" si="92"/>
        <v>2694.8879999999999</v>
      </c>
      <c r="K1928" t="s">
        <v>2015</v>
      </c>
      <c r="L1928" t="str">
        <f>_xlfn.XLOOKUP(Orders[[#This Row],[ProductID]],Products!A:A,Products!C:C)</f>
        <v>Home</v>
      </c>
    </row>
    <row r="1929" spans="1:12" x14ac:dyDescent="0.3">
      <c r="A1929">
        <v>1928</v>
      </c>
      <c r="B1929">
        <v>1178</v>
      </c>
      <c r="C1929">
        <v>78</v>
      </c>
      <c r="D1929" t="s">
        <v>1467</v>
      </c>
      <c r="E1929">
        <f t="shared" si="90"/>
        <v>2023</v>
      </c>
      <c r="F1929" t="str">
        <f t="shared" si="91"/>
        <v>Nov</v>
      </c>
      <c r="G1929">
        <v>3</v>
      </c>
      <c r="H1929">
        <f>_xlfn.XLOOKUP(C1929,Products!A:A,Products!D:D)</f>
        <v>795.77</v>
      </c>
      <c r="I1929">
        <v>20</v>
      </c>
      <c r="J1929">
        <f t="shared" si="92"/>
        <v>1909.848</v>
      </c>
      <c r="K1929" t="s">
        <v>2021</v>
      </c>
      <c r="L1929" t="str">
        <f>_xlfn.XLOOKUP(Orders[[#This Row],[ProductID]],Products!A:A,Products!C:C)</f>
        <v>Beauty</v>
      </c>
    </row>
    <row r="1930" spans="1:12" x14ac:dyDescent="0.3">
      <c r="A1930">
        <v>1929</v>
      </c>
      <c r="B1930">
        <v>1178</v>
      </c>
      <c r="C1930">
        <v>61</v>
      </c>
      <c r="D1930" t="s">
        <v>1909</v>
      </c>
      <c r="E1930">
        <f t="shared" si="90"/>
        <v>2023</v>
      </c>
      <c r="F1930" t="str">
        <f t="shared" si="91"/>
        <v>Jun</v>
      </c>
      <c r="G1930">
        <v>1</v>
      </c>
      <c r="H1930">
        <f>_xlfn.XLOOKUP(C1930,Products!A:A,Products!D:D)</f>
        <v>498.92</v>
      </c>
      <c r="I1930">
        <v>15</v>
      </c>
      <c r="J1930">
        <f t="shared" si="92"/>
        <v>424.08199999999999</v>
      </c>
      <c r="K1930" t="s">
        <v>2024</v>
      </c>
      <c r="L1930" t="str">
        <f>_xlfn.XLOOKUP(Orders[[#This Row],[ProductID]],Products!A:A,Products!C:C)</f>
        <v>Clothing</v>
      </c>
    </row>
    <row r="1931" spans="1:12" x14ac:dyDescent="0.3">
      <c r="A1931">
        <v>1930</v>
      </c>
      <c r="B1931">
        <v>1178</v>
      </c>
      <c r="C1931">
        <v>69</v>
      </c>
      <c r="D1931" t="s">
        <v>1263</v>
      </c>
      <c r="E1931">
        <f t="shared" si="90"/>
        <v>2023</v>
      </c>
      <c r="F1931" t="str">
        <f t="shared" si="91"/>
        <v>Sep</v>
      </c>
      <c r="G1931">
        <v>3</v>
      </c>
      <c r="H1931">
        <f>_xlfn.XLOOKUP(C1931,Products!A:A,Products!D:D)</f>
        <v>951.81</v>
      </c>
      <c r="I1931">
        <v>0</v>
      </c>
      <c r="J1931">
        <f t="shared" si="92"/>
        <v>2855.43</v>
      </c>
      <c r="K1931" t="s">
        <v>2024</v>
      </c>
      <c r="L1931" t="str">
        <f>_xlfn.XLOOKUP(Orders[[#This Row],[ProductID]],Products!A:A,Products!C:C)</f>
        <v>Clothing</v>
      </c>
    </row>
    <row r="1932" spans="1:12" x14ac:dyDescent="0.3">
      <c r="A1932">
        <v>1931</v>
      </c>
      <c r="B1932">
        <v>1178</v>
      </c>
      <c r="C1932">
        <v>35</v>
      </c>
      <c r="D1932" t="s">
        <v>2134</v>
      </c>
      <c r="E1932">
        <f t="shared" si="90"/>
        <v>2024</v>
      </c>
      <c r="F1932" t="str">
        <f t="shared" si="91"/>
        <v>Apr</v>
      </c>
      <c r="G1932">
        <v>2</v>
      </c>
      <c r="H1932">
        <f>_xlfn.XLOOKUP(C1932,Products!A:A,Products!D:D)</f>
        <v>958.87</v>
      </c>
      <c r="I1932">
        <v>10</v>
      </c>
      <c r="J1932">
        <f t="shared" si="92"/>
        <v>1725.9660000000001</v>
      </c>
      <c r="K1932" t="s">
        <v>2015</v>
      </c>
      <c r="L1932" t="str">
        <f>_xlfn.XLOOKUP(Orders[[#This Row],[ProductID]],Products!A:A,Products!C:C)</f>
        <v>Clothing</v>
      </c>
    </row>
    <row r="1933" spans="1:12" x14ac:dyDescent="0.3">
      <c r="A1933">
        <v>1932</v>
      </c>
      <c r="B1933">
        <v>1178</v>
      </c>
      <c r="C1933">
        <v>66</v>
      </c>
      <c r="D1933" t="s">
        <v>2117</v>
      </c>
      <c r="E1933">
        <f t="shared" si="90"/>
        <v>2023</v>
      </c>
      <c r="F1933" t="str">
        <f t="shared" si="91"/>
        <v>Apr</v>
      </c>
      <c r="G1933">
        <v>2</v>
      </c>
      <c r="H1933">
        <f>_xlfn.XLOOKUP(C1933,Products!A:A,Products!D:D)</f>
        <v>783.37</v>
      </c>
      <c r="I1933">
        <v>10</v>
      </c>
      <c r="J1933">
        <f t="shared" si="92"/>
        <v>1410.066</v>
      </c>
      <c r="K1933" t="s">
        <v>2021</v>
      </c>
      <c r="L1933" t="str">
        <f>_xlfn.XLOOKUP(Orders[[#This Row],[ProductID]],Products!A:A,Products!C:C)</f>
        <v>Home</v>
      </c>
    </row>
    <row r="1934" spans="1:12" x14ac:dyDescent="0.3">
      <c r="A1934">
        <v>1933</v>
      </c>
      <c r="B1934">
        <v>1178</v>
      </c>
      <c r="C1934">
        <v>73</v>
      </c>
      <c r="D1934" t="s">
        <v>1706</v>
      </c>
      <c r="E1934">
        <f t="shared" si="90"/>
        <v>2023</v>
      </c>
      <c r="F1934" t="str">
        <f t="shared" si="91"/>
        <v>Apr</v>
      </c>
      <c r="G1934">
        <v>2</v>
      </c>
      <c r="H1934">
        <f>_xlfn.XLOOKUP(C1934,Products!A:A,Products!D:D)</f>
        <v>943.04</v>
      </c>
      <c r="I1934">
        <v>10</v>
      </c>
      <c r="J1934">
        <f t="shared" si="92"/>
        <v>1697.472</v>
      </c>
      <c r="K1934" t="s">
        <v>2021</v>
      </c>
      <c r="L1934" t="str">
        <f>_xlfn.XLOOKUP(Orders[[#This Row],[ProductID]],Products!A:A,Products!C:C)</f>
        <v>Home</v>
      </c>
    </row>
    <row r="1935" spans="1:12" x14ac:dyDescent="0.3">
      <c r="A1935">
        <v>1934</v>
      </c>
      <c r="B1935">
        <v>1178</v>
      </c>
      <c r="C1935">
        <v>43</v>
      </c>
      <c r="D1935" t="s">
        <v>1026</v>
      </c>
      <c r="E1935">
        <f t="shared" si="90"/>
        <v>2023</v>
      </c>
      <c r="F1935" t="str">
        <f t="shared" si="91"/>
        <v>Sep</v>
      </c>
      <c r="G1935">
        <v>3</v>
      </c>
      <c r="H1935">
        <f>_xlfn.XLOOKUP(C1935,Products!A:A,Products!D:D)</f>
        <v>760.86</v>
      </c>
      <c r="I1935">
        <v>15</v>
      </c>
      <c r="J1935">
        <f t="shared" si="92"/>
        <v>1940.193</v>
      </c>
      <c r="K1935" t="s">
        <v>2024</v>
      </c>
      <c r="L1935" t="str">
        <f>_xlfn.XLOOKUP(Orders[[#This Row],[ProductID]],Products!A:A,Products!C:C)</f>
        <v>Electronics</v>
      </c>
    </row>
    <row r="1936" spans="1:12" x14ac:dyDescent="0.3">
      <c r="A1936">
        <v>1935</v>
      </c>
      <c r="B1936">
        <v>1179</v>
      </c>
      <c r="C1936">
        <v>34</v>
      </c>
      <c r="D1936" t="s">
        <v>1467</v>
      </c>
      <c r="E1936">
        <f t="shared" si="90"/>
        <v>2023</v>
      </c>
      <c r="F1936" t="str">
        <f t="shared" si="91"/>
        <v>Nov</v>
      </c>
      <c r="G1936">
        <v>2</v>
      </c>
      <c r="H1936">
        <f>_xlfn.XLOOKUP(C1936,Products!A:A,Products!D:D)</f>
        <v>523.98</v>
      </c>
      <c r="I1936">
        <v>5</v>
      </c>
      <c r="J1936">
        <f t="shared" si="92"/>
        <v>995.56200000000001</v>
      </c>
      <c r="K1936" t="s">
        <v>2015</v>
      </c>
      <c r="L1936" t="str">
        <f>_xlfn.XLOOKUP(Orders[[#This Row],[ProductID]],Products!A:A,Products!C:C)</f>
        <v>Home</v>
      </c>
    </row>
    <row r="1937" spans="1:12" x14ac:dyDescent="0.3">
      <c r="A1937">
        <v>1936</v>
      </c>
      <c r="B1937">
        <v>1179</v>
      </c>
      <c r="C1937">
        <v>18</v>
      </c>
      <c r="D1937" t="s">
        <v>2061</v>
      </c>
      <c r="E1937">
        <f t="shared" si="90"/>
        <v>2024</v>
      </c>
      <c r="F1937" t="str">
        <f t="shared" si="91"/>
        <v>Feb</v>
      </c>
      <c r="G1937">
        <v>3</v>
      </c>
      <c r="H1937">
        <f>_xlfn.XLOOKUP(C1937,Products!A:A,Products!D:D)</f>
        <v>138.07</v>
      </c>
      <c r="I1937">
        <v>10</v>
      </c>
      <c r="J1937">
        <f t="shared" si="92"/>
        <v>372.78899999999999</v>
      </c>
      <c r="K1937" t="s">
        <v>2021</v>
      </c>
      <c r="L1937" t="str">
        <f>_xlfn.XLOOKUP(Orders[[#This Row],[ProductID]],Products!A:A,Products!C:C)</f>
        <v>Home</v>
      </c>
    </row>
    <row r="1938" spans="1:12" x14ac:dyDescent="0.3">
      <c r="A1938">
        <v>1937</v>
      </c>
      <c r="B1938">
        <v>1179</v>
      </c>
      <c r="C1938">
        <v>47</v>
      </c>
      <c r="D1938" t="s">
        <v>2111</v>
      </c>
      <c r="E1938">
        <f t="shared" si="90"/>
        <v>2023</v>
      </c>
      <c r="F1938" t="str">
        <f t="shared" si="91"/>
        <v>Dec</v>
      </c>
      <c r="G1938">
        <v>3</v>
      </c>
      <c r="H1938">
        <f>_xlfn.XLOOKUP(C1938,Products!A:A,Products!D:D)</f>
        <v>1126.96</v>
      </c>
      <c r="I1938">
        <v>20</v>
      </c>
      <c r="J1938">
        <f t="shared" si="92"/>
        <v>2704.7040000000002</v>
      </c>
      <c r="K1938" t="s">
        <v>2024</v>
      </c>
      <c r="L1938" t="str">
        <f>_xlfn.XLOOKUP(Orders[[#This Row],[ProductID]],Products!A:A,Products!C:C)</f>
        <v>Beauty</v>
      </c>
    </row>
    <row r="1939" spans="1:12" x14ac:dyDescent="0.3">
      <c r="A1939">
        <v>1938</v>
      </c>
      <c r="B1939">
        <v>1179</v>
      </c>
      <c r="C1939">
        <v>27</v>
      </c>
      <c r="D1939" t="s">
        <v>2032</v>
      </c>
      <c r="E1939">
        <f t="shared" si="90"/>
        <v>2024</v>
      </c>
      <c r="F1939" t="str">
        <f t="shared" si="91"/>
        <v>Feb</v>
      </c>
      <c r="G1939">
        <v>2</v>
      </c>
      <c r="H1939">
        <f>_xlfn.XLOOKUP(C1939,Products!A:A,Products!D:D)</f>
        <v>76.09</v>
      </c>
      <c r="I1939">
        <v>20</v>
      </c>
      <c r="J1939">
        <f t="shared" si="92"/>
        <v>121.74400000000001</v>
      </c>
      <c r="K1939" t="s">
        <v>2015</v>
      </c>
      <c r="L1939" t="str">
        <f>_xlfn.XLOOKUP(Orders[[#This Row],[ProductID]],Products!A:A,Products!C:C)</f>
        <v>Clothing</v>
      </c>
    </row>
    <row r="1940" spans="1:12" x14ac:dyDescent="0.3">
      <c r="A1940">
        <v>1939</v>
      </c>
      <c r="B1940">
        <v>1179</v>
      </c>
      <c r="C1940">
        <v>23</v>
      </c>
      <c r="D1940" t="s">
        <v>838</v>
      </c>
      <c r="E1940">
        <f t="shared" si="90"/>
        <v>2023</v>
      </c>
      <c r="F1940" t="str">
        <f t="shared" si="91"/>
        <v>Mar</v>
      </c>
      <c r="G1940">
        <v>3</v>
      </c>
      <c r="H1940">
        <f>_xlfn.XLOOKUP(C1940,Products!A:A,Products!D:D)</f>
        <v>258.08</v>
      </c>
      <c r="I1940">
        <v>10</v>
      </c>
      <c r="J1940">
        <f t="shared" si="92"/>
        <v>696.81600000000003</v>
      </c>
      <c r="K1940" t="s">
        <v>2021</v>
      </c>
      <c r="L1940" t="str">
        <f>_xlfn.XLOOKUP(Orders[[#This Row],[ProductID]],Products!A:A,Products!C:C)</f>
        <v>Home</v>
      </c>
    </row>
    <row r="1941" spans="1:12" x14ac:dyDescent="0.3">
      <c r="A1941">
        <v>1940</v>
      </c>
      <c r="B1941">
        <v>1179</v>
      </c>
      <c r="C1941">
        <v>27</v>
      </c>
      <c r="D1941" t="s">
        <v>1467</v>
      </c>
      <c r="E1941">
        <f t="shared" si="90"/>
        <v>2023</v>
      </c>
      <c r="F1941" t="str">
        <f t="shared" si="91"/>
        <v>Nov</v>
      </c>
      <c r="G1941">
        <v>3</v>
      </c>
      <c r="H1941">
        <f>_xlfn.XLOOKUP(C1941,Products!A:A,Products!D:D)</f>
        <v>76.09</v>
      </c>
      <c r="I1941">
        <v>10</v>
      </c>
      <c r="J1941">
        <f t="shared" si="92"/>
        <v>205.44300000000001</v>
      </c>
      <c r="K1941" t="s">
        <v>2021</v>
      </c>
      <c r="L1941" t="str">
        <f>_xlfn.XLOOKUP(Orders[[#This Row],[ProductID]],Products!A:A,Products!C:C)</f>
        <v>Clothing</v>
      </c>
    </row>
    <row r="1942" spans="1:12" x14ac:dyDescent="0.3">
      <c r="A1942">
        <v>1941</v>
      </c>
      <c r="B1942">
        <v>1180</v>
      </c>
      <c r="C1942">
        <v>64</v>
      </c>
      <c r="D1942" t="s">
        <v>802</v>
      </c>
      <c r="E1942">
        <f t="shared" si="90"/>
        <v>2023</v>
      </c>
      <c r="F1942" t="str">
        <f t="shared" si="91"/>
        <v>Jul</v>
      </c>
      <c r="G1942">
        <v>1</v>
      </c>
      <c r="H1942">
        <f>_xlfn.XLOOKUP(C1942,Products!A:A,Products!D:D)</f>
        <v>567.71</v>
      </c>
      <c r="I1942">
        <v>15</v>
      </c>
      <c r="J1942">
        <f t="shared" si="92"/>
        <v>482.55350000000004</v>
      </c>
      <c r="K1942" t="s">
        <v>2017</v>
      </c>
      <c r="L1942" t="str">
        <f>_xlfn.XLOOKUP(Orders[[#This Row],[ProductID]],Products!A:A,Products!C:C)</f>
        <v>Clothing</v>
      </c>
    </row>
    <row r="1943" spans="1:12" x14ac:dyDescent="0.3">
      <c r="A1943">
        <v>1942</v>
      </c>
      <c r="B1943">
        <v>1180</v>
      </c>
      <c r="C1943">
        <v>35</v>
      </c>
      <c r="D1943" t="s">
        <v>2232</v>
      </c>
      <c r="E1943">
        <f t="shared" si="90"/>
        <v>2024</v>
      </c>
      <c r="F1943" t="str">
        <f t="shared" si="91"/>
        <v>Apr</v>
      </c>
      <c r="G1943">
        <v>3</v>
      </c>
      <c r="H1943">
        <f>_xlfn.XLOOKUP(C1943,Products!A:A,Products!D:D)</f>
        <v>958.87</v>
      </c>
      <c r="I1943">
        <v>15</v>
      </c>
      <c r="J1943">
        <f t="shared" si="92"/>
        <v>2445.1185</v>
      </c>
      <c r="K1943" t="s">
        <v>2015</v>
      </c>
      <c r="L1943" t="str">
        <f>_xlfn.XLOOKUP(Orders[[#This Row],[ProductID]],Products!A:A,Products!C:C)</f>
        <v>Clothing</v>
      </c>
    </row>
    <row r="1944" spans="1:12" x14ac:dyDescent="0.3">
      <c r="A1944">
        <v>1943</v>
      </c>
      <c r="B1944">
        <v>1180</v>
      </c>
      <c r="C1944">
        <v>44</v>
      </c>
      <c r="D1944" t="s">
        <v>546</v>
      </c>
      <c r="E1944">
        <f t="shared" si="90"/>
        <v>2023</v>
      </c>
      <c r="F1944" t="str">
        <f t="shared" si="91"/>
        <v>Mar</v>
      </c>
      <c r="G1944">
        <v>2</v>
      </c>
      <c r="H1944">
        <f>_xlfn.XLOOKUP(C1944,Products!A:A,Products!D:D)</f>
        <v>1038</v>
      </c>
      <c r="I1944">
        <v>20</v>
      </c>
      <c r="J1944">
        <f t="shared" si="92"/>
        <v>1660.8000000000002</v>
      </c>
      <c r="K1944" t="s">
        <v>2019</v>
      </c>
      <c r="L1944" t="str">
        <f>_xlfn.XLOOKUP(Orders[[#This Row],[ProductID]],Products!A:A,Products!C:C)</f>
        <v>Home</v>
      </c>
    </row>
    <row r="1945" spans="1:12" x14ac:dyDescent="0.3">
      <c r="A1945">
        <v>1944</v>
      </c>
      <c r="B1945">
        <v>1180</v>
      </c>
      <c r="C1945">
        <v>33</v>
      </c>
      <c r="D1945" t="s">
        <v>974</v>
      </c>
      <c r="E1945">
        <f t="shared" si="90"/>
        <v>2023</v>
      </c>
      <c r="F1945" t="str">
        <f t="shared" si="91"/>
        <v>Mar</v>
      </c>
      <c r="G1945">
        <v>2</v>
      </c>
      <c r="H1945">
        <f>_xlfn.XLOOKUP(C1945,Products!A:A,Products!D:D)</f>
        <v>965.4</v>
      </c>
      <c r="I1945">
        <v>20</v>
      </c>
      <c r="J1945">
        <f t="shared" si="92"/>
        <v>1544.64</v>
      </c>
      <c r="K1945" t="s">
        <v>2017</v>
      </c>
      <c r="L1945" t="str">
        <f>_xlfn.XLOOKUP(Orders[[#This Row],[ProductID]],Products!A:A,Products!C:C)</f>
        <v>Beauty</v>
      </c>
    </row>
    <row r="1946" spans="1:12" x14ac:dyDescent="0.3">
      <c r="A1946">
        <v>1945</v>
      </c>
      <c r="B1946">
        <v>1180</v>
      </c>
      <c r="C1946">
        <v>1</v>
      </c>
      <c r="D1946" t="s">
        <v>2130</v>
      </c>
      <c r="E1946">
        <f t="shared" si="90"/>
        <v>2023</v>
      </c>
      <c r="F1946" t="str">
        <f t="shared" si="91"/>
        <v>Feb</v>
      </c>
      <c r="G1946">
        <v>1</v>
      </c>
      <c r="H1946">
        <f>_xlfn.XLOOKUP(C1946,Products!A:A,Products!D:D)</f>
        <v>469.08</v>
      </c>
      <c r="I1946">
        <v>10</v>
      </c>
      <c r="J1946">
        <f t="shared" si="92"/>
        <v>422.17199999999997</v>
      </c>
      <c r="K1946" t="s">
        <v>2017</v>
      </c>
      <c r="L1946" t="str">
        <f>_xlfn.XLOOKUP(Orders[[#This Row],[ProductID]],Products!A:A,Products!C:C)</f>
        <v>Clothing</v>
      </c>
    </row>
    <row r="1947" spans="1:12" x14ac:dyDescent="0.3">
      <c r="A1947">
        <v>1946</v>
      </c>
      <c r="B1947">
        <v>1180</v>
      </c>
      <c r="C1947">
        <v>59</v>
      </c>
      <c r="D1947" t="s">
        <v>2134</v>
      </c>
      <c r="E1947">
        <f t="shared" si="90"/>
        <v>2024</v>
      </c>
      <c r="F1947" t="str">
        <f t="shared" si="91"/>
        <v>Apr</v>
      </c>
      <c r="G1947">
        <v>3</v>
      </c>
      <c r="H1947">
        <f>_xlfn.XLOOKUP(C1947,Products!A:A,Products!D:D)</f>
        <v>782.33</v>
      </c>
      <c r="I1947">
        <v>20</v>
      </c>
      <c r="J1947">
        <f t="shared" si="92"/>
        <v>1877.5920000000003</v>
      </c>
      <c r="K1947" t="s">
        <v>2024</v>
      </c>
      <c r="L1947" t="str">
        <f>_xlfn.XLOOKUP(Orders[[#This Row],[ProductID]],Products!A:A,Products!C:C)</f>
        <v>Clothing</v>
      </c>
    </row>
    <row r="1948" spans="1:12" x14ac:dyDescent="0.3">
      <c r="A1948">
        <v>1947</v>
      </c>
      <c r="B1948">
        <v>1180</v>
      </c>
      <c r="C1948">
        <v>66</v>
      </c>
      <c r="D1948" t="s">
        <v>993</v>
      </c>
      <c r="E1948">
        <f t="shared" si="90"/>
        <v>2023</v>
      </c>
      <c r="F1948" t="str">
        <f t="shared" si="91"/>
        <v>Oct</v>
      </c>
      <c r="G1948">
        <v>2</v>
      </c>
      <c r="H1948">
        <f>_xlfn.XLOOKUP(C1948,Products!A:A,Products!D:D)</f>
        <v>783.37</v>
      </c>
      <c r="I1948">
        <v>5</v>
      </c>
      <c r="J1948">
        <f t="shared" si="92"/>
        <v>1488.403</v>
      </c>
      <c r="K1948" t="s">
        <v>2024</v>
      </c>
      <c r="L1948" t="str">
        <f>_xlfn.XLOOKUP(Orders[[#This Row],[ProductID]],Products!A:A,Products!C:C)</f>
        <v>Home</v>
      </c>
    </row>
    <row r="1949" spans="1:12" x14ac:dyDescent="0.3">
      <c r="A1949">
        <v>1948</v>
      </c>
      <c r="B1949">
        <v>1181</v>
      </c>
      <c r="C1949">
        <v>7</v>
      </c>
      <c r="D1949" t="s">
        <v>761</v>
      </c>
      <c r="E1949">
        <f t="shared" si="90"/>
        <v>2023</v>
      </c>
      <c r="F1949" t="str">
        <f t="shared" si="91"/>
        <v>Aug</v>
      </c>
      <c r="G1949">
        <v>3</v>
      </c>
      <c r="H1949">
        <f>_xlfn.XLOOKUP(C1949,Products!A:A,Products!D:D)</f>
        <v>97.29</v>
      </c>
      <c r="I1949">
        <v>15</v>
      </c>
      <c r="J1949">
        <f t="shared" si="92"/>
        <v>248.08949999999999</v>
      </c>
      <c r="K1949" t="s">
        <v>2015</v>
      </c>
      <c r="L1949" t="str">
        <f>_xlfn.XLOOKUP(Orders[[#This Row],[ProductID]],Products!A:A,Products!C:C)</f>
        <v>Beauty</v>
      </c>
    </row>
    <row r="1950" spans="1:12" x14ac:dyDescent="0.3">
      <c r="A1950">
        <v>1949</v>
      </c>
      <c r="B1950">
        <v>1181</v>
      </c>
      <c r="C1950">
        <v>14</v>
      </c>
      <c r="D1950" t="s">
        <v>148</v>
      </c>
      <c r="E1950">
        <f t="shared" si="90"/>
        <v>2023</v>
      </c>
      <c r="F1950" t="str">
        <f t="shared" si="91"/>
        <v>Sep</v>
      </c>
      <c r="G1950">
        <v>2</v>
      </c>
      <c r="H1950">
        <f>_xlfn.XLOOKUP(C1950,Products!A:A,Products!D:D)</f>
        <v>574.25</v>
      </c>
      <c r="I1950">
        <v>15</v>
      </c>
      <c r="J1950">
        <f t="shared" si="92"/>
        <v>976.22500000000002</v>
      </c>
      <c r="K1950" t="s">
        <v>2024</v>
      </c>
      <c r="L1950" t="str">
        <f>_xlfn.XLOOKUP(Orders[[#This Row],[ProductID]],Products!A:A,Products!C:C)</f>
        <v>Beauty</v>
      </c>
    </row>
    <row r="1951" spans="1:12" x14ac:dyDescent="0.3">
      <c r="A1951">
        <v>1950</v>
      </c>
      <c r="B1951">
        <v>1181</v>
      </c>
      <c r="C1951">
        <v>16</v>
      </c>
      <c r="D1951" t="s">
        <v>1131</v>
      </c>
      <c r="E1951">
        <f t="shared" si="90"/>
        <v>2023</v>
      </c>
      <c r="F1951" t="str">
        <f t="shared" si="91"/>
        <v>Mar</v>
      </c>
      <c r="G1951">
        <v>1</v>
      </c>
      <c r="H1951">
        <f>_xlfn.XLOOKUP(C1951,Products!A:A,Products!D:D)</f>
        <v>693.02</v>
      </c>
      <c r="I1951">
        <v>0</v>
      </c>
      <c r="J1951">
        <f t="shared" si="92"/>
        <v>693.02</v>
      </c>
      <c r="K1951" t="s">
        <v>2024</v>
      </c>
      <c r="L1951" t="str">
        <f>_xlfn.XLOOKUP(Orders[[#This Row],[ProductID]],Products!A:A,Products!C:C)</f>
        <v>Home</v>
      </c>
    </row>
    <row r="1952" spans="1:12" x14ac:dyDescent="0.3">
      <c r="A1952">
        <v>1951</v>
      </c>
      <c r="B1952">
        <v>1181</v>
      </c>
      <c r="C1952">
        <v>7</v>
      </c>
      <c r="D1952" t="s">
        <v>858</v>
      </c>
      <c r="E1952">
        <f t="shared" si="90"/>
        <v>2023</v>
      </c>
      <c r="F1952" t="str">
        <f t="shared" si="91"/>
        <v>Jan</v>
      </c>
      <c r="G1952">
        <v>1</v>
      </c>
      <c r="H1952">
        <f>_xlfn.XLOOKUP(C1952,Products!A:A,Products!D:D)</f>
        <v>97.29</v>
      </c>
      <c r="I1952">
        <v>10</v>
      </c>
      <c r="J1952">
        <f t="shared" si="92"/>
        <v>87.561000000000007</v>
      </c>
      <c r="K1952" t="s">
        <v>2019</v>
      </c>
      <c r="L1952" t="str">
        <f>_xlfn.XLOOKUP(Orders[[#This Row],[ProductID]],Products!A:A,Products!C:C)</f>
        <v>Beauty</v>
      </c>
    </row>
    <row r="1953" spans="1:12" x14ac:dyDescent="0.3">
      <c r="A1953">
        <v>1952</v>
      </c>
      <c r="B1953">
        <v>1181</v>
      </c>
      <c r="C1953">
        <v>71</v>
      </c>
      <c r="D1953" t="s">
        <v>524</v>
      </c>
      <c r="E1953">
        <f t="shared" si="90"/>
        <v>2023</v>
      </c>
      <c r="F1953" t="str">
        <f t="shared" si="91"/>
        <v>Oct</v>
      </c>
      <c r="G1953">
        <v>2</v>
      </c>
      <c r="H1953">
        <f>_xlfn.XLOOKUP(C1953,Products!A:A,Products!D:D)</f>
        <v>780.27</v>
      </c>
      <c r="I1953">
        <v>5</v>
      </c>
      <c r="J1953">
        <f t="shared" si="92"/>
        <v>1482.5129999999999</v>
      </c>
      <c r="K1953" t="s">
        <v>2019</v>
      </c>
      <c r="L1953" t="str">
        <f>_xlfn.XLOOKUP(Orders[[#This Row],[ProductID]],Products!A:A,Products!C:C)</f>
        <v>Electronics</v>
      </c>
    </row>
    <row r="1954" spans="1:12" x14ac:dyDescent="0.3">
      <c r="A1954">
        <v>1953</v>
      </c>
      <c r="B1954">
        <v>1181</v>
      </c>
      <c r="C1954">
        <v>55</v>
      </c>
      <c r="D1954" t="s">
        <v>1588</v>
      </c>
      <c r="E1954">
        <f t="shared" si="90"/>
        <v>2023</v>
      </c>
      <c r="F1954" t="str">
        <f t="shared" si="91"/>
        <v>Apr</v>
      </c>
      <c r="G1954">
        <v>1</v>
      </c>
      <c r="H1954">
        <f>_xlfn.XLOOKUP(C1954,Products!A:A,Products!D:D)</f>
        <v>1016.06</v>
      </c>
      <c r="I1954">
        <v>20</v>
      </c>
      <c r="J1954">
        <f t="shared" si="92"/>
        <v>812.84799999999996</v>
      </c>
      <c r="K1954" t="s">
        <v>2019</v>
      </c>
      <c r="L1954" t="str">
        <f>_xlfn.XLOOKUP(Orders[[#This Row],[ProductID]],Products!A:A,Products!C:C)</f>
        <v>Clothing</v>
      </c>
    </row>
    <row r="1955" spans="1:12" x14ac:dyDescent="0.3">
      <c r="A1955">
        <v>1954</v>
      </c>
      <c r="B1955">
        <v>1181</v>
      </c>
      <c r="C1955">
        <v>2</v>
      </c>
      <c r="D1955" t="s">
        <v>787</v>
      </c>
      <c r="E1955">
        <f t="shared" si="90"/>
        <v>2023</v>
      </c>
      <c r="F1955" t="str">
        <f t="shared" si="91"/>
        <v>Feb</v>
      </c>
      <c r="G1955">
        <v>2</v>
      </c>
      <c r="H1955">
        <f>_xlfn.XLOOKUP(C1955,Products!A:A,Products!D:D)</f>
        <v>427.27</v>
      </c>
      <c r="I1955">
        <v>20</v>
      </c>
      <c r="J1955">
        <f t="shared" si="92"/>
        <v>683.63200000000006</v>
      </c>
      <c r="K1955" t="s">
        <v>2024</v>
      </c>
      <c r="L1955" t="str">
        <f>_xlfn.XLOOKUP(Orders[[#This Row],[ProductID]],Products!A:A,Products!C:C)</f>
        <v>Home</v>
      </c>
    </row>
    <row r="1956" spans="1:12" x14ac:dyDescent="0.3">
      <c r="A1956">
        <v>1955</v>
      </c>
      <c r="B1956">
        <v>1181</v>
      </c>
      <c r="C1956">
        <v>37</v>
      </c>
      <c r="D1956" t="s">
        <v>458</v>
      </c>
      <c r="E1956">
        <f t="shared" si="90"/>
        <v>2023</v>
      </c>
      <c r="F1956" t="str">
        <f t="shared" si="91"/>
        <v>Aug</v>
      </c>
      <c r="G1956">
        <v>1</v>
      </c>
      <c r="H1956">
        <f>_xlfn.XLOOKUP(C1956,Products!A:A,Products!D:D)</f>
        <v>968.87</v>
      </c>
      <c r="I1956">
        <v>5</v>
      </c>
      <c r="J1956">
        <f t="shared" si="92"/>
        <v>920.42649999999992</v>
      </c>
      <c r="K1956" t="s">
        <v>2021</v>
      </c>
      <c r="L1956" t="str">
        <f>_xlfn.XLOOKUP(Orders[[#This Row],[ProductID]],Products!A:A,Products!C:C)</f>
        <v>Home</v>
      </c>
    </row>
    <row r="1957" spans="1:12" x14ac:dyDescent="0.3">
      <c r="A1957">
        <v>1956</v>
      </c>
      <c r="B1957">
        <v>1182</v>
      </c>
      <c r="C1957">
        <v>80</v>
      </c>
      <c r="D1957" t="s">
        <v>460</v>
      </c>
      <c r="E1957">
        <f t="shared" si="90"/>
        <v>2023</v>
      </c>
      <c r="F1957" t="str">
        <f t="shared" si="91"/>
        <v>Nov</v>
      </c>
      <c r="G1957">
        <v>3</v>
      </c>
      <c r="H1957">
        <f>_xlfn.XLOOKUP(C1957,Products!A:A,Products!D:D)</f>
        <v>1014.45</v>
      </c>
      <c r="I1957">
        <v>10</v>
      </c>
      <c r="J1957">
        <f t="shared" si="92"/>
        <v>2739.0150000000003</v>
      </c>
      <c r="K1957" t="s">
        <v>2015</v>
      </c>
      <c r="L1957" t="str">
        <f>_xlfn.XLOOKUP(Orders[[#This Row],[ProductID]],Products!A:A,Products!C:C)</f>
        <v>Beauty</v>
      </c>
    </row>
    <row r="1958" spans="1:12" x14ac:dyDescent="0.3">
      <c r="A1958">
        <v>1957</v>
      </c>
      <c r="B1958">
        <v>1182</v>
      </c>
      <c r="C1958">
        <v>46</v>
      </c>
      <c r="D1958" t="s">
        <v>2098</v>
      </c>
      <c r="E1958">
        <f t="shared" si="90"/>
        <v>2024</v>
      </c>
      <c r="F1958" t="str">
        <f t="shared" si="91"/>
        <v>Mar</v>
      </c>
      <c r="G1958">
        <v>1</v>
      </c>
      <c r="H1958">
        <f>_xlfn.XLOOKUP(C1958,Products!A:A,Products!D:D)</f>
        <v>1155.3</v>
      </c>
      <c r="I1958">
        <v>5</v>
      </c>
      <c r="J1958">
        <f t="shared" si="92"/>
        <v>1097.5349999999999</v>
      </c>
      <c r="K1958" t="s">
        <v>2019</v>
      </c>
      <c r="L1958" t="str">
        <f>_xlfn.XLOOKUP(Orders[[#This Row],[ProductID]],Products!A:A,Products!C:C)</f>
        <v>Beauty</v>
      </c>
    </row>
    <row r="1959" spans="1:12" x14ac:dyDescent="0.3">
      <c r="A1959">
        <v>1958</v>
      </c>
      <c r="B1959">
        <v>1182</v>
      </c>
      <c r="C1959">
        <v>71</v>
      </c>
      <c r="D1959" t="s">
        <v>1513</v>
      </c>
      <c r="E1959">
        <f t="shared" si="90"/>
        <v>2023</v>
      </c>
      <c r="F1959" t="str">
        <f t="shared" si="91"/>
        <v>Oct</v>
      </c>
      <c r="G1959">
        <v>2</v>
      </c>
      <c r="H1959">
        <f>_xlfn.XLOOKUP(C1959,Products!A:A,Products!D:D)</f>
        <v>780.27</v>
      </c>
      <c r="I1959">
        <v>5</v>
      </c>
      <c r="J1959">
        <f t="shared" si="92"/>
        <v>1482.5129999999999</v>
      </c>
      <c r="K1959" t="s">
        <v>2021</v>
      </c>
      <c r="L1959" t="str">
        <f>_xlfn.XLOOKUP(Orders[[#This Row],[ProductID]],Products!A:A,Products!C:C)</f>
        <v>Electronics</v>
      </c>
    </row>
    <row r="1960" spans="1:12" x14ac:dyDescent="0.3">
      <c r="A1960">
        <v>1959</v>
      </c>
      <c r="B1960">
        <v>1182</v>
      </c>
      <c r="C1960">
        <v>50</v>
      </c>
      <c r="D1960" t="s">
        <v>1588</v>
      </c>
      <c r="E1960">
        <f t="shared" si="90"/>
        <v>2023</v>
      </c>
      <c r="F1960" t="str">
        <f t="shared" si="91"/>
        <v>Apr</v>
      </c>
      <c r="G1960">
        <v>3</v>
      </c>
      <c r="H1960">
        <f>_xlfn.XLOOKUP(C1960,Products!A:A,Products!D:D)</f>
        <v>1122.8699999999999</v>
      </c>
      <c r="I1960">
        <v>20</v>
      </c>
      <c r="J1960">
        <f t="shared" si="92"/>
        <v>2694.8879999999999</v>
      </c>
      <c r="K1960" t="s">
        <v>2019</v>
      </c>
      <c r="L1960" t="str">
        <f>_xlfn.XLOOKUP(Orders[[#This Row],[ProductID]],Products!A:A,Products!C:C)</f>
        <v>Home</v>
      </c>
    </row>
    <row r="1961" spans="1:12" x14ac:dyDescent="0.3">
      <c r="A1961">
        <v>1960</v>
      </c>
      <c r="B1961">
        <v>1182</v>
      </c>
      <c r="C1961">
        <v>21</v>
      </c>
      <c r="D1961" t="s">
        <v>520</v>
      </c>
      <c r="E1961">
        <f t="shared" si="90"/>
        <v>2023</v>
      </c>
      <c r="F1961" t="str">
        <f t="shared" si="91"/>
        <v>Feb</v>
      </c>
      <c r="G1961">
        <v>3</v>
      </c>
      <c r="H1961">
        <f>_xlfn.XLOOKUP(C1961,Products!A:A,Products!D:D)</f>
        <v>420.66</v>
      </c>
      <c r="I1961">
        <v>20</v>
      </c>
      <c r="J1961">
        <f t="shared" si="92"/>
        <v>1009.5840000000001</v>
      </c>
      <c r="K1961" t="s">
        <v>2024</v>
      </c>
      <c r="L1961" t="str">
        <f>_xlfn.XLOOKUP(Orders[[#This Row],[ProductID]],Products!A:A,Products!C:C)</f>
        <v>Beauty</v>
      </c>
    </row>
    <row r="1962" spans="1:12" x14ac:dyDescent="0.3">
      <c r="A1962">
        <v>1961</v>
      </c>
      <c r="B1962">
        <v>1182</v>
      </c>
      <c r="C1962">
        <v>63</v>
      </c>
      <c r="D1962" t="s">
        <v>974</v>
      </c>
      <c r="E1962">
        <f t="shared" si="90"/>
        <v>2023</v>
      </c>
      <c r="F1962" t="str">
        <f t="shared" si="91"/>
        <v>Mar</v>
      </c>
      <c r="G1962">
        <v>1</v>
      </c>
      <c r="H1962">
        <f>_xlfn.XLOOKUP(C1962,Products!A:A,Products!D:D)</f>
        <v>309.79000000000002</v>
      </c>
      <c r="I1962">
        <v>5</v>
      </c>
      <c r="J1962">
        <f t="shared" si="92"/>
        <v>294.3005</v>
      </c>
      <c r="K1962" t="s">
        <v>2017</v>
      </c>
      <c r="L1962" t="str">
        <f>_xlfn.XLOOKUP(Orders[[#This Row],[ProductID]],Products!A:A,Products!C:C)</f>
        <v>Electronics</v>
      </c>
    </row>
    <row r="1963" spans="1:12" x14ac:dyDescent="0.3">
      <c r="A1963">
        <v>1962</v>
      </c>
      <c r="B1963">
        <v>1183</v>
      </c>
      <c r="C1963">
        <v>29</v>
      </c>
      <c r="D1963" t="s">
        <v>1450</v>
      </c>
      <c r="E1963">
        <f t="shared" si="90"/>
        <v>2023</v>
      </c>
      <c r="F1963" t="str">
        <f t="shared" si="91"/>
        <v>May</v>
      </c>
      <c r="G1963">
        <v>2</v>
      </c>
      <c r="H1963">
        <f>_xlfn.XLOOKUP(C1963,Products!A:A,Products!D:D)</f>
        <v>757</v>
      </c>
      <c r="I1963">
        <v>20</v>
      </c>
      <c r="J1963">
        <f t="shared" si="92"/>
        <v>1211.2</v>
      </c>
      <c r="K1963" t="s">
        <v>2021</v>
      </c>
      <c r="L1963" t="str">
        <f>_xlfn.XLOOKUP(Orders[[#This Row],[ProductID]],Products!A:A,Products!C:C)</f>
        <v>Clothing</v>
      </c>
    </row>
    <row r="1964" spans="1:12" x14ac:dyDescent="0.3">
      <c r="A1964">
        <v>1963</v>
      </c>
      <c r="B1964">
        <v>1183</v>
      </c>
      <c r="C1964">
        <v>23</v>
      </c>
      <c r="D1964" t="s">
        <v>2184</v>
      </c>
      <c r="E1964">
        <f t="shared" si="90"/>
        <v>2024</v>
      </c>
      <c r="F1964" t="str">
        <f t="shared" si="91"/>
        <v>Apr</v>
      </c>
      <c r="G1964">
        <v>1</v>
      </c>
      <c r="H1964">
        <f>_xlfn.XLOOKUP(C1964,Products!A:A,Products!D:D)</f>
        <v>258.08</v>
      </c>
      <c r="I1964">
        <v>10</v>
      </c>
      <c r="J1964">
        <f t="shared" si="92"/>
        <v>232.27199999999999</v>
      </c>
      <c r="K1964" t="s">
        <v>2019</v>
      </c>
      <c r="L1964" t="str">
        <f>_xlfn.XLOOKUP(Orders[[#This Row],[ProductID]],Products!A:A,Products!C:C)</f>
        <v>Home</v>
      </c>
    </row>
    <row r="1965" spans="1:12" x14ac:dyDescent="0.3">
      <c r="A1965">
        <v>1964</v>
      </c>
      <c r="B1965">
        <v>1183</v>
      </c>
      <c r="C1965">
        <v>1</v>
      </c>
      <c r="D1965" t="s">
        <v>987</v>
      </c>
      <c r="E1965">
        <f t="shared" si="90"/>
        <v>2023</v>
      </c>
      <c r="F1965" t="str">
        <f t="shared" si="91"/>
        <v>May</v>
      </c>
      <c r="G1965">
        <v>3</v>
      </c>
      <c r="H1965">
        <f>_xlfn.XLOOKUP(C1965,Products!A:A,Products!D:D)</f>
        <v>469.08</v>
      </c>
      <c r="I1965">
        <v>10</v>
      </c>
      <c r="J1965">
        <f t="shared" si="92"/>
        <v>1266.5160000000001</v>
      </c>
      <c r="K1965" t="s">
        <v>2017</v>
      </c>
      <c r="L1965" t="str">
        <f>_xlfn.XLOOKUP(Orders[[#This Row],[ProductID]],Products!A:A,Products!C:C)</f>
        <v>Clothing</v>
      </c>
    </row>
    <row r="1966" spans="1:12" x14ac:dyDescent="0.3">
      <c r="A1966">
        <v>1965</v>
      </c>
      <c r="B1966">
        <v>1183</v>
      </c>
      <c r="C1966">
        <v>75</v>
      </c>
      <c r="D1966" t="s">
        <v>2239</v>
      </c>
      <c r="E1966">
        <f t="shared" si="90"/>
        <v>2024</v>
      </c>
      <c r="F1966" t="str">
        <f t="shared" si="91"/>
        <v>Mar</v>
      </c>
      <c r="G1966">
        <v>3</v>
      </c>
      <c r="H1966">
        <f>_xlfn.XLOOKUP(C1966,Products!A:A,Products!D:D)</f>
        <v>390.41</v>
      </c>
      <c r="I1966">
        <v>15</v>
      </c>
      <c r="J1966">
        <f t="shared" si="92"/>
        <v>995.54549999999995</v>
      </c>
      <c r="K1966" t="s">
        <v>2017</v>
      </c>
      <c r="L1966" t="str">
        <f>_xlfn.XLOOKUP(Orders[[#This Row],[ProductID]],Products!A:A,Products!C:C)</f>
        <v>Electronics</v>
      </c>
    </row>
    <row r="1967" spans="1:12" x14ac:dyDescent="0.3">
      <c r="A1967">
        <v>1966</v>
      </c>
      <c r="B1967">
        <v>1183</v>
      </c>
      <c r="C1967">
        <v>28</v>
      </c>
      <c r="D1967" t="s">
        <v>855</v>
      </c>
      <c r="E1967">
        <f t="shared" si="90"/>
        <v>2023</v>
      </c>
      <c r="F1967" t="str">
        <f t="shared" si="91"/>
        <v>Apr</v>
      </c>
      <c r="G1967">
        <v>1</v>
      </c>
      <c r="H1967">
        <f>_xlfn.XLOOKUP(C1967,Products!A:A,Products!D:D)</f>
        <v>494.39</v>
      </c>
      <c r="I1967">
        <v>0</v>
      </c>
      <c r="J1967">
        <f t="shared" si="92"/>
        <v>494.39</v>
      </c>
      <c r="K1967" t="s">
        <v>2017</v>
      </c>
      <c r="L1967" t="str">
        <f>_xlfn.XLOOKUP(Orders[[#This Row],[ProductID]],Products!A:A,Products!C:C)</f>
        <v>Beauty</v>
      </c>
    </row>
    <row r="1968" spans="1:12" x14ac:dyDescent="0.3">
      <c r="A1968">
        <v>1967</v>
      </c>
      <c r="B1968">
        <v>1183</v>
      </c>
      <c r="C1968">
        <v>57</v>
      </c>
      <c r="D1968" t="s">
        <v>2143</v>
      </c>
      <c r="E1968">
        <f t="shared" si="90"/>
        <v>2023</v>
      </c>
      <c r="F1968" t="str">
        <f t="shared" si="91"/>
        <v>Aug</v>
      </c>
      <c r="G1968">
        <v>1</v>
      </c>
      <c r="H1968">
        <f>_xlfn.XLOOKUP(C1968,Products!A:A,Products!D:D)</f>
        <v>768.03</v>
      </c>
      <c r="I1968">
        <v>15</v>
      </c>
      <c r="J1968">
        <f t="shared" si="92"/>
        <v>652.82549999999992</v>
      </c>
      <c r="K1968" t="s">
        <v>2015</v>
      </c>
      <c r="L1968" t="str">
        <f>_xlfn.XLOOKUP(Orders[[#This Row],[ProductID]],Products!A:A,Products!C:C)</f>
        <v>Electronics</v>
      </c>
    </row>
    <row r="1969" spans="1:12" x14ac:dyDescent="0.3">
      <c r="A1969">
        <v>1968</v>
      </c>
      <c r="B1969">
        <v>1183</v>
      </c>
      <c r="C1969">
        <v>49</v>
      </c>
      <c r="D1969" t="s">
        <v>2042</v>
      </c>
      <c r="E1969">
        <f t="shared" si="90"/>
        <v>2023</v>
      </c>
      <c r="F1969" t="str">
        <f t="shared" si="91"/>
        <v>Jan</v>
      </c>
      <c r="G1969">
        <v>3</v>
      </c>
      <c r="H1969">
        <f>_xlfn.XLOOKUP(C1969,Products!A:A,Products!D:D)</f>
        <v>974.54</v>
      </c>
      <c r="I1969">
        <v>10</v>
      </c>
      <c r="J1969">
        <f t="shared" si="92"/>
        <v>2631.2579999999998</v>
      </c>
      <c r="K1969" t="s">
        <v>2021</v>
      </c>
      <c r="L1969" t="str">
        <f>_xlfn.XLOOKUP(Orders[[#This Row],[ProductID]],Products!A:A,Products!C:C)</f>
        <v>Home</v>
      </c>
    </row>
    <row r="1970" spans="1:12" x14ac:dyDescent="0.3">
      <c r="A1970">
        <v>1969</v>
      </c>
      <c r="B1970">
        <v>1183</v>
      </c>
      <c r="C1970">
        <v>63</v>
      </c>
      <c r="D1970" t="s">
        <v>1495</v>
      </c>
      <c r="E1970">
        <f t="shared" si="90"/>
        <v>2023</v>
      </c>
      <c r="F1970" t="str">
        <f t="shared" si="91"/>
        <v>Aug</v>
      </c>
      <c r="G1970">
        <v>3</v>
      </c>
      <c r="H1970">
        <f>_xlfn.XLOOKUP(C1970,Products!A:A,Products!D:D)</f>
        <v>309.79000000000002</v>
      </c>
      <c r="I1970">
        <v>10</v>
      </c>
      <c r="J1970">
        <f t="shared" si="92"/>
        <v>836.43300000000011</v>
      </c>
      <c r="K1970" t="s">
        <v>2024</v>
      </c>
      <c r="L1970" t="str">
        <f>_xlfn.XLOOKUP(Orders[[#This Row],[ProductID]],Products!A:A,Products!C:C)</f>
        <v>Electronics</v>
      </c>
    </row>
    <row r="1971" spans="1:12" x14ac:dyDescent="0.3">
      <c r="A1971">
        <v>1970</v>
      </c>
      <c r="B1971">
        <v>1184</v>
      </c>
      <c r="C1971">
        <v>3</v>
      </c>
      <c r="D1971" t="s">
        <v>290</v>
      </c>
      <c r="E1971">
        <f t="shared" si="90"/>
        <v>2023</v>
      </c>
      <c r="F1971" t="str">
        <f t="shared" si="91"/>
        <v>Sep</v>
      </c>
      <c r="G1971">
        <v>3</v>
      </c>
      <c r="H1971">
        <f>_xlfn.XLOOKUP(C1971,Products!A:A,Products!D:D)</f>
        <v>506.08</v>
      </c>
      <c r="I1971">
        <v>20</v>
      </c>
      <c r="J1971">
        <f t="shared" si="92"/>
        <v>1214.5920000000001</v>
      </c>
      <c r="K1971" t="s">
        <v>2017</v>
      </c>
      <c r="L1971" t="str">
        <f>_xlfn.XLOOKUP(Orders[[#This Row],[ProductID]],Products!A:A,Products!C:C)</f>
        <v>Clothing</v>
      </c>
    </row>
    <row r="1972" spans="1:12" x14ac:dyDescent="0.3">
      <c r="A1972">
        <v>1971</v>
      </c>
      <c r="B1972">
        <v>1184</v>
      </c>
      <c r="C1972">
        <v>57</v>
      </c>
      <c r="D1972" t="s">
        <v>912</v>
      </c>
      <c r="E1972">
        <f t="shared" si="90"/>
        <v>2023</v>
      </c>
      <c r="F1972" t="str">
        <f t="shared" si="91"/>
        <v>Nov</v>
      </c>
      <c r="G1972">
        <v>1</v>
      </c>
      <c r="H1972">
        <f>_xlfn.XLOOKUP(C1972,Products!A:A,Products!D:D)</f>
        <v>768.03</v>
      </c>
      <c r="I1972">
        <v>10</v>
      </c>
      <c r="J1972">
        <f t="shared" si="92"/>
        <v>691.22699999999998</v>
      </c>
      <c r="K1972" t="s">
        <v>2021</v>
      </c>
      <c r="L1972" t="str">
        <f>_xlfn.XLOOKUP(Orders[[#This Row],[ProductID]],Products!A:A,Products!C:C)</f>
        <v>Electronics</v>
      </c>
    </row>
    <row r="1973" spans="1:12" x14ac:dyDescent="0.3">
      <c r="A1973">
        <v>1972</v>
      </c>
      <c r="B1973">
        <v>1184</v>
      </c>
      <c r="C1973">
        <v>10</v>
      </c>
      <c r="D1973" t="s">
        <v>619</v>
      </c>
      <c r="E1973">
        <f t="shared" si="90"/>
        <v>2023</v>
      </c>
      <c r="F1973" t="str">
        <f t="shared" si="91"/>
        <v>Nov</v>
      </c>
      <c r="G1973">
        <v>3</v>
      </c>
      <c r="H1973">
        <f>_xlfn.XLOOKUP(C1973,Products!A:A,Products!D:D)</f>
        <v>64.11</v>
      </c>
      <c r="I1973">
        <v>15</v>
      </c>
      <c r="J1973">
        <f t="shared" si="92"/>
        <v>163.48049999999998</v>
      </c>
      <c r="K1973" t="s">
        <v>2021</v>
      </c>
      <c r="L1973" t="str">
        <f>_xlfn.XLOOKUP(Orders[[#This Row],[ProductID]],Products!A:A,Products!C:C)</f>
        <v>Clothing</v>
      </c>
    </row>
    <row r="1974" spans="1:12" x14ac:dyDescent="0.3">
      <c r="A1974">
        <v>1973</v>
      </c>
      <c r="B1974">
        <v>1184</v>
      </c>
      <c r="C1974">
        <v>52</v>
      </c>
      <c r="D1974" t="s">
        <v>197</v>
      </c>
      <c r="E1974">
        <f t="shared" si="90"/>
        <v>2023</v>
      </c>
      <c r="F1974" t="str">
        <f t="shared" si="91"/>
        <v>Apr</v>
      </c>
      <c r="G1974">
        <v>1</v>
      </c>
      <c r="H1974">
        <f>_xlfn.XLOOKUP(C1974,Products!A:A,Products!D:D)</f>
        <v>256.76</v>
      </c>
      <c r="I1974">
        <v>10</v>
      </c>
      <c r="J1974">
        <f t="shared" si="92"/>
        <v>231.084</v>
      </c>
      <c r="K1974" t="s">
        <v>2024</v>
      </c>
      <c r="L1974" t="str">
        <f>_xlfn.XLOOKUP(Orders[[#This Row],[ProductID]],Products!A:A,Products!C:C)</f>
        <v>Home</v>
      </c>
    </row>
    <row r="1975" spans="1:12" x14ac:dyDescent="0.3">
      <c r="A1975">
        <v>1974</v>
      </c>
      <c r="B1975">
        <v>1184</v>
      </c>
      <c r="C1975">
        <v>52</v>
      </c>
      <c r="D1975" t="s">
        <v>1100</v>
      </c>
      <c r="E1975">
        <f t="shared" si="90"/>
        <v>2023</v>
      </c>
      <c r="F1975" t="str">
        <f t="shared" si="91"/>
        <v>May</v>
      </c>
      <c r="G1975">
        <v>1</v>
      </c>
      <c r="H1975">
        <f>_xlfn.XLOOKUP(C1975,Products!A:A,Products!D:D)</f>
        <v>256.76</v>
      </c>
      <c r="I1975">
        <v>10</v>
      </c>
      <c r="J1975">
        <f t="shared" si="92"/>
        <v>231.084</v>
      </c>
      <c r="K1975" t="s">
        <v>2021</v>
      </c>
      <c r="L1975" t="str">
        <f>_xlfn.XLOOKUP(Orders[[#This Row],[ProductID]],Products!A:A,Products!C:C)</f>
        <v>Home</v>
      </c>
    </row>
    <row r="1976" spans="1:12" x14ac:dyDescent="0.3">
      <c r="A1976">
        <v>1975</v>
      </c>
      <c r="B1976">
        <v>1184</v>
      </c>
      <c r="C1976">
        <v>49</v>
      </c>
      <c r="D1976" t="s">
        <v>619</v>
      </c>
      <c r="E1976">
        <f t="shared" si="90"/>
        <v>2023</v>
      </c>
      <c r="F1976" t="str">
        <f t="shared" si="91"/>
        <v>Nov</v>
      </c>
      <c r="G1976">
        <v>2</v>
      </c>
      <c r="H1976">
        <f>_xlfn.XLOOKUP(C1976,Products!A:A,Products!D:D)</f>
        <v>974.54</v>
      </c>
      <c r="I1976">
        <v>0</v>
      </c>
      <c r="J1976">
        <f t="shared" si="92"/>
        <v>1949.08</v>
      </c>
      <c r="K1976" t="s">
        <v>2015</v>
      </c>
      <c r="L1976" t="str">
        <f>_xlfn.XLOOKUP(Orders[[#This Row],[ProductID]],Products!A:A,Products!C:C)</f>
        <v>Home</v>
      </c>
    </row>
    <row r="1977" spans="1:12" x14ac:dyDescent="0.3">
      <c r="A1977">
        <v>1976</v>
      </c>
      <c r="B1977">
        <v>1184</v>
      </c>
      <c r="C1977">
        <v>32</v>
      </c>
      <c r="D1977" t="s">
        <v>691</v>
      </c>
      <c r="E1977">
        <f t="shared" si="90"/>
        <v>2023</v>
      </c>
      <c r="F1977" t="str">
        <f t="shared" si="91"/>
        <v>Nov</v>
      </c>
      <c r="G1977">
        <v>3</v>
      </c>
      <c r="H1977">
        <f>_xlfn.XLOOKUP(C1977,Products!A:A,Products!D:D)</f>
        <v>342.57</v>
      </c>
      <c r="I1977">
        <v>0</v>
      </c>
      <c r="J1977">
        <f t="shared" si="92"/>
        <v>1027.71</v>
      </c>
      <c r="K1977" t="s">
        <v>2017</v>
      </c>
      <c r="L1977" t="str">
        <f>_xlfn.XLOOKUP(Orders[[#This Row],[ProductID]],Products!A:A,Products!C:C)</f>
        <v>Clothing</v>
      </c>
    </row>
    <row r="1978" spans="1:12" x14ac:dyDescent="0.3">
      <c r="A1978">
        <v>1977</v>
      </c>
      <c r="B1978">
        <v>1184</v>
      </c>
      <c r="C1978">
        <v>3</v>
      </c>
      <c r="D1978" t="s">
        <v>2135</v>
      </c>
      <c r="E1978">
        <f t="shared" si="90"/>
        <v>2023</v>
      </c>
      <c r="F1978" t="str">
        <f t="shared" si="91"/>
        <v>Jul</v>
      </c>
      <c r="G1978">
        <v>3</v>
      </c>
      <c r="H1978">
        <f>_xlfn.XLOOKUP(C1978,Products!A:A,Products!D:D)</f>
        <v>506.08</v>
      </c>
      <c r="I1978">
        <v>10</v>
      </c>
      <c r="J1978">
        <f t="shared" si="92"/>
        <v>1366.4159999999999</v>
      </c>
      <c r="K1978" t="s">
        <v>2024</v>
      </c>
      <c r="L1978" t="str">
        <f>_xlfn.XLOOKUP(Orders[[#This Row],[ProductID]],Products!A:A,Products!C:C)</f>
        <v>Clothing</v>
      </c>
    </row>
    <row r="1979" spans="1:12" x14ac:dyDescent="0.3">
      <c r="A1979">
        <v>1978</v>
      </c>
      <c r="B1979">
        <v>1185</v>
      </c>
      <c r="C1979">
        <v>49</v>
      </c>
      <c r="D1979" t="s">
        <v>2048</v>
      </c>
      <c r="E1979">
        <f t="shared" si="90"/>
        <v>2023</v>
      </c>
      <c r="F1979" t="str">
        <f t="shared" si="91"/>
        <v>Jan</v>
      </c>
      <c r="G1979">
        <v>2</v>
      </c>
      <c r="H1979">
        <f>_xlfn.XLOOKUP(C1979,Products!A:A,Products!D:D)</f>
        <v>974.54</v>
      </c>
      <c r="I1979">
        <v>15</v>
      </c>
      <c r="J1979">
        <f t="shared" si="92"/>
        <v>1656.7179999999998</v>
      </c>
      <c r="K1979" t="s">
        <v>2017</v>
      </c>
      <c r="L1979" t="str">
        <f>_xlfn.XLOOKUP(Orders[[#This Row],[ProductID]],Products!A:A,Products!C:C)</f>
        <v>Home</v>
      </c>
    </row>
    <row r="1980" spans="1:12" x14ac:dyDescent="0.3">
      <c r="A1980">
        <v>1979</v>
      </c>
      <c r="B1980">
        <v>1185</v>
      </c>
      <c r="C1980">
        <v>55</v>
      </c>
      <c r="D1980" t="s">
        <v>1123</v>
      </c>
      <c r="E1980">
        <f t="shared" si="90"/>
        <v>2023</v>
      </c>
      <c r="F1980" t="str">
        <f t="shared" si="91"/>
        <v>Feb</v>
      </c>
      <c r="G1980">
        <v>2</v>
      </c>
      <c r="H1980">
        <f>_xlfn.XLOOKUP(C1980,Products!A:A,Products!D:D)</f>
        <v>1016.06</v>
      </c>
      <c r="I1980">
        <v>10</v>
      </c>
      <c r="J1980">
        <f t="shared" si="92"/>
        <v>1828.9079999999999</v>
      </c>
      <c r="K1980" t="s">
        <v>2024</v>
      </c>
      <c r="L1980" t="str">
        <f>_xlfn.XLOOKUP(Orders[[#This Row],[ProductID]],Products!A:A,Products!C:C)</f>
        <v>Clothing</v>
      </c>
    </row>
    <row r="1981" spans="1:12" x14ac:dyDescent="0.3">
      <c r="A1981">
        <v>1980</v>
      </c>
      <c r="B1981">
        <v>1185</v>
      </c>
      <c r="C1981">
        <v>30</v>
      </c>
      <c r="D1981" t="s">
        <v>1803</v>
      </c>
      <c r="E1981">
        <f t="shared" si="90"/>
        <v>2023</v>
      </c>
      <c r="F1981" t="str">
        <f t="shared" si="91"/>
        <v>May</v>
      </c>
      <c r="G1981">
        <v>2</v>
      </c>
      <c r="H1981">
        <f>_xlfn.XLOOKUP(C1981,Products!A:A,Products!D:D)</f>
        <v>866.89</v>
      </c>
      <c r="I1981">
        <v>10</v>
      </c>
      <c r="J1981">
        <f t="shared" si="92"/>
        <v>1560.402</v>
      </c>
      <c r="K1981" t="s">
        <v>2017</v>
      </c>
      <c r="L1981" t="str">
        <f>_xlfn.XLOOKUP(Orders[[#This Row],[ProductID]],Products!A:A,Products!C:C)</f>
        <v>Electronics</v>
      </c>
    </row>
    <row r="1982" spans="1:12" x14ac:dyDescent="0.3">
      <c r="A1982">
        <v>1981</v>
      </c>
      <c r="B1982">
        <v>1185</v>
      </c>
      <c r="C1982">
        <v>21</v>
      </c>
      <c r="D1982" t="s">
        <v>467</v>
      </c>
      <c r="E1982">
        <f t="shared" si="90"/>
        <v>2023</v>
      </c>
      <c r="F1982" t="str">
        <f t="shared" si="91"/>
        <v>Mar</v>
      </c>
      <c r="G1982">
        <v>1</v>
      </c>
      <c r="H1982">
        <f>_xlfn.XLOOKUP(C1982,Products!A:A,Products!D:D)</f>
        <v>420.66</v>
      </c>
      <c r="I1982">
        <v>20</v>
      </c>
      <c r="J1982">
        <f t="shared" si="92"/>
        <v>336.52800000000002</v>
      </c>
      <c r="K1982" t="s">
        <v>2015</v>
      </c>
      <c r="L1982" t="str">
        <f>_xlfn.XLOOKUP(Orders[[#This Row],[ProductID]],Products!A:A,Products!C:C)</f>
        <v>Beauty</v>
      </c>
    </row>
    <row r="1983" spans="1:12" x14ac:dyDescent="0.3">
      <c r="A1983">
        <v>1982</v>
      </c>
      <c r="B1983">
        <v>1185</v>
      </c>
      <c r="C1983">
        <v>77</v>
      </c>
      <c r="D1983" t="s">
        <v>1294</v>
      </c>
      <c r="E1983">
        <f t="shared" si="90"/>
        <v>2023</v>
      </c>
      <c r="F1983" t="str">
        <f t="shared" si="91"/>
        <v>Sep</v>
      </c>
      <c r="G1983">
        <v>1</v>
      </c>
      <c r="H1983">
        <f>_xlfn.XLOOKUP(C1983,Products!A:A,Products!D:D)</f>
        <v>1078.19</v>
      </c>
      <c r="I1983">
        <v>0</v>
      </c>
      <c r="J1983">
        <f t="shared" si="92"/>
        <v>1078.19</v>
      </c>
      <c r="K1983" t="s">
        <v>2017</v>
      </c>
      <c r="L1983" t="str">
        <f>_xlfn.XLOOKUP(Orders[[#This Row],[ProductID]],Products!A:A,Products!C:C)</f>
        <v>Home</v>
      </c>
    </row>
    <row r="1984" spans="1:12" x14ac:dyDescent="0.3">
      <c r="A1984">
        <v>1983</v>
      </c>
      <c r="B1984">
        <v>1185</v>
      </c>
      <c r="C1984">
        <v>47</v>
      </c>
      <c r="D1984" t="s">
        <v>954</v>
      </c>
      <c r="E1984">
        <f t="shared" si="90"/>
        <v>2023</v>
      </c>
      <c r="F1984" t="str">
        <f t="shared" si="91"/>
        <v>Jan</v>
      </c>
      <c r="G1984">
        <v>1</v>
      </c>
      <c r="H1984">
        <f>_xlfn.XLOOKUP(C1984,Products!A:A,Products!D:D)</f>
        <v>1126.96</v>
      </c>
      <c r="I1984">
        <v>0</v>
      </c>
      <c r="J1984">
        <f t="shared" si="92"/>
        <v>1126.96</v>
      </c>
      <c r="K1984" t="s">
        <v>2021</v>
      </c>
      <c r="L1984" t="str">
        <f>_xlfn.XLOOKUP(Orders[[#This Row],[ProductID]],Products!A:A,Products!C:C)</f>
        <v>Beauty</v>
      </c>
    </row>
    <row r="1985" spans="1:12" x14ac:dyDescent="0.3">
      <c r="A1985">
        <v>1984</v>
      </c>
      <c r="B1985">
        <v>1185</v>
      </c>
      <c r="C1985">
        <v>12</v>
      </c>
      <c r="D1985" t="s">
        <v>214</v>
      </c>
      <c r="E1985">
        <f t="shared" si="90"/>
        <v>2023</v>
      </c>
      <c r="F1985" t="str">
        <f t="shared" si="91"/>
        <v>Nov</v>
      </c>
      <c r="G1985">
        <v>3</v>
      </c>
      <c r="H1985">
        <f>_xlfn.XLOOKUP(C1985,Products!A:A,Products!D:D)</f>
        <v>627.41999999999996</v>
      </c>
      <c r="I1985">
        <v>20</v>
      </c>
      <c r="J1985">
        <f t="shared" si="92"/>
        <v>1505.808</v>
      </c>
      <c r="K1985" t="s">
        <v>2019</v>
      </c>
      <c r="L1985" t="str">
        <f>_xlfn.XLOOKUP(Orders[[#This Row],[ProductID]],Products!A:A,Products!C:C)</f>
        <v>Beauty</v>
      </c>
    </row>
    <row r="1986" spans="1:12" x14ac:dyDescent="0.3">
      <c r="A1986">
        <v>1985</v>
      </c>
      <c r="B1986">
        <v>1186</v>
      </c>
      <c r="C1986">
        <v>33</v>
      </c>
      <c r="D1986" t="s">
        <v>153</v>
      </c>
      <c r="E1986">
        <f t="shared" si="90"/>
        <v>2023</v>
      </c>
      <c r="F1986" t="str">
        <f t="shared" si="91"/>
        <v>Feb</v>
      </c>
      <c r="G1986">
        <v>3</v>
      </c>
      <c r="H1986">
        <f>_xlfn.XLOOKUP(C1986,Products!A:A,Products!D:D)</f>
        <v>965.4</v>
      </c>
      <c r="I1986">
        <v>10</v>
      </c>
      <c r="J1986">
        <f t="shared" si="92"/>
        <v>2606.58</v>
      </c>
      <c r="K1986" t="s">
        <v>2017</v>
      </c>
      <c r="L1986" t="str">
        <f>_xlfn.XLOOKUP(Orders[[#This Row],[ProductID]],Products!A:A,Products!C:C)</f>
        <v>Beauty</v>
      </c>
    </row>
    <row r="1987" spans="1:12" x14ac:dyDescent="0.3">
      <c r="A1987">
        <v>1986</v>
      </c>
      <c r="B1987">
        <v>1186</v>
      </c>
      <c r="C1987">
        <v>20</v>
      </c>
      <c r="D1987" t="s">
        <v>1872</v>
      </c>
      <c r="E1987">
        <f t="shared" ref="E1987:E2050" si="93">YEAR(D1987)</f>
        <v>2023</v>
      </c>
      <c r="F1987" t="str">
        <f t="shared" ref="F1987:F2050" si="94">TEXT(D1987,"mmm")</f>
        <v>May</v>
      </c>
      <c r="G1987">
        <v>1</v>
      </c>
      <c r="H1987">
        <f>_xlfn.XLOOKUP(C1987,Products!A:A,Products!D:D)</f>
        <v>613.27</v>
      </c>
      <c r="I1987">
        <v>15</v>
      </c>
      <c r="J1987">
        <f t="shared" ref="J1987:J2050" si="95">G1987*H1987*(1-I1987/100)</f>
        <v>521.27949999999998</v>
      </c>
      <c r="K1987" t="s">
        <v>2024</v>
      </c>
      <c r="L1987" t="str">
        <f>_xlfn.XLOOKUP(Orders[[#This Row],[ProductID]],Products!A:A,Products!C:C)</f>
        <v>Home</v>
      </c>
    </row>
    <row r="1988" spans="1:12" x14ac:dyDescent="0.3">
      <c r="A1988">
        <v>1987</v>
      </c>
      <c r="B1988">
        <v>1186</v>
      </c>
      <c r="C1988">
        <v>24</v>
      </c>
      <c r="D1988" t="s">
        <v>1068</v>
      </c>
      <c r="E1988">
        <f t="shared" si="93"/>
        <v>2023</v>
      </c>
      <c r="F1988" t="str">
        <f t="shared" si="94"/>
        <v>Apr</v>
      </c>
      <c r="G1988">
        <v>2</v>
      </c>
      <c r="H1988">
        <f>_xlfn.XLOOKUP(C1988,Products!A:A,Products!D:D)</f>
        <v>1019.85</v>
      </c>
      <c r="I1988">
        <v>10</v>
      </c>
      <c r="J1988">
        <f t="shared" si="95"/>
        <v>1835.73</v>
      </c>
      <c r="K1988" t="s">
        <v>2021</v>
      </c>
      <c r="L1988" t="str">
        <f>_xlfn.XLOOKUP(Orders[[#This Row],[ProductID]],Products!A:A,Products!C:C)</f>
        <v>Beauty</v>
      </c>
    </row>
    <row r="1989" spans="1:12" x14ac:dyDescent="0.3">
      <c r="A1989">
        <v>1988</v>
      </c>
      <c r="B1989">
        <v>1186</v>
      </c>
      <c r="C1989">
        <v>67</v>
      </c>
      <c r="D1989" t="s">
        <v>2130</v>
      </c>
      <c r="E1989">
        <f t="shared" si="93"/>
        <v>2023</v>
      </c>
      <c r="F1989" t="str">
        <f t="shared" si="94"/>
        <v>Feb</v>
      </c>
      <c r="G1989">
        <v>1</v>
      </c>
      <c r="H1989">
        <f>_xlfn.XLOOKUP(C1989,Products!A:A,Products!D:D)</f>
        <v>258.35000000000002</v>
      </c>
      <c r="I1989">
        <v>0</v>
      </c>
      <c r="J1989">
        <f t="shared" si="95"/>
        <v>258.35000000000002</v>
      </c>
      <c r="K1989" t="s">
        <v>2015</v>
      </c>
      <c r="L1989" t="str">
        <f>_xlfn.XLOOKUP(Orders[[#This Row],[ProductID]],Products!A:A,Products!C:C)</f>
        <v>Electronics</v>
      </c>
    </row>
    <row r="1990" spans="1:12" x14ac:dyDescent="0.3">
      <c r="A1990">
        <v>1989</v>
      </c>
      <c r="B1990">
        <v>1186</v>
      </c>
      <c r="C1990">
        <v>7</v>
      </c>
      <c r="D1990" t="s">
        <v>2160</v>
      </c>
      <c r="E1990">
        <f t="shared" si="93"/>
        <v>2023</v>
      </c>
      <c r="F1990" t="str">
        <f t="shared" si="94"/>
        <v>Oct</v>
      </c>
      <c r="G1990">
        <v>3</v>
      </c>
      <c r="H1990">
        <f>_xlfn.XLOOKUP(C1990,Products!A:A,Products!D:D)</f>
        <v>97.29</v>
      </c>
      <c r="I1990">
        <v>5</v>
      </c>
      <c r="J1990">
        <f t="shared" si="95"/>
        <v>277.2765</v>
      </c>
      <c r="K1990" t="s">
        <v>2024</v>
      </c>
      <c r="L1990" t="str">
        <f>_xlfn.XLOOKUP(Orders[[#This Row],[ProductID]],Products!A:A,Products!C:C)</f>
        <v>Beauty</v>
      </c>
    </row>
    <row r="1991" spans="1:12" x14ac:dyDescent="0.3">
      <c r="A1991">
        <v>1990</v>
      </c>
      <c r="B1991">
        <v>1187</v>
      </c>
      <c r="C1991">
        <v>71</v>
      </c>
      <c r="D1991" t="s">
        <v>1529</v>
      </c>
      <c r="E1991">
        <f t="shared" si="93"/>
        <v>2023</v>
      </c>
      <c r="F1991" t="str">
        <f t="shared" si="94"/>
        <v>Aug</v>
      </c>
      <c r="G1991">
        <v>2</v>
      </c>
      <c r="H1991">
        <f>_xlfn.XLOOKUP(C1991,Products!A:A,Products!D:D)</f>
        <v>780.27</v>
      </c>
      <c r="I1991">
        <v>5</v>
      </c>
      <c r="J1991">
        <f t="shared" si="95"/>
        <v>1482.5129999999999</v>
      </c>
      <c r="K1991" t="s">
        <v>2021</v>
      </c>
      <c r="L1991" t="str">
        <f>_xlfn.XLOOKUP(Orders[[#This Row],[ProductID]],Products!A:A,Products!C:C)</f>
        <v>Electronics</v>
      </c>
    </row>
    <row r="1992" spans="1:12" x14ac:dyDescent="0.3">
      <c r="A1992">
        <v>1991</v>
      </c>
      <c r="B1992">
        <v>1187</v>
      </c>
      <c r="C1992">
        <v>3</v>
      </c>
      <c r="D1992" t="s">
        <v>2078</v>
      </c>
      <c r="E1992">
        <f t="shared" si="93"/>
        <v>2024</v>
      </c>
      <c r="F1992" t="str">
        <f t="shared" si="94"/>
        <v>Feb</v>
      </c>
      <c r="G1992">
        <v>1</v>
      </c>
      <c r="H1992">
        <f>_xlfn.XLOOKUP(C1992,Products!A:A,Products!D:D)</f>
        <v>506.08</v>
      </c>
      <c r="I1992">
        <v>20</v>
      </c>
      <c r="J1992">
        <f t="shared" si="95"/>
        <v>404.86400000000003</v>
      </c>
      <c r="K1992" t="s">
        <v>2019</v>
      </c>
      <c r="L1992" t="str">
        <f>_xlfn.XLOOKUP(Orders[[#This Row],[ProductID]],Products!A:A,Products!C:C)</f>
        <v>Clothing</v>
      </c>
    </row>
    <row r="1993" spans="1:12" x14ac:dyDescent="0.3">
      <c r="A1993">
        <v>1992</v>
      </c>
      <c r="B1993">
        <v>1187</v>
      </c>
      <c r="C1993">
        <v>9</v>
      </c>
      <c r="D1993" t="s">
        <v>2226</v>
      </c>
      <c r="E1993">
        <f t="shared" si="93"/>
        <v>2024</v>
      </c>
      <c r="F1993" t="str">
        <f t="shared" si="94"/>
        <v>Jan</v>
      </c>
      <c r="G1993">
        <v>1</v>
      </c>
      <c r="H1993">
        <f>_xlfn.XLOOKUP(C1993,Products!A:A,Products!D:D)</f>
        <v>43.26</v>
      </c>
      <c r="I1993">
        <v>10</v>
      </c>
      <c r="J1993">
        <f t="shared" si="95"/>
        <v>38.933999999999997</v>
      </c>
      <c r="K1993" t="s">
        <v>2021</v>
      </c>
      <c r="L1993" t="str">
        <f>_xlfn.XLOOKUP(Orders[[#This Row],[ProductID]],Products!A:A,Products!C:C)</f>
        <v>Electronics</v>
      </c>
    </row>
    <row r="1994" spans="1:12" x14ac:dyDescent="0.3">
      <c r="A1994">
        <v>1993</v>
      </c>
      <c r="B1994">
        <v>1187</v>
      </c>
      <c r="C1994">
        <v>69</v>
      </c>
      <c r="D1994" t="s">
        <v>974</v>
      </c>
      <c r="E1994">
        <f t="shared" si="93"/>
        <v>2023</v>
      </c>
      <c r="F1994" t="str">
        <f t="shared" si="94"/>
        <v>Mar</v>
      </c>
      <c r="G1994">
        <v>2</v>
      </c>
      <c r="H1994">
        <f>_xlfn.XLOOKUP(C1994,Products!A:A,Products!D:D)</f>
        <v>951.81</v>
      </c>
      <c r="I1994">
        <v>20</v>
      </c>
      <c r="J1994">
        <f t="shared" si="95"/>
        <v>1522.896</v>
      </c>
      <c r="K1994" t="s">
        <v>2024</v>
      </c>
      <c r="L1994" t="str">
        <f>_xlfn.XLOOKUP(Orders[[#This Row],[ProductID]],Products!A:A,Products!C:C)</f>
        <v>Clothing</v>
      </c>
    </row>
    <row r="1995" spans="1:12" x14ac:dyDescent="0.3">
      <c r="A1995">
        <v>1994</v>
      </c>
      <c r="B1995">
        <v>1187</v>
      </c>
      <c r="C1995">
        <v>23</v>
      </c>
      <c r="D1995" t="s">
        <v>1129</v>
      </c>
      <c r="E1995">
        <f t="shared" si="93"/>
        <v>2023</v>
      </c>
      <c r="F1995" t="str">
        <f t="shared" si="94"/>
        <v>Mar</v>
      </c>
      <c r="G1995">
        <v>3</v>
      </c>
      <c r="H1995">
        <f>_xlfn.XLOOKUP(C1995,Products!A:A,Products!D:D)</f>
        <v>258.08</v>
      </c>
      <c r="I1995">
        <v>5</v>
      </c>
      <c r="J1995">
        <f t="shared" si="95"/>
        <v>735.52800000000002</v>
      </c>
      <c r="K1995" t="s">
        <v>2021</v>
      </c>
      <c r="L1995" t="str">
        <f>_xlfn.XLOOKUP(Orders[[#This Row],[ProductID]],Products!A:A,Products!C:C)</f>
        <v>Home</v>
      </c>
    </row>
    <row r="1996" spans="1:12" x14ac:dyDescent="0.3">
      <c r="A1996">
        <v>1995</v>
      </c>
      <c r="B1996">
        <v>1188</v>
      </c>
      <c r="C1996">
        <v>2</v>
      </c>
      <c r="D1996" t="s">
        <v>2121</v>
      </c>
      <c r="E1996">
        <f t="shared" si="93"/>
        <v>2023</v>
      </c>
      <c r="F1996" t="str">
        <f t="shared" si="94"/>
        <v>Jun</v>
      </c>
      <c r="G1996">
        <v>1</v>
      </c>
      <c r="H1996">
        <f>_xlfn.XLOOKUP(C1996,Products!A:A,Products!D:D)</f>
        <v>427.27</v>
      </c>
      <c r="I1996">
        <v>10</v>
      </c>
      <c r="J1996">
        <f t="shared" si="95"/>
        <v>384.54300000000001</v>
      </c>
      <c r="K1996" t="s">
        <v>2015</v>
      </c>
      <c r="L1996" t="str">
        <f>_xlfn.XLOOKUP(Orders[[#This Row],[ProductID]],Products!A:A,Products!C:C)</f>
        <v>Home</v>
      </c>
    </row>
    <row r="1997" spans="1:12" x14ac:dyDescent="0.3">
      <c r="A1997">
        <v>1996</v>
      </c>
      <c r="B1997">
        <v>1188</v>
      </c>
      <c r="C1997">
        <v>3</v>
      </c>
      <c r="D1997" t="s">
        <v>1438</v>
      </c>
      <c r="E1997">
        <f t="shared" si="93"/>
        <v>2023</v>
      </c>
      <c r="F1997" t="str">
        <f t="shared" si="94"/>
        <v>Sep</v>
      </c>
      <c r="G1997">
        <v>3</v>
      </c>
      <c r="H1997">
        <f>_xlfn.XLOOKUP(C1997,Products!A:A,Products!D:D)</f>
        <v>506.08</v>
      </c>
      <c r="I1997">
        <v>0</v>
      </c>
      <c r="J1997">
        <f t="shared" si="95"/>
        <v>1518.24</v>
      </c>
      <c r="K1997" t="s">
        <v>2017</v>
      </c>
      <c r="L1997" t="str">
        <f>_xlfn.XLOOKUP(Orders[[#This Row],[ProductID]],Products!A:A,Products!C:C)</f>
        <v>Clothing</v>
      </c>
    </row>
    <row r="1998" spans="1:12" x14ac:dyDescent="0.3">
      <c r="A1998">
        <v>1997</v>
      </c>
      <c r="B1998">
        <v>1188</v>
      </c>
      <c r="C1998">
        <v>18</v>
      </c>
      <c r="D1998" t="s">
        <v>2058</v>
      </c>
      <c r="E1998">
        <f t="shared" si="93"/>
        <v>2023</v>
      </c>
      <c r="F1998" t="str">
        <f t="shared" si="94"/>
        <v>Mar</v>
      </c>
      <c r="G1998">
        <v>1</v>
      </c>
      <c r="H1998">
        <f>_xlfn.XLOOKUP(C1998,Products!A:A,Products!D:D)</f>
        <v>138.07</v>
      </c>
      <c r="I1998">
        <v>15</v>
      </c>
      <c r="J1998">
        <f t="shared" si="95"/>
        <v>117.3595</v>
      </c>
      <c r="K1998" t="s">
        <v>2021</v>
      </c>
      <c r="L1998" t="str">
        <f>_xlfn.XLOOKUP(Orders[[#This Row],[ProductID]],Products!A:A,Products!C:C)</f>
        <v>Home</v>
      </c>
    </row>
    <row r="1999" spans="1:12" x14ac:dyDescent="0.3">
      <c r="A1999">
        <v>1998</v>
      </c>
      <c r="B1999">
        <v>1188</v>
      </c>
      <c r="C1999">
        <v>17</v>
      </c>
      <c r="D1999" t="s">
        <v>1450</v>
      </c>
      <c r="E1999">
        <f t="shared" si="93"/>
        <v>2023</v>
      </c>
      <c r="F1999" t="str">
        <f t="shared" si="94"/>
        <v>May</v>
      </c>
      <c r="G1999">
        <v>3</v>
      </c>
      <c r="H1999">
        <f>_xlfn.XLOOKUP(C1999,Products!A:A,Products!D:D)</f>
        <v>695.6</v>
      </c>
      <c r="I1999">
        <v>10</v>
      </c>
      <c r="J1999">
        <f t="shared" si="95"/>
        <v>1878.1200000000001</v>
      </c>
      <c r="K1999" t="s">
        <v>2015</v>
      </c>
      <c r="L1999" t="str">
        <f>_xlfn.XLOOKUP(Orders[[#This Row],[ProductID]],Products!A:A,Products!C:C)</f>
        <v>Clothing</v>
      </c>
    </row>
    <row r="2000" spans="1:12" x14ac:dyDescent="0.3">
      <c r="A2000">
        <v>1999</v>
      </c>
      <c r="B2000">
        <v>1188</v>
      </c>
      <c r="C2000">
        <v>36</v>
      </c>
      <c r="D2000" t="s">
        <v>453</v>
      </c>
      <c r="E2000">
        <f t="shared" si="93"/>
        <v>2023</v>
      </c>
      <c r="F2000" t="str">
        <f t="shared" si="94"/>
        <v>Aug</v>
      </c>
      <c r="G2000">
        <v>1</v>
      </c>
      <c r="H2000">
        <f>_xlfn.XLOOKUP(C2000,Products!A:A,Products!D:D)</f>
        <v>992.01</v>
      </c>
      <c r="I2000">
        <v>15</v>
      </c>
      <c r="J2000">
        <f t="shared" si="95"/>
        <v>843.20849999999996</v>
      </c>
      <c r="K2000" t="s">
        <v>2021</v>
      </c>
      <c r="L2000" t="str">
        <f>_xlfn.XLOOKUP(Orders[[#This Row],[ProductID]],Products!A:A,Products!C:C)</f>
        <v>Beauty</v>
      </c>
    </row>
    <row r="2001" spans="1:12" x14ac:dyDescent="0.3">
      <c r="A2001">
        <v>2000</v>
      </c>
      <c r="B2001">
        <v>1189</v>
      </c>
      <c r="C2001">
        <v>15</v>
      </c>
      <c r="D2001" t="s">
        <v>2046</v>
      </c>
      <c r="E2001">
        <f t="shared" si="93"/>
        <v>2024</v>
      </c>
      <c r="F2001" t="str">
        <f t="shared" si="94"/>
        <v>Jan</v>
      </c>
      <c r="G2001">
        <v>1</v>
      </c>
      <c r="H2001">
        <f>_xlfn.XLOOKUP(C2001,Products!A:A,Products!D:D)</f>
        <v>1183.2</v>
      </c>
      <c r="I2001">
        <v>5</v>
      </c>
      <c r="J2001">
        <f t="shared" si="95"/>
        <v>1124.04</v>
      </c>
      <c r="K2001" t="s">
        <v>2015</v>
      </c>
      <c r="L2001" t="str">
        <f>_xlfn.XLOOKUP(Orders[[#This Row],[ProductID]],Products!A:A,Products!C:C)</f>
        <v>Electronics</v>
      </c>
    </row>
    <row r="2002" spans="1:12" x14ac:dyDescent="0.3">
      <c r="A2002">
        <v>2001</v>
      </c>
      <c r="B2002">
        <v>1189</v>
      </c>
      <c r="C2002">
        <v>6</v>
      </c>
      <c r="D2002" t="s">
        <v>2130</v>
      </c>
      <c r="E2002">
        <f t="shared" si="93"/>
        <v>2023</v>
      </c>
      <c r="F2002" t="str">
        <f t="shared" si="94"/>
        <v>Feb</v>
      </c>
      <c r="G2002">
        <v>2</v>
      </c>
      <c r="H2002">
        <f>_xlfn.XLOOKUP(C2002,Products!A:A,Products!D:D)</f>
        <v>719.19</v>
      </c>
      <c r="I2002">
        <v>5</v>
      </c>
      <c r="J2002">
        <f t="shared" si="95"/>
        <v>1366.461</v>
      </c>
      <c r="K2002" t="s">
        <v>2019</v>
      </c>
      <c r="L2002" t="str">
        <f>_xlfn.XLOOKUP(Orders[[#This Row],[ProductID]],Products!A:A,Products!C:C)</f>
        <v>Clothing</v>
      </c>
    </row>
    <row r="2003" spans="1:12" x14ac:dyDescent="0.3">
      <c r="A2003">
        <v>2002</v>
      </c>
      <c r="B2003">
        <v>1189</v>
      </c>
      <c r="C2003">
        <v>37</v>
      </c>
      <c r="D2003" t="s">
        <v>505</v>
      </c>
      <c r="E2003">
        <f t="shared" si="93"/>
        <v>2023</v>
      </c>
      <c r="F2003" t="str">
        <f t="shared" si="94"/>
        <v>Aug</v>
      </c>
      <c r="G2003">
        <v>3</v>
      </c>
      <c r="H2003">
        <f>_xlfn.XLOOKUP(C2003,Products!A:A,Products!D:D)</f>
        <v>968.87</v>
      </c>
      <c r="I2003">
        <v>15</v>
      </c>
      <c r="J2003">
        <f t="shared" si="95"/>
        <v>2470.6185</v>
      </c>
      <c r="K2003" t="s">
        <v>2017</v>
      </c>
      <c r="L2003" t="str">
        <f>_xlfn.XLOOKUP(Orders[[#This Row],[ProductID]],Products!A:A,Products!C:C)</f>
        <v>Home</v>
      </c>
    </row>
    <row r="2004" spans="1:12" x14ac:dyDescent="0.3">
      <c r="A2004">
        <v>2003</v>
      </c>
      <c r="B2004">
        <v>1189</v>
      </c>
      <c r="C2004">
        <v>71</v>
      </c>
      <c r="D2004" t="s">
        <v>597</v>
      </c>
      <c r="E2004">
        <f t="shared" si="93"/>
        <v>2023</v>
      </c>
      <c r="F2004" t="str">
        <f t="shared" si="94"/>
        <v>Oct</v>
      </c>
      <c r="G2004">
        <v>3</v>
      </c>
      <c r="H2004">
        <f>_xlfn.XLOOKUP(C2004,Products!A:A,Products!D:D)</f>
        <v>780.27</v>
      </c>
      <c r="I2004">
        <v>15</v>
      </c>
      <c r="J2004">
        <f t="shared" si="95"/>
        <v>1989.6885</v>
      </c>
      <c r="K2004" t="s">
        <v>2015</v>
      </c>
      <c r="L2004" t="str">
        <f>_xlfn.XLOOKUP(Orders[[#This Row],[ProductID]],Products!A:A,Products!C:C)</f>
        <v>Electronics</v>
      </c>
    </row>
    <row r="2005" spans="1:12" x14ac:dyDescent="0.3">
      <c r="A2005">
        <v>2004</v>
      </c>
      <c r="B2005">
        <v>1189</v>
      </c>
      <c r="C2005">
        <v>60</v>
      </c>
      <c r="D2005" t="s">
        <v>2077</v>
      </c>
      <c r="E2005">
        <f t="shared" si="93"/>
        <v>2024</v>
      </c>
      <c r="F2005" t="str">
        <f t="shared" si="94"/>
        <v>May</v>
      </c>
      <c r="G2005">
        <v>3</v>
      </c>
      <c r="H2005">
        <f>_xlfn.XLOOKUP(C2005,Products!A:A,Products!D:D)</f>
        <v>830.49</v>
      </c>
      <c r="I2005">
        <v>20</v>
      </c>
      <c r="J2005">
        <f t="shared" si="95"/>
        <v>1993.1760000000004</v>
      </c>
      <c r="K2005" t="s">
        <v>2024</v>
      </c>
      <c r="L2005" t="str">
        <f>_xlfn.XLOOKUP(Orders[[#This Row],[ProductID]],Products!A:A,Products!C:C)</f>
        <v>Clothing</v>
      </c>
    </row>
    <row r="2006" spans="1:12" x14ac:dyDescent="0.3">
      <c r="A2006">
        <v>2005</v>
      </c>
      <c r="B2006">
        <v>1190</v>
      </c>
      <c r="C2006">
        <v>78</v>
      </c>
      <c r="D2006" t="s">
        <v>499</v>
      </c>
      <c r="E2006">
        <f t="shared" si="93"/>
        <v>2023</v>
      </c>
      <c r="F2006" t="str">
        <f t="shared" si="94"/>
        <v>Oct</v>
      </c>
      <c r="G2006">
        <v>3</v>
      </c>
      <c r="H2006">
        <f>_xlfn.XLOOKUP(C2006,Products!A:A,Products!D:D)</f>
        <v>795.77</v>
      </c>
      <c r="I2006">
        <v>15</v>
      </c>
      <c r="J2006">
        <f t="shared" si="95"/>
        <v>2029.2134999999998</v>
      </c>
      <c r="K2006" t="s">
        <v>2024</v>
      </c>
      <c r="L2006" t="str">
        <f>_xlfn.XLOOKUP(Orders[[#This Row],[ProductID]],Products!A:A,Products!C:C)</f>
        <v>Beauty</v>
      </c>
    </row>
    <row r="2007" spans="1:12" x14ac:dyDescent="0.3">
      <c r="A2007">
        <v>2006</v>
      </c>
      <c r="B2007">
        <v>1190</v>
      </c>
      <c r="C2007">
        <v>68</v>
      </c>
      <c r="D2007" t="s">
        <v>2191</v>
      </c>
      <c r="E2007">
        <f t="shared" si="93"/>
        <v>2024</v>
      </c>
      <c r="F2007" t="str">
        <f t="shared" si="94"/>
        <v>Apr</v>
      </c>
      <c r="G2007">
        <v>2</v>
      </c>
      <c r="H2007">
        <f>_xlfn.XLOOKUP(C2007,Products!A:A,Products!D:D)</f>
        <v>180.99</v>
      </c>
      <c r="I2007">
        <v>5</v>
      </c>
      <c r="J2007">
        <f t="shared" si="95"/>
        <v>343.88100000000003</v>
      </c>
      <c r="K2007" t="s">
        <v>2015</v>
      </c>
      <c r="L2007" t="str">
        <f>_xlfn.XLOOKUP(Orders[[#This Row],[ProductID]],Products!A:A,Products!C:C)</f>
        <v>Clothing</v>
      </c>
    </row>
    <row r="2008" spans="1:12" x14ac:dyDescent="0.3">
      <c r="A2008">
        <v>2007</v>
      </c>
      <c r="B2008">
        <v>1190</v>
      </c>
      <c r="C2008">
        <v>64</v>
      </c>
      <c r="D2008" t="s">
        <v>1138</v>
      </c>
      <c r="E2008">
        <f t="shared" si="93"/>
        <v>2023</v>
      </c>
      <c r="F2008" t="str">
        <f t="shared" si="94"/>
        <v>Mar</v>
      </c>
      <c r="G2008">
        <v>1</v>
      </c>
      <c r="H2008">
        <f>_xlfn.XLOOKUP(C2008,Products!A:A,Products!D:D)</f>
        <v>567.71</v>
      </c>
      <c r="I2008">
        <v>5</v>
      </c>
      <c r="J2008">
        <f t="shared" si="95"/>
        <v>539.32450000000006</v>
      </c>
      <c r="K2008" t="s">
        <v>2019</v>
      </c>
      <c r="L2008" t="str">
        <f>_xlfn.XLOOKUP(Orders[[#This Row],[ProductID]],Products!A:A,Products!C:C)</f>
        <v>Clothing</v>
      </c>
    </row>
    <row r="2009" spans="1:12" x14ac:dyDescent="0.3">
      <c r="A2009">
        <v>2008</v>
      </c>
      <c r="B2009">
        <v>1190</v>
      </c>
      <c r="C2009">
        <v>77</v>
      </c>
      <c r="D2009" t="s">
        <v>1371</v>
      </c>
      <c r="E2009">
        <f t="shared" si="93"/>
        <v>2023</v>
      </c>
      <c r="F2009" t="str">
        <f t="shared" si="94"/>
        <v>Jul</v>
      </c>
      <c r="G2009">
        <v>2</v>
      </c>
      <c r="H2009">
        <f>_xlfn.XLOOKUP(C2009,Products!A:A,Products!D:D)</f>
        <v>1078.19</v>
      </c>
      <c r="I2009">
        <v>0</v>
      </c>
      <c r="J2009">
        <f t="shared" si="95"/>
        <v>2156.38</v>
      </c>
      <c r="K2009" t="s">
        <v>2015</v>
      </c>
      <c r="L2009" t="str">
        <f>_xlfn.XLOOKUP(Orders[[#This Row],[ProductID]],Products!A:A,Products!C:C)</f>
        <v>Home</v>
      </c>
    </row>
    <row r="2010" spans="1:12" x14ac:dyDescent="0.3">
      <c r="A2010">
        <v>2009</v>
      </c>
      <c r="B2010">
        <v>1190</v>
      </c>
      <c r="C2010">
        <v>53</v>
      </c>
      <c r="D2010" t="s">
        <v>1339</v>
      </c>
      <c r="E2010">
        <f t="shared" si="93"/>
        <v>2023</v>
      </c>
      <c r="F2010" t="str">
        <f t="shared" si="94"/>
        <v>Jul</v>
      </c>
      <c r="G2010">
        <v>2</v>
      </c>
      <c r="H2010">
        <f>_xlfn.XLOOKUP(C2010,Products!A:A,Products!D:D)</f>
        <v>194.34</v>
      </c>
      <c r="I2010">
        <v>10</v>
      </c>
      <c r="J2010">
        <f t="shared" si="95"/>
        <v>349.81200000000001</v>
      </c>
      <c r="K2010" t="s">
        <v>2024</v>
      </c>
      <c r="L2010" t="str">
        <f>_xlfn.XLOOKUP(Orders[[#This Row],[ProductID]],Products!A:A,Products!C:C)</f>
        <v>Home</v>
      </c>
    </row>
    <row r="2011" spans="1:12" x14ac:dyDescent="0.3">
      <c r="A2011">
        <v>2010</v>
      </c>
      <c r="B2011">
        <v>1190</v>
      </c>
      <c r="C2011">
        <v>4</v>
      </c>
      <c r="D2011" t="s">
        <v>107</v>
      </c>
      <c r="E2011">
        <f t="shared" si="93"/>
        <v>2023</v>
      </c>
      <c r="F2011" t="str">
        <f t="shared" si="94"/>
        <v>Jun</v>
      </c>
      <c r="G2011">
        <v>2</v>
      </c>
      <c r="H2011">
        <f>_xlfn.XLOOKUP(C2011,Products!A:A,Products!D:D)</f>
        <v>800.26</v>
      </c>
      <c r="I2011">
        <v>5</v>
      </c>
      <c r="J2011">
        <f t="shared" si="95"/>
        <v>1520.4939999999999</v>
      </c>
      <c r="K2011" t="s">
        <v>2019</v>
      </c>
      <c r="L2011" t="str">
        <f>_xlfn.XLOOKUP(Orders[[#This Row],[ProductID]],Products!A:A,Products!C:C)</f>
        <v>Electronics</v>
      </c>
    </row>
    <row r="2012" spans="1:12" x14ac:dyDescent="0.3">
      <c r="A2012">
        <v>2011</v>
      </c>
      <c r="B2012">
        <v>1190</v>
      </c>
      <c r="C2012">
        <v>28</v>
      </c>
      <c r="D2012" t="s">
        <v>1896</v>
      </c>
      <c r="E2012">
        <f t="shared" si="93"/>
        <v>2023</v>
      </c>
      <c r="F2012" t="str">
        <f t="shared" si="94"/>
        <v>Aug</v>
      </c>
      <c r="G2012">
        <v>3</v>
      </c>
      <c r="H2012">
        <f>_xlfn.XLOOKUP(C2012,Products!A:A,Products!D:D)</f>
        <v>494.39</v>
      </c>
      <c r="I2012">
        <v>5</v>
      </c>
      <c r="J2012">
        <f t="shared" si="95"/>
        <v>1409.0115000000001</v>
      </c>
      <c r="K2012" t="s">
        <v>2017</v>
      </c>
      <c r="L2012" t="str">
        <f>_xlfn.XLOOKUP(Orders[[#This Row],[ProductID]],Products!A:A,Products!C:C)</f>
        <v>Beauty</v>
      </c>
    </row>
    <row r="2013" spans="1:12" x14ac:dyDescent="0.3">
      <c r="A2013">
        <v>2012</v>
      </c>
      <c r="B2013">
        <v>1191</v>
      </c>
      <c r="C2013">
        <v>76</v>
      </c>
      <c r="D2013" t="s">
        <v>2186</v>
      </c>
      <c r="E2013">
        <f t="shared" si="93"/>
        <v>2024</v>
      </c>
      <c r="F2013" t="str">
        <f t="shared" si="94"/>
        <v>Feb</v>
      </c>
      <c r="G2013">
        <v>3</v>
      </c>
      <c r="H2013">
        <f>_xlfn.XLOOKUP(C2013,Products!A:A,Products!D:D)</f>
        <v>1043.26</v>
      </c>
      <c r="I2013">
        <v>5</v>
      </c>
      <c r="J2013">
        <f t="shared" si="95"/>
        <v>2973.2909999999997</v>
      </c>
      <c r="K2013" t="s">
        <v>2024</v>
      </c>
      <c r="L2013" t="str">
        <f>_xlfn.XLOOKUP(Orders[[#This Row],[ProductID]],Products!A:A,Products!C:C)</f>
        <v>Clothing</v>
      </c>
    </row>
    <row r="2014" spans="1:12" x14ac:dyDescent="0.3">
      <c r="A2014">
        <v>2013</v>
      </c>
      <c r="B2014">
        <v>1191</v>
      </c>
      <c r="C2014">
        <v>51</v>
      </c>
      <c r="D2014" t="s">
        <v>673</v>
      </c>
      <c r="E2014">
        <f t="shared" si="93"/>
        <v>2023</v>
      </c>
      <c r="F2014" t="str">
        <f t="shared" si="94"/>
        <v>May</v>
      </c>
      <c r="G2014">
        <v>1</v>
      </c>
      <c r="H2014">
        <f>_xlfn.XLOOKUP(C2014,Products!A:A,Products!D:D)</f>
        <v>759.57</v>
      </c>
      <c r="I2014">
        <v>0</v>
      </c>
      <c r="J2014">
        <f t="shared" si="95"/>
        <v>759.57</v>
      </c>
      <c r="K2014" t="s">
        <v>2021</v>
      </c>
      <c r="L2014" t="str">
        <f>_xlfn.XLOOKUP(Orders[[#This Row],[ProductID]],Products!A:A,Products!C:C)</f>
        <v>Beauty</v>
      </c>
    </row>
    <row r="2015" spans="1:12" x14ac:dyDescent="0.3">
      <c r="A2015">
        <v>2014</v>
      </c>
      <c r="B2015">
        <v>1191</v>
      </c>
      <c r="C2015">
        <v>57</v>
      </c>
      <c r="D2015" t="s">
        <v>410</v>
      </c>
      <c r="E2015">
        <f t="shared" si="93"/>
        <v>2023</v>
      </c>
      <c r="F2015" t="str">
        <f t="shared" si="94"/>
        <v>May</v>
      </c>
      <c r="G2015">
        <v>2</v>
      </c>
      <c r="H2015">
        <f>_xlfn.XLOOKUP(C2015,Products!A:A,Products!D:D)</f>
        <v>768.03</v>
      </c>
      <c r="I2015">
        <v>15</v>
      </c>
      <c r="J2015">
        <f t="shared" si="95"/>
        <v>1305.6509999999998</v>
      </c>
      <c r="K2015" t="s">
        <v>2017</v>
      </c>
      <c r="L2015" t="str">
        <f>_xlfn.XLOOKUP(Orders[[#This Row],[ProductID]],Products!A:A,Products!C:C)</f>
        <v>Electronics</v>
      </c>
    </row>
    <row r="2016" spans="1:12" x14ac:dyDescent="0.3">
      <c r="A2016">
        <v>2015</v>
      </c>
      <c r="B2016">
        <v>1191</v>
      </c>
      <c r="C2016">
        <v>60</v>
      </c>
      <c r="D2016" t="s">
        <v>397</v>
      </c>
      <c r="E2016">
        <f t="shared" si="93"/>
        <v>2023</v>
      </c>
      <c r="F2016" t="str">
        <f t="shared" si="94"/>
        <v>Jul</v>
      </c>
      <c r="G2016">
        <v>1</v>
      </c>
      <c r="H2016">
        <f>_xlfn.XLOOKUP(C2016,Products!A:A,Products!D:D)</f>
        <v>830.49</v>
      </c>
      <c r="I2016">
        <v>15</v>
      </c>
      <c r="J2016">
        <f t="shared" si="95"/>
        <v>705.91650000000004</v>
      </c>
      <c r="K2016" t="s">
        <v>2021</v>
      </c>
      <c r="L2016" t="str">
        <f>_xlfn.XLOOKUP(Orders[[#This Row],[ProductID]],Products!A:A,Products!C:C)</f>
        <v>Clothing</v>
      </c>
    </row>
    <row r="2017" spans="1:12" x14ac:dyDescent="0.3">
      <c r="A2017">
        <v>2016</v>
      </c>
      <c r="B2017">
        <v>1191</v>
      </c>
      <c r="C2017">
        <v>54</v>
      </c>
      <c r="D2017" t="s">
        <v>2103</v>
      </c>
      <c r="E2017">
        <f t="shared" si="93"/>
        <v>2024</v>
      </c>
      <c r="F2017" t="str">
        <f t="shared" si="94"/>
        <v>May</v>
      </c>
      <c r="G2017">
        <v>1</v>
      </c>
      <c r="H2017">
        <f>_xlfn.XLOOKUP(C2017,Products!A:A,Products!D:D)</f>
        <v>900.79</v>
      </c>
      <c r="I2017">
        <v>5</v>
      </c>
      <c r="J2017">
        <f t="shared" si="95"/>
        <v>855.75049999999987</v>
      </c>
      <c r="K2017" t="s">
        <v>2021</v>
      </c>
      <c r="L2017" t="str">
        <f>_xlfn.XLOOKUP(Orders[[#This Row],[ProductID]],Products!A:A,Products!C:C)</f>
        <v>Electronics</v>
      </c>
    </row>
    <row r="2018" spans="1:12" x14ac:dyDescent="0.3">
      <c r="A2018">
        <v>2017</v>
      </c>
      <c r="B2018">
        <v>1191</v>
      </c>
      <c r="C2018">
        <v>13</v>
      </c>
      <c r="D2018" t="s">
        <v>246</v>
      </c>
      <c r="E2018">
        <f t="shared" si="93"/>
        <v>2023</v>
      </c>
      <c r="F2018" t="str">
        <f t="shared" si="94"/>
        <v>Jun</v>
      </c>
      <c r="G2018">
        <v>2</v>
      </c>
      <c r="H2018">
        <f>_xlfn.XLOOKUP(C2018,Products!A:A,Products!D:D)</f>
        <v>334.61</v>
      </c>
      <c r="I2018">
        <v>0</v>
      </c>
      <c r="J2018">
        <f t="shared" si="95"/>
        <v>669.22</v>
      </c>
      <c r="K2018" t="s">
        <v>2024</v>
      </c>
      <c r="L2018" t="str">
        <f>_xlfn.XLOOKUP(Orders[[#This Row],[ProductID]],Products!A:A,Products!C:C)</f>
        <v>Home</v>
      </c>
    </row>
    <row r="2019" spans="1:12" x14ac:dyDescent="0.3">
      <c r="A2019">
        <v>2018</v>
      </c>
      <c r="B2019">
        <v>1192</v>
      </c>
      <c r="C2019">
        <v>60</v>
      </c>
      <c r="D2019" t="s">
        <v>2063</v>
      </c>
      <c r="E2019">
        <f t="shared" si="93"/>
        <v>2024</v>
      </c>
      <c r="F2019" t="str">
        <f t="shared" si="94"/>
        <v>Apr</v>
      </c>
      <c r="G2019">
        <v>2</v>
      </c>
      <c r="H2019">
        <f>_xlfn.XLOOKUP(C2019,Products!A:A,Products!D:D)</f>
        <v>830.49</v>
      </c>
      <c r="I2019">
        <v>15</v>
      </c>
      <c r="J2019">
        <f t="shared" si="95"/>
        <v>1411.8330000000001</v>
      </c>
      <c r="K2019" t="s">
        <v>2019</v>
      </c>
      <c r="L2019" t="str">
        <f>_xlfn.XLOOKUP(Orders[[#This Row],[ProductID]],Products!A:A,Products!C:C)</f>
        <v>Clothing</v>
      </c>
    </row>
    <row r="2020" spans="1:12" x14ac:dyDescent="0.3">
      <c r="A2020">
        <v>2019</v>
      </c>
      <c r="B2020">
        <v>1192</v>
      </c>
      <c r="C2020">
        <v>77</v>
      </c>
      <c r="D2020" t="s">
        <v>1872</v>
      </c>
      <c r="E2020">
        <f t="shared" si="93"/>
        <v>2023</v>
      </c>
      <c r="F2020" t="str">
        <f t="shared" si="94"/>
        <v>May</v>
      </c>
      <c r="G2020">
        <v>2</v>
      </c>
      <c r="H2020">
        <f>_xlfn.XLOOKUP(C2020,Products!A:A,Products!D:D)</f>
        <v>1078.19</v>
      </c>
      <c r="I2020">
        <v>20</v>
      </c>
      <c r="J2020">
        <f t="shared" si="95"/>
        <v>1725.1040000000003</v>
      </c>
      <c r="K2020" t="s">
        <v>2015</v>
      </c>
      <c r="L2020" t="str">
        <f>_xlfn.XLOOKUP(Orders[[#This Row],[ProductID]],Products!A:A,Products!C:C)</f>
        <v>Home</v>
      </c>
    </row>
    <row r="2021" spans="1:12" x14ac:dyDescent="0.3">
      <c r="A2021">
        <v>2020</v>
      </c>
      <c r="B2021">
        <v>1192</v>
      </c>
      <c r="C2021">
        <v>62</v>
      </c>
      <c r="D2021" t="s">
        <v>2124</v>
      </c>
      <c r="E2021">
        <f t="shared" si="93"/>
        <v>2023</v>
      </c>
      <c r="F2021" t="str">
        <f t="shared" si="94"/>
        <v>Jan</v>
      </c>
      <c r="G2021">
        <v>2</v>
      </c>
      <c r="H2021">
        <f>_xlfn.XLOOKUP(C2021,Products!A:A,Products!D:D)</f>
        <v>196.96</v>
      </c>
      <c r="I2021">
        <v>0</v>
      </c>
      <c r="J2021">
        <f t="shared" si="95"/>
        <v>393.92</v>
      </c>
      <c r="K2021" t="s">
        <v>2024</v>
      </c>
      <c r="L2021" t="str">
        <f>_xlfn.XLOOKUP(Orders[[#This Row],[ProductID]],Products!A:A,Products!C:C)</f>
        <v>Electronics</v>
      </c>
    </row>
    <row r="2022" spans="1:12" x14ac:dyDescent="0.3">
      <c r="A2022">
        <v>2021</v>
      </c>
      <c r="B2022">
        <v>1192</v>
      </c>
      <c r="C2022">
        <v>43</v>
      </c>
      <c r="D2022" t="s">
        <v>2091</v>
      </c>
      <c r="E2022">
        <f t="shared" si="93"/>
        <v>2023</v>
      </c>
      <c r="F2022" t="str">
        <f t="shared" si="94"/>
        <v>Apr</v>
      </c>
      <c r="G2022">
        <v>2</v>
      </c>
      <c r="H2022">
        <f>_xlfn.XLOOKUP(C2022,Products!A:A,Products!D:D)</f>
        <v>760.86</v>
      </c>
      <c r="I2022">
        <v>20</v>
      </c>
      <c r="J2022">
        <f t="shared" si="95"/>
        <v>1217.376</v>
      </c>
      <c r="K2022" t="s">
        <v>2021</v>
      </c>
      <c r="L2022" t="str">
        <f>_xlfn.XLOOKUP(Orders[[#This Row],[ProductID]],Products!A:A,Products!C:C)</f>
        <v>Electronics</v>
      </c>
    </row>
    <row r="2023" spans="1:12" x14ac:dyDescent="0.3">
      <c r="A2023">
        <v>2022</v>
      </c>
      <c r="B2023">
        <v>1192</v>
      </c>
      <c r="C2023">
        <v>2</v>
      </c>
      <c r="D2023" t="s">
        <v>323</v>
      </c>
      <c r="E2023">
        <f t="shared" si="93"/>
        <v>2023</v>
      </c>
      <c r="F2023" t="str">
        <f t="shared" si="94"/>
        <v>Feb</v>
      </c>
      <c r="G2023">
        <v>1</v>
      </c>
      <c r="H2023">
        <f>_xlfn.XLOOKUP(C2023,Products!A:A,Products!D:D)</f>
        <v>427.27</v>
      </c>
      <c r="I2023">
        <v>20</v>
      </c>
      <c r="J2023">
        <f t="shared" si="95"/>
        <v>341.81600000000003</v>
      </c>
      <c r="K2023" t="s">
        <v>2024</v>
      </c>
      <c r="L2023" t="str">
        <f>_xlfn.XLOOKUP(Orders[[#This Row],[ProductID]],Products!A:A,Products!C:C)</f>
        <v>Home</v>
      </c>
    </row>
    <row r="2024" spans="1:12" x14ac:dyDescent="0.3">
      <c r="A2024">
        <v>2023</v>
      </c>
      <c r="B2024">
        <v>1192</v>
      </c>
      <c r="C2024">
        <v>8</v>
      </c>
      <c r="D2024" t="s">
        <v>714</v>
      </c>
      <c r="E2024">
        <f t="shared" si="93"/>
        <v>2023</v>
      </c>
      <c r="F2024" t="str">
        <f t="shared" si="94"/>
        <v>Jan</v>
      </c>
      <c r="G2024">
        <v>3</v>
      </c>
      <c r="H2024">
        <f>_xlfn.XLOOKUP(C2024,Products!A:A,Products!D:D)</f>
        <v>155.08000000000001</v>
      </c>
      <c r="I2024">
        <v>5</v>
      </c>
      <c r="J2024">
        <f t="shared" si="95"/>
        <v>441.97800000000001</v>
      </c>
      <c r="K2024" t="s">
        <v>2015</v>
      </c>
      <c r="L2024" t="str">
        <f>_xlfn.XLOOKUP(Orders[[#This Row],[ProductID]],Products!A:A,Products!C:C)</f>
        <v>Clothing</v>
      </c>
    </row>
    <row r="2025" spans="1:12" x14ac:dyDescent="0.3">
      <c r="A2025">
        <v>2024</v>
      </c>
      <c r="B2025">
        <v>1192</v>
      </c>
      <c r="C2025">
        <v>48</v>
      </c>
      <c r="D2025" t="s">
        <v>714</v>
      </c>
      <c r="E2025">
        <f t="shared" si="93"/>
        <v>2023</v>
      </c>
      <c r="F2025" t="str">
        <f t="shared" si="94"/>
        <v>Jan</v>
      </c>
      <c r="G2025">
        <v>2</v>
      </c>
      <c r="H2025">
        <f>_xlfn.XLOOKUP(C2025,Products!A:A,Products!D:D)</f>
        <v>1125.8499999999999</v>
      </c>
      <c r="I2025">
        <v>15</v>
      </c>
      <c r="J2025">
        <f t="shared" si="95"/>
        <v>1913.9449999999997</v>
      </c>
      <c r="K2025" t="s">
        <v>2024</v>
      </c>
      <c r="L2025" t="str">
        <f>_xlfn.XLOOKUP(Orders[[#This Row],[ProductID]],Products!A:A,Products!C:C)</f>
        <v>Clothing</v>
      </c>
    </row>
    <row r="2026" spans="1:12" x14ac:dyDescent="0.3">
      <c r="A2026">
        <v>2025</v>
      </c>
      <c r="B2026">
        <v>1192</v>
      </c>
      <c r="C2026">
        <v>79</v>
      </c>
      <c r="D2026" t="s">
        <v>505</v>
      </c>
      <c r="E2026">
        <f t="shared" si="93"/>
        <v>2023</v>
      </c>
      <c r="F2026" t="str">
        <f t="shared" si="94"/>
        <v>Aug</v>
      </c>
      <c r="G2026">
        <v>2</v>
      </c>
      <c r="H2026">
        <f>_xlfn.XLOOKUP(C2026,Products!A:A,Products!D:D)</f>
        <v>488.34</v>
      </c>
      <c r="I2026">
        <v>20</v>
      </c>
      <c r="J2026">
        <f t="shared" si="95"/>
        <v>781.34400000000005</v>
      </c>
      <c r="K2026" t="s">
        <v>2024</v>
      </c>
      <c r="L2026" t="str">
        <f>_xlfn.XLOOKUP(Orders[[#This Row],[ProductID]],Products!A:A,Products!C:C)</f>
        <v>Electronics</v>
      </c>
    </row>
    <row r="2027" spans="1:12" x14ac:dyDescent="0.3">
      <c r="A2027">
        <v>2026</v>
      </c>
      <c r="B2027">
        <v>1193</v>
      </c>
      <c r="C2027">
        <v>37</v>
      </c>
      <c r="D2027" t="s">
        <v>1371</v>
      </c>
      <c r="E2027">
        <f t="shared" si="93"/>
        <v>2023</v>
      </c>
      <c r="F2027" t="str">
        <f t="shared" si="94"/>
        <v>Jul</v>
      </c>
      <c r="G2027">
        <v>1</v>
      </c>
      <c r="H2027">
        <f>_xlfn.XLOOKUP(C2027,Products!A:A,Products!D:D)</f>
        <v>968.87</v>
      </c>
      <c r="I2027">
        <v>20</v>
      </c>
      <c r="J2027">
        <f t="shared" si="95"/>
        <v>775.096</v>
      </c>
      <c r="K2027" t="s">
        <v>2015</v>
      </c>
      <c r="L2027" t="str">
        <f>_xlfn.XLOOKUP(Orders[[#This Row],[ProductID]],Products!A:A,Products!C:C)</f>
        <v>Home</v>
      </c>
    </row>
    <row r="2028" spans="1:12" x14ac:dyDescent="0.3">
      <c r="A2028">
        <v>2027</v>
      </c>
      <c r="B2028">
        <v>1193</v>
      </c>
      <c r="C2028">
        <v>16</v>
      </c>
      <c r="D2028" t="s">
        <v>2095</v>
      </c>
      <c r="E2028">
        <f t="shared" si="93"/>
        <v>2024</v>
      </c>
      <c r="F2028" t="str">
        <f t="shared" si="94"/>
        <v>Mar</v>
      </c>
      <c r="G2028">
        <v>2</v>
      </c>
      <c r="H2028">
        <f>_xlfn.XLOOKUP(C2028,Products!A:A,Products!D:D)</f>
        <v>693.02</v>
      </c>
      <c r="I2028">
        <v>15</v>
      </c>
      <c r="J2028">
        <f t="shared" si="95"/>
        <v>1178.134</v>
      </c>
      <c r="K2028" t="s">
        <v>2017</v>
      </c>
      <c r="L2028" t="str">
        <f>_xlfn.XLOOKUP(Orders[[#This Row],[ProductID]],Products!A:A,Products!C:C)</f>
        <v>Home</v>
      </c>
    </row>
    <row r="2029" spans="1:12" x14ac:dyDescent="0.3">
      <c r="A2029">
        <v>2028</v>
      </c>
      <c r="B2029">
        <v>1193</v>
      </c>
      <c r="C2029">
        <v>66</v>
      </c>
      <c r="D2029" t="s">
        <v>442</v>
      </c>
      <c r="E2029">
        <f t="shared" si="93"/>
        <v>2023</v>
      </c>
      <c r="F2029" t="str">
        <f t="shared" si="94"/>
        <v>Jan</v>
      </c>
      <c r="G2029">
        <v>3</v>
      </c>
      <c r="H2029">
        <f>_xlfn.XLOOKUP(C2029,Products!A:A,Products!D:D)</f>
        <v>783.37</v>
      </c>
      <c r="I2029">
        <v>20</v>
      </c>
      <c r="J2029">
        <f t="shared" si="95"/>
        <v>1880.0880000000002</v>
      </c>
      <c r="K2029" t="s">
        <v>2015</v>
      </c>
      <c r="L2029" t="str">
        <f>_xlfn.XLOOKUP(Orders[[#This Row],[ProductID]],Products!A:A,Products!C:C)</f>
        <v>Home</v>
      </c>
    </row>
    <row r="2030" spans="1:12" x14ac:dyDescent="0.3">
      <c r="A2030">
        <v>2029</v>
      </c>
      <c r="B2030">
        <v>1193</v>
      </c>
      <c r="C2030">
        <v>65</v>
      </c>
      <c r="D2030" t="s">
        <v>2130</v>
      </c>
      <c r="E2030">
        <f t="shared" si="93"/>
        <v>2023</v>
      </c>
      <c r="F2030" t="str">
        <f t="shared" si="94"/>
        <v>Feb</v>
      </c>
      <c r="G2030">
        <v>1</v>
      </c>
      <c r="H2030">
        <f>_xlfn.XLOOKUP(C2030,Products!A:A,Products!D:D)</f>
        <v>1189.73</v>
      </c>
      <c r="I2030">
        <v>15</v>
      </c>
      <c r="J2030">
        <f t="shared" si="95"/>
        <v>1011.2705</v>
      </c>
      <c r="K2030" t="s">
        <v>2024</v>
      </c>
      <c r="L2030" t="str">
        <f>_xlfn.XLOOKUP(Orders[[#This Row],[ProductID]],Products!A:A,Products!C:C)</f>
        <v>Home</v>
      </c>
    </row>
    <row r="2031" spans="1:12" x14ac:dyDescent="0.3">
      <c r="A2031">
        <v>2030</v>
      </c>
      <c r="B2031">
        <v>1193</v>
      </c>
      <c r="C2031">
        <v>57</v>
      </c>
      <c r="D2031" t="s">
        <v>2069</v>
      </c>
      <c r="E2031">
        <f t="shared" si="93"/>
        <v>2024</v>
      </c>
      <c r="F2031" t="str">
        <f t="shared" si="94"/>
        <v>Jan</v>
      </c>
      <c r="G2031">
        <v>3</v>
      </c>
      <c r="H2031">
        <f>_xlfn.XLOOKUP(C2031,Products!A:A,Products!D:D)</f>
        <v>768.03</v>
      </c>
      <c r="I2031">
        <v>10</v>
      </c>
      <c r="J2031">
        <f t="shared" si="95"/>
        <v>2073.681</v>
      </c>
      <c r="K2031" t="s">
        <v>2021</v>
      </c>
      <c r="L2031" t="str">
        <f>_xlfn.XLOOKUP(Orders[[#This Row],[ProductID]],Products!A:A,Products!C:C)</f>
        <v>Electronics</v>
      </c>
    </row>
    <row r="2032" spans="1:12" x14ac:dyDescent="0.3">
      <c r="A2032">
        <v>2031</v>
      </c>
      <c r="B2032">
        <v>1193</v>
      </c>
      <c r="C2032">
        <v>19</v>
      </c>
      <c r="D2032" t="s">
        <v>2127</v>
      </c>
      <c r="E2032">
        <f t="shared" si="93"/>
        <v>2024</v>
      </c>
      <c r="F2032" t="str">
        <f t="shared" si="94"/>
        <v>Jan</v>
      </c>
      <c r="G2032">
        <v>1</v>
      </c>
      <c r="H2032">
        <f>_xlfn.XLOOKUP(C2032,Products!A:A,Products!D:D)</f>
        <v>262.97000000000003</v>
      </c>
      <c r="I2032">
        <v>0</v>
      </c>
      <c r="J2032">
        <f t="shared" si="95"/>
        <v>262.97000000000003</v>
      </c>
      <c r="K2032" t="s">
        <v>2015</v>
      </c>
      <c r="L2032" t="str">
        <f>_xlfn.XLOOKUP(Orders[[#This Row],[ProductID]],Products!A:A,Products!C:C)</f>
        <v>Beauty</v>
      </c>
    </row>
    <row r="2033" spans="1:12" x14ac:dyDescent="0.3">
      <c r="A2033">
        <v>2032</v>
      </c>
      <c r="B2033">
        <v>1193</v>
      </c>
      <c r="C2033">
        <v>50</v>
      </c>
      <c r="D2033" t="s">
        <v>1742</v>
      </c>
      <c r="E2033">
        <f t="shared" si="93"/>
        <v>2023</v>
      </c>
      <c r="F2033" t="str">
        <f t="shared" si="94"/>
        <v>May</v>
      </c>
      <c r="G2033">
        <v>2</v>
      </c>
      <c r="H2033">
        <f>_xlfn.XLOOKUP(C2033,Products!A:A,Products!D:D)</f>
        <v>1122.8699999999999</v>
      </c>
      <c r="I2033">
        <v>5</v>
      </c>
      <c r="J2033">
        <f t="shared" si="95"/>
        <v>2133.4529999999995</v>
      </c>
      <c r="K2033" t="s">
        <v>2019</v>
      </c>
      <c r="L2033" t="str">
        <f>_xlfn.XLOOKUP(Orders[[#This Row],[ProductID]],Products!A:A,Products!C:C)</f>
        <v>Home</v>
      </c>
    </row>
    <row r="2034" spans="1:12" x14ac:dyDescent="0.3">
      <c r="A2034">
        <v>2033</v>
      </c>
      <c r="B2034">
        <v>1194</v>
      </c>
      <c r="C2034">
        <v>6</v>
      </c>
      <c r="D2034" t="s">
        <v>1373</v>
      </c>
      <c r="E2034">
        <f t="shared" si="93"/>
        <v>2023</v>
      </c>
      <c r="F2034" t="str">
        <f t="shared" si="94"/>
        <v>Jun</v>
      </c>
      <c r="G2034">
        <v>1</v>
      </c>
      <c r="H2034">
        <f>_xlfn.XLOOKUP(C2034,Products!A:A,Products!D:D)</f>
        <v>719.19</v>
      </c>
      <c r="I2034">
        <v>5</v>
      </c>
      <c r="J2034">
        <f t="shared" si="95"/>
        <v>683.23050000000001</v>
      </c>
      <c r="K2034" t="s">
        <v>2021</v>
      </c>
      <c r="L2034" t="str">
        <f>_xlfn.XLOOKUP(Orders[[#This Row],[ProductID]],Products!A:A,Products!C:C)</f>
        <v>Clothing</v>
      </c>
    </row>
    <row r="2035" spans="1:12" x14ac:dyDescent="0.3">
      <c r="A2035">
        <v>2034</v>
      </c>
      <c r="B2035">
        <v>1194</v>
      </c>
      <c r="C2035">
        <v>54</v>
      </c>
      <c r="D2035" t="s">
        <v>73</v>
      </c>
      <c r="E2035">
        <f t="shared" si="93"/>
        <v>2023</v>
      </c>
      <c r="F2035" t="str">
        <f t="shared" si="94"/>
        <v>Oct</v>
      </c>
      <c r="G2035">
        <v>1</v>
      </c>
      <c r="H2035">
        <f>_xlfn.XLOOKUP(C2035,Products!A:A,Products!D:D)</f>
        <v>900.79</v>
      </c>
      <c r="I2035">
        <v>15</v>
      </c>
      <c r="J2035">
        <f t="shared" si="95"/>
        <v>765.67149999999992</v>
      </c>
      <c r="K2035" t="s">
        <v>2021</v>
      </c>
      <c r="L2035" t="str">
        <f>_xlfn.XLOOKUP(Orders[[#This Row],[ProductID]],Products!A:A,Products!C:C)</f>
        <v>Electronics</v>
      </c>
    </row>
    <row r="2036" spans="1:12" x14ac:dyDescent="0.3">
      <c r="A2036">
        <v>2035</v>
      </c>
      <c r="B2036">
        <v>1194</v>
      </c>
      <c r="C2036">
        <v>55</v>
      </c>
      <c r="D2036" t="s">
        <v>403</v>
      </c>
      <c r="E2036">
        <f t="shared" si="93"/>
        <v>2023</v>
      </c>
      <c r="F2036" t="str">
        <f t="shared" si="94"/>
        <v>Oct</v>
      </c>
      <c r="G2036">
        <v>3</v>
      </c>
      <c r="H2036">
        <f>_xlfn.XLOOKUP(C2036,Products!A:A,Products!D:D)</f>
        <v>1016.06</v>
      </c>
      <c r="I2036">
        <v>10</v>
      </c>
      <c r="J2036">
        <f t="shared" si="95"/>
        <v>2743.3620000000001</v>
      </c>
      <c r="K2036" t="s">
        <v>2021</v>
      </c>
      <c r="L2036" t="str">
        <f>_xlfn.XLOOKUP(Orders[[#This Row],[ProductID]],Products!A:A,Products!C:C)</f>
        <v>Clothing</v>
      </c>
    </row>
    <row r="2037" spans="1:12" x14ac:dyDescent="0.3">
      <c r="A2037">
        <v>2036</v>
      </c>
      <c r="B2037">
        <v>1194</v>
      </c>
      <c r="C2037">
        <v>1</v>
      </c>
      <c r="D2037" t="s">
        <v>1384</v>
      </c>
      <c r="E2037">
        <f t="shared" si="93"/>
        <v>2023</v>
      </c>
      <c r="F2037" t="str">
        <f t="shared" si="94"/>
        <v>Feb</v>
      </c>
      <c r="G2037">
        <v>1</v>
      </c>
      <c r="H2037">
        <f>_xlfn.XLOOKUP(C2037,Products!A:A,Products!D:D)</f>
        <v>469.08</v>
      </c>
      <c r="I2037">
        <v>0</v>
      </c>
      <c r="J2037">
        <f t="shared" si="95"/>
        <v>469.08</v>
      </c>
      <c r="K2037" t="s">
        <v>2024</v>
      </c>
      <c r="L2037" t="str">
        <f>_xlfn.XLOOKUP(Orders[[#This Row],[ProductID]],Products!A:A,Products!C:C)</f>
        <v>Clothing</v>
      </c>
    </row>
    <row r="2038" spans="1:12" x14ac:dyDescent="0.3">
      <c r="A2038">
        <v>2037</v>
      </c>
      <c r="B2038">
        <v>1194</v>
      </c>
      <c r="C2038">
        <v>62</v>
      </c>
      <c r="D2038" t="s">
        <v>2105</v>
      </c>
      <c r="E2038">
        <f t="shared" si="93"/>
        <v>2024</v>
      </c>
      <c r="F2038" t="str">
        <f t="shared" si="94"/>
        <v>Feb</v>
      </c>
      <c r="G2038">
        <v>1</v>
      </c>
      <c r="H2038">
        <f>_xlfn.XLOOKUP(C2038,Products!A:A,Products!D:D)</f>
        <v>196.96</v>
      </c>
      <c r="I2038">
        <v>5</v>
      </c>
      <c r="J2038">
        <f t="shared" si="95"/>
        <v>187.11199999999999</v>
      </c>
      <c r="K2038" t="s">
        <v>2017</v>
      </c>
      <c r="L2038" t="str">
        <f>_xlfn.XLOOKUP(Orders[[#This Row],[ProductID]],Products!A:A,Products!C:C)</f>
        <v>Electronics</v>
      </c>
    </row>
    <row r="2039" spans="1:12" x14ac:dyDescent="0.3">
      <c r="A2039">
        <v>2038</v>
      </c>
      <c r="B2039">
        <v>1195</v>
      </c>
      <c r="C2039">
        <v>22</v>
      </c>
      <c r="D2039" t="s">
        <v>2148</v>
      </c>
      <c r="E2039">
        <f t="shared" si="93"/>
        <v>2024</v>
      </c>
      <c r="F2039" t="str">
        <f t="shared" si="94"/>
        <v>Apr</v>
      </c>
      <c r="G2039">
        <v>3</v>
      </c>
      <c r="H2039">
        <f>_xlfn.XLOOKUP(C2039,Products!A:A,Products!D:D)</f>
        <v>373.43</v>
      </c>
      <c r="I2039">
        <v>15</v>
      </c>
      <c r="J2039">
        <f t="shared" si="95"/>
        <v>952.24649999999997</v>
      </c>
      <c r="K2039" t="s">
        <v>2019</v>
      </c>
      <c r="L2039" t="str">
        <f>_xlfn.XLOOKUP(Orders[[#This Row],[ProductID]],Products!A:A,Products!C:C)</f>
        <v>Beauty</v>
      </c>
    </row>
    <row r="2040" spans="1:12" x14ac:dyDescent="0.3">
      <c r="A2040">
        <v>2039</v>
      </c>
      <c r="B2040">
        <v>1195</v>
      </c>
      <c r="C2040">
        <v>11</v>
      </c>
      <c r="D2040" t="s">
        <v>2220</v>
      </c>
      <c r="E2040">
        <f t="shared" si="93"/>
        <v>2023</v>
      </c>
      <c r="F2040" t="str">
        <f t="shared" si="94"/>
        <v>Dec</v>
      </c>
      <c r="G2040">
        <v>2</v>
      </c>
      <c r="H2040">
        <f>_xlfn.XLOOKUP(C2040,Products!A:A,Products!D:D)</f>
        <v>1038.77</v>
      </c>
      <c r="I2040">
        <v>10</v>
      </c>
      <c r="J2040">
        <f t="shared" si="95"/>
        <v>1869.7860000000001</v>
      </c>
      <c r="K2040" t="s">
        <v>2015</v>
      </c>
      <c r="L2040" t="str">
        <f>_xlfn.XLOOKUP(Orders[[#This Row],[ProductID]],Products!A:A,Products!C:C)</f>
        <v>Beauty</v>
      </c>
    </row>
    <row r="2041" spans="1:12" x14ac:dyDescent="0.3">
      <c r="A2041">
        <v>2040</v>
      </c>
      <c r="B2041">
        <v>1195</v>
      </c>
      <c r="C2041">
        <v>48</v>
      </c>
      <c r="D2041" t="s">
        <v>2109</v>
      </c>
      <c r="E2041">
        <f t="shared" si="93"/>
        <v>2024</v>
      </c>
      <c r="F2041" t="str">
        <f t="shared" si="94"/>
        <v>Mar</v>
      </c>
      <c r="G2041">
        <v>2</v>
      </c>
      <c r="H2041">
        <f>_xlfn.XLOOKUP(C2041,Products!A:A,Products!D:D)</f>
        <v>1125.8499999999999</v>
      </c>
      <c r="I2041">
        <v>10</v>
      </c>
      <c r="J2041">
        <f t="shared" si="95"/>
        <v>2026.53</v>
      </c>
      <c r="K2041" t="s">
        <v>2015</v>
      </c>
      <c r="L2041" t="str">
        <f>_xlfn.XLOOKUP(Orders[[#This Row],[ProductID]],Products!A:A,Products!C:C)</f>
        <v>Clothing</v>
      </c>
    </row>
    <row r="2042" spans="1:12" x14ac:dyDescent="0.3">
      <c r="A2042">
        <v>2041</v>
      </c>
      <c r="B2042">
        <v>1195</v>
      </c>
      <c r="C2042">
        <v>72</v>
      </c>
      <c r="D2042" t="s">
        <v>403</v>
      </c>
      <c r="E2042">
        <f t="shared" si="93"/>
        <v>2023</v>
      </c>
      <c r="F2042" t="str">
        <f t="shared" si="94"/>
        <v>Oct</v>
      </c>
      <c r="G2042">
        <v>3</v>
      </c>
      <c r="H2042">
        <f>_xlfn.XLOOKUP(C2042,Products!A:A,Products!D:D)</f>
        <v>1157.27</v>
      </c>
      <c r="I2042">
        <v>10</v>
      </c>
      <c r="J2042">
        <f t="shared" si="95"/>
        <v>3124.6289999999999</v>
      </c>
      <c r="K2042" t="s">
        <v>2024</v>
      </c>
      <c r="L2042" t="str">
        <f>_xlfn.XLOOKUP(Orders[[#This Row],[ProductID]],Products!A:A,Products!C:C)</f>
        <v>Electronics</v>
      </c>
    </row>
    <row r="2043" spans="1:12" x14ac:dyDescent="0.3">
      <c r="A2043">
        <v>2042</v>
      </c>
      <c r="B2043">
        <v>1195</v>
      </c>
      <c r="C2043">
        <v>68</v>
      </c>
      <c r="D2043" t="s">
        <v>927</v>
      </c>
      <c r="E2043">
        <f t="shared" si="93"/>
        <v>2023</v>
      </c>
      <c r="F2043" t="str">
        <f t="shared" si="94"/>
        <v>Mar</v>
      </c>
      <c r="G2043">
        <v>3</v>
      </c>
      <c r="H2043">
        <f>_xlfn.XLOOKUP(C2043,Products!A:A,Products!D:D)</f>
        <v>180.99</v>
      </c>
      <c r="I2043">
        <v>20</v>
      </c>
      <c r="J2043">
        <f t="shared" si="95"/>
        <v>434.37600000000003</v>
      </c>
      <c r="K2043" t="s">
        <v>2015</v>
      </c>
      <c r="L2043" t="str">
        <f>_xlfn.XLOOKUP(Orders[[#This Row],[ProductID]],Products!A:A,Products!C:C)</f>
        <v>Clothing</v>
      </c>
    </row>
    <row r="2044" spans="1:12" x14ac:dyDescent="0.3">
      <c r="A2044">
        <v>2043</v>
      </c>
      <c r="B2044">
        <v>1196</v>
      </c>
      <c r="C2044">
        <v>36</v>
      </c>
      <c r="D2044" t="s">
        <v>2234</v>
      </c>
      <c r="E2044">
        <f t="shared" si="93"/>
        <v>2024</v>
      </c>
      <c r="F2044" t="str">
        <f t="shared" si="94"/>
        <v>Feb</v>
      </c>
      <c r="G2044">
        <v>3</v>
      </c>
      <c r="H2044">
        <f>_xlfn.XLOOKUP(C2044,Products!A:A,Products!D:D)</f>
        <v>992.01</v>
      </c>
      <c r="I2044">
        <v>5</v>
      </c>
      <c r="J2044">
        <f t="shared" si="95"/>
        <v>2827.2284999999997</v>
      </c>
      <c r="K2044" t="s">
        <v>2021</v>
      </c>
      <c r="L2044" t="str">
        <f>_xlfn.XLOOKUP(Orders[[#This Row],[ProductID]],Products!A:A,Products!C:C)</f>
        <v>Beauty</v>
      </c>
    </row>
    <row r="2045" spans="1:12" x14ac:dyDescent="0.3">
      <c r="A2045">
        <v>2044</v>
      </c>
      <c r="B2045">
        <v>1196</v>
      </c>
      <c r="C2045">
        <v>3</v>
      </c>
      <c r="D2045" t="s">
        <v>1896</v>
      </c>
      <c r="E2045">
        <f t="shared" si="93"/>
        <v>2023</v>
      </c>
      <c r="F2045" t="str">
        <f t="shared" si="94"/>
        <v>Aug</v>
      </c>
      <c r="G2045">
        <v>2</v>
      </c>
      <c r="H2045">
        <f>_xlfn.XLOOKUP(C2045,Products!A:A,Products!D:D)</f>
        <v>506.08</v>
      </c>
      <c r="I2045">
        <v>10</v>
      </c>
      <c r="J2045">
        <f t="shared" si="95"/>
        <v>910.94399999999996</v>
      </c>
      <c r="K2045" t="s">
        <v>2024</v>
      </c>
      <c r="L2045" t="str">
        <f>_xlfn.XLOOKUP(Orders[[#This Row],[ProductID]],Products!A:A,Products!C:C)</f>
        <v>Clothing</v>
      </c>
    </row>
    <row r="2046" spans="1:12" x14ac:dyDescent="0.3">
      <c r="A2046">
        <v>2045</v>
      </c>
      <c r="B2046">
        <v>1196</v>
      </c>
      <c r="C2046">
        <v>66</v>
      </c>
      <c r="D2046" t="s">
        <v>158</v>
      </c>
      <c r="E2046">
        <f t="shared" si="93"/>
        <v>2023</v>
      </c>
      <c r="F2046" t="str">
        <f t="shared" si="94"/>
        <v>Jun</v>
      </c>
      <c r="G2046">
        <v>2</v>
      </c>
      <c r="H2046">
        <f>_xlfn.XLOOKUP(C2046,Products!A:A,Products!D:D)</f>
        <v>783.37</v>
      </c>
      <c r="I2046">
        <v>15</v>
      </c>
      <c r="J2046">
        <f t="shared" si="95"/>
        <v>1331.729</v>
      </c>
      <c r="K2046" t="s">
        <v>2019</v>
      </c>
      <c r="L2046" t="str">
        <f>_xlfn.XLOOKUP(Orders[[#This Row],[ProductID]],Products!A:A,Products!C:C)</f>
        <v>Home</v>
      </c>
    </row>
    <row r="2047" spans="1:12" x14ac:dyDescent="0.3">
      <c r="A2047">
        <v>2046</v>
      </c>
      <c r="B2047">
        <v>1196</v>
      </c>
      <c r="C2047">
        <v>76</v>
      </c>
      <c r="D2047" t="s">
        <v>158</v>
      </c>
      <c r="E2047">
        <f t="shared" si="93"/>
        <v>2023</v>
      </c>
      <c r="F2047" t="str">
        <f t="shared" si="94"/>
        <v>Jun</v>
      </c>
      <c r="G2047">
        <v>2</v>
      </c>
      <c r="H2047">
        <f>_xlfn.XLOOKUP(C2047,Products!A:A,Products!D:D)</f>
        <v>1043.26</v>
      </c>
      <c r="I2047">
        <v>0</v>
      </c>
      <c r="J2047">
        <f t="shared" si="95"/>
        <v>2086.52</v>
      </c>
      <c r="K2047" t="s">
        <v>2021</v>
      </c>
      <c r="L2047" t="str">
        <f>_xlfn.XLOOKUP(Orders[[#This Row],[ProductID]],Products!A:A,Products!C:C)</f>
        <v>Clothing</v>
      </c>
    </row>
    <row r="2048" spans="1:12" x14ac:dyDescent="0.3">
      <c r="A2048">
        <v>2047</v>
      </c>
      <c r="B2048">
        <v>1196</v>
      </c>
      <c r="C2048">
        <v>72</v>
      </c>
      <c r="D2048" t="s">
        <v>1726</v>
      </c>
      <c r="E2048">
        <f t="shared" si="93"/>
        <v>2023</v>
      </c>
      <c r="F2048" t="str">
        <f t="shared" si="94"/>
        <v>Apr</v>
      </c>
      <c r="G2048">
        <v>1</v>
      </c>
      <c r="H2048">
        <f>_xlfn.XLOOKUP(C2048,Products!A:A,Products!D:D)</f>
        <v>1157.27</v>
      </c>
      <c r="I2048">
        <v>5</v>
      </c>
      <c r="J2048">
        <f t="shared" si="95"/>
        <v>1099.4064999999998</v>
      </c>
      <c r="K2048" t="s">
        <v>2017</v>
      </c>
      <c r="L2048" t="str">
        <f>_xlfn.XLOOKUP(Orders[[#This Row],[ProductID]],Products!A:A,Products!C:C)</f>
        <v>Electronics</v>
      </c>
    </row>
    <row r="2049" spans="1:12" x14ac:dyDescent="0.3">
      <c r="A2049">
        <v>2048</v>
      </c>
      <c r="B2049">
        <v>1196</v>
      </c>
      <c r="C2049">
        <v>20</v>
      </c>
      <c r="D2049" t="s">
        <v>2181</v>
      </c>
      <c r="E2049">
        <f t="shared" si="93"/>
        <v>2024</v>
      </c>
      <c r="F2049" t="str">
        <f t="shared" si="94"/>
        <v>Apr</v>
      </c>
      <c r="G2049">
        <v>1</v>
      </c>
      <c r="H2049">
        <f>_xlfn.XLOOKUP(C2049,Products!A:A,Products!D:D)</f>
        <v>613.27</v>
      </c>
      <c r="I2049">
        <v>20</v>
      </c>
      <c r="J2049">
        <f t="shared" si="95"/>
        <v>490.61599999999999</v>
      </c>
      <c r="K2049" t="s">
        <v>2015</v>
      </c>
      <c r="L2049" t="str">
        <f>_xlfn.XLOOKUP(Orders[[#This Row],[ProductID]],Products!A:A,Products!C:C)</f>
        <v>Home</v>
      </c>
    </row>
    <row r="2050" spans="1:12" x14ac:dyDescent="0.3">
      <c r="A2050">
        <v>2049</v>
      </c>
      <c r="B2050">
        <v>1196</v>
      </c>
      <c r="C2050">
        <v>47</v>
      </c>
      <c r="D2050" t="s">
        <v>351</v>
      </c>
      <c r="E2050">
        <f t="shared" si="93"/>
        <v>2023</v>
      </c>
      <c r="F2050" t="str">
        <f t="shared" si="94"/>
        <v>Jul</v>
      </c>
      <c r="G2050">
        <v>3</v>
      </c>
      <c r="H2050">
        <f>_xlfn.XLOOKUP(C2050,Products!A:A,Products!D:D)</f>
        <v>1126.96</v>
      </c>
      <c r="I2050">
        <v>15</v>
      </c>
      <c r="J2050">
        <f t="shared" si="95"/>
        <v>2873.748</v>
      </c>
      <c r="K2050" t="s">
        <v>2017</v>
      </c>
      <c r="L2050" t="str">
        <f>_xlfn.XLOOKUP(Orders[[#This Row],[ProductID]],Products!A:A,Products!C:C)</f>
        <v>Beauty</v>
      </c>
    </row>
    <row r="2051" spans="1:12" x14ac:dyDescent="0.3">
      <c r="A2051">
        <v>2050</v>
      </c>
      <c r="B2051">
        <v>1197</v>
      </c>
      <c r="C2051">
        <v>73</v>
      </c>
      <c r="D2051" t="s">
        <v>1323</v>
      </c>
      <c r="E2051">
        <f t="shared" ref="E2051:E2080" si="96">YEAR(D2051)</f>
        <v>2023</v>
      </c>
      <c r="F2051" t="str">
        <f t="shared" ref="F2051:F2080" si="97">TEXT(D2051,"mmm")</f>
        <v>Jun</v>
      </c>
      <c r="G2051">
        <v>2</v>
      </c>
      <c r="H2051">
        <f>_xlfn.XLOOKUP(C2051,Products!A:A,Products!D:D)</f>
        <v>943.04</v>
      </c>
      <c r="I2051">
        <v>0</v>
      </c>
      <c r="J2051">
        <f t="shared" ref="J2051:J2080" si="98">G2051*H2051*(1-I2051/100)</f>
        <v>1886.08</v>
      </c>
      <c r="K2051" t="s">
        <v>2021</v>
      </c>
      <c r="L2051" t="str">
        <f>_xlfn.XLOOKUP(Orders[[#This Row],[ProductID]],Products!A:A,Products!C:C)</f>
        <v>Home</v>
      </c>
    </row>
    <row r="2052" spans="1:12" x14ac:dyDescent="0.3">
      <c r="A2052">
        <v>2051</v>
      </c>
      <c r="B2052">
        <v>1197</v>
      </c>
      <c r="C2052">
        <v>21</v>
      </c>
      <c r="D2052" t="s">
        <v>314</v>
      </c>
      <c r="E2052">
        <f t="shared" si="96"/>
        <v>2023</v>
      </c>
      <c r="F2052" t="str">
        <f t="shared" si="97"/>
        <v>Nov</v>
      </c>
      <c r="G2052">
        <v>2</v>
      </c>
      <c r="H2052">
        <f>_xlfn.XLOOKUP(C2052,Products!A:A,Products!D:D)</f>
        <v>420.66</v>
      </c>
      <c r="I2052">
        <v>0</v>
      </c>
      <c r="J2052">
        <f t="shared" si="98"/>
        <v>841.32</v>
      </c>
      <c r="K2052" t="s">
        <v>2024</v>
      </c>
      <c r="L2052" t="str">
        <f>_xlfn.XLOOKUP(Orders[[#This Row],[ProductID]],Products!A:A,Products!C:C)</f>
        <v>Beauty</v>
      </c>
    </row>
    <row r="2053" spans="1:12" x14ac:dyDescent="0.3">
      <c r="A2053">
        <v>2052</v>
      </c>
      <c r="B2053">
        <v>1197</v>
      </c>
      <c r="C2053">
        <v>8</v>
      </c>
      <c r="D2053" t="s">
        <v>1495</v>
      </c>
      <c r="E2053">
        <f t="shared" si="96"/>
        <v>2023</v>
      </c>
      <c r="F2053" t="str">
        <f t="shared" si="97"/>
        <v>Aug</v>
      </c>
      <c r="G2053">
        <v>2</v>
      </c>
      <c r="H2053">
        <f>_xlfn.XLOOKUP(C2053,Products!A:A,Products!D:D)</f>
        <v>155.08000000000001</v>
      </c>
      <c r="I2053">
        <v>15</v>
      </c>
      <c r="J2053">
        <f t="shared" si="98"/>
        <v>263.63600000000002</v>
      </c>
      <c r="K2053" t="s">
        <v>2021</v>
      </c>
      <c r="L2053" t="str">
        <f>_xlfn.XLOOKUP(Orders[[#This Row],[ProductID]],Products!A:A,Products!C:C)</f>
        <v>Clothing</v>
      </c>
    </row>
    <row r="2054" spans="1:12" x14ac:dyDescent="0.3">
      <c r="A2054">
        <v>2053</v>
      </c>
      <c r="B2054">
        <v>1197</v>
      </c>
      <c r="C2054">
        <v>54</v>
      </c>
      <c r="D2054" t="s">
        <v>516</v>
      </c>
      <c r="E2054">
        <f t="shared" si="96"/>
        <v>2023</v>
      </c>
      <c r="F2054" t="str">
        <f t="shared" si="97"/>
        <v>Aug</v>
      </c>
      <c r="G2054">
        <v>1</v>
      </c>
      <c r="H2054">
        <f>_xlfn.XLOOKUP(C2054,Products!A:A,Products!D:D)</f>
        <v>900.79</v>
      </c>
      <c r="I2054">
        <v>10</v>
      </c>
      <c r="J2054">
        <f t="shared" si="98"/>
        <v>810.71100000000001</v>
      </c>
      <c r="K2054" t="s">
        <v>2024</v>
      </c>
      <c r="L2054" t="str">
        <f>_xlfn.XLOOKUP(Orders[[#This Row],[ProductID]],Products!A:A,Products!C:C)</f>
        <v>Electronics</v>
      </c>
    </row>
    <row r="2055" spans="1:12" x14ac:dyDescent="0.3">
      <c r="A2055">
        <v>2054</v>
      </c>
      <c r="B2055">
        <v>1197</v>
      </c>
      <c r="C2055">
        <v>16</v>
      </c>
      <c r="D2055" t="s">
        <v>588</v>
      </c>
      <c r="E2055">
        <f t="shared" si="96"/>
        <v>2023</v>
      </c>
      <c r="F2055" t="str">
        <f t="shared" si="97"/>
        <v>Jun</v>
      </c>
      <c r="G2055">
        <v>1</v>
      </c>
      <c r="H2055">
        <f>_xlfn.XLOOKUP(C2055,Products!A:A,Products!D:D)</f>
        <v>693.02</v>
      </c>
      <c r="I2055">
        <v>15</v>
      </c>
      <c r="J2055">
        <f t="shared" si="98"/>
        <v>589.06700000000001</v>
      </c>
      <c r="K2055" t="s">
        <v>2017</v>
      </c>
      <c r="L2055" t="str">
        <f>_xlfn.XLOOKUP(Orders[[#This Row],[ProductID]],Products!A:A,Products!C:C)</f>
        <v>Home</v>
      </c>
    </row>
    <row r="2056" spans="1:12" x14ac:dyDescent="0.3">
      <c r="A2056">
        <v>2055</v>
      </c>
      <c r="B2056">
        <v>1197</v>
      </c>
      <c r="C2056">
        <v>51</v>
      </c>
      <c r="D2056" t="s">
        <v>2079</v>
      </c>
      <c r="E2056">
        <f t="shared" si="96"/>
        <v>2023</v>
      </c>
      <c r="F2056" t="str">
        <f t="shared" si="97"/>
        <v>Oct</v>
      </c>
      <c r="G2056">
        <v>1</v>
      </c>
      <c r="H2056">
        <f>_xlfn.XLOOKUP(C2056,Products!A:A,Products!D:D)</f>
        <v>759.57</v>
      </c>
      <c r="I2056">
        <v>15</v>
      </c>
      <c r="J2056">
        <f t="shared" si="98"/>
        <v>645.6345</v>
      </c>
      <c r="K2056" t="s">
        <v>2017</v>
      </c>
      <c r="L2056" t="str">
        <f>_xlfn.XLOOKUP(Orders[[#This Row],[ProductID]],Products!A:A,Products!C:C)</f>
        <v>Beauty</v>
      </c>
    </row>
    <row r="2057" spans="1:12" x14ac:dyDescent="0.3">
      <c r="A2057">
        <v>2056</v>
      </c>
      <c r="B2057">
        <v>1197</v>
      </c>
      <c r="C2057">
        <v>31</v>
      </c>
      <c r="D2057" t="s">
        <v>1893</v>
      </c>
      <c r="E2057">
        <f t="shared" si="96"/>
        <v>2023</v>
      </c>
      <c r="F2057" t="str">
        <f t="shared" si="97"/>
        <v>May</v>
      </c>
      <c r="G2057">
        <v>1</v>
      </c>
      <c r="H2057">
        <f>_xlfn.XLOOKUP(C2057,Products!A:A,Products!D:D)</f>
        <v>131.79</v>
      </c>
      <c r="I2057">
        <v>20</v>
      </c>
      <c r="J2057">
        <f t="shared" si="98"/>
        <v>105.432</v>
      </c>
      <c r="K2057" t="s">
        <v>2021</v>
      </c>
      <c r="L2057" t="str">
        <f>_xlfn.XLOOKUP(Orders[[#This Row],[ProductID]],Products!A:A,Products!C:C)</f>
        <v>Beauty</v>
      </c>
    </row>
    <row r="2058" spans="1:12" x14ac:dyDescent="0.3">
      <c r="A2058">
        <v>2057</v>
      </c>
      <c r="B2058">
        <v>1197</v>
      </c>
      <c r="C2058">
        <v>44</v>
      </c>
      <c r="D2058" t="s">
        <v>1919</v>
      </c>
      <c r="E2058">
        <f t="shared" si="96"/>
        <v>2023</v>
      </c>
      <c r="F2058" t="str">
        <f t="shared" si="97"/>
        <v>Mar</v>
      </c>
      <c r="G2058">
        <v>3</v>
      </c>
      <c r="H2058">
        <f>_xlfn.XLOOKUP(C2058,Products!A:A,Products!D:D)</f>
        <v>1038</v>
      </c>
      <c r="I2058">
        <v>10</v>
      </c>
      <c r="J2058">
        <f t="shared" si="98"/>
        <v>2802.6</v>
      </c>
      <c r="K2058" t="s">
        <v>2015</v>
      </c>
      <c r="L2058" t="str">
        <f>_xlfn.XLOOKUP(Orders[[#This Row],[ProductID]],Products!A:A,Products!C:C)</f>
        <v>Home</v>
      </c>
    </row>
    <row r="2059" spans="1:12" x14ac:dyDescent="0.3">
      <c r="A2059">
        <v>2058</v>
      </c>
      <c r="B2059">
        <v>1198</v>
      </c>
      <c r="C2059">
        <v>49</v>
      </c>
      <c r="D2059" t="s">
        <v>2106</v>
      </c>
      <c r="E2059">
        <f t="shared" si="96"/>
        <v>2024</v>
      </c>
      <c r="F2059" t="str">
        <f t="shared" si="97"/>
        <v>Mar</v>
      </c>
      <c r="G2059">
        <v>1</v>
      </c>
      <c r="H2059">
        <f>_xlfn.XLOOKUP(C2059,Products!A:A,Products!D:D)</f>
        <v>974.54</v>
      </c>
      <c r="I2059">
        <v>0</v>
      </c>
      <c r="J2059">
        <f t="shared" si="98"/>
        <v>974.54</v>
      </c>
      <c r="K2059" t="s">
        <v>2019</v>
      </c>
      <c r="L2059" t="str">
        <f>_xlfn.XLOOKUP(Orders[[#This Row],[ProductID]],Products!A:A,Products!C:C)</f>
        <v>Home</v>
      </c>
    </row>
    <row r="2060" spans="1:12" x14ac:dyDescent="0.3">
      <c r="A2060">
        <v>2059</v>
      </c>
      <c r="B2060">
        <v>1198</v>
      </c>
      <c r="C2060">
        <v>11</v>
      </c>
      <c r="D2060" t="s">
        <v>2050</v>
      </c>
      <c r="E2060">
        <f t="shared" si="96"/>
        <v>2024</v>
      </c>
      <c r="F2060" t="str">
        <f t="shared" si="97"/>
        <v>Feb</v>
      </c>
      <c r="G2060">
        <v>3</v>
      </c>
      <c r="H2060">
        <f>_xlfn.XLOOKUP(C2060,Products!A:A,Products!D:D)</f>
        <v>1038.77</v>
      </c>
      <c r="I2060">
        <v>0</v>
      </c>
      <c r="J2060">
        <f t="shared" si="98"/>
        <v>3116.31</v>
      </c>
      <c r="K2060" t="s">
        <v>2021</v>
      </c>
      <c r="L2060" t="str">
        <f>_xlfn.XLOOKUP(Orders[[#This Row],[ProductID]],Products!A:A,Products!C:C)</f>
        <v>Beauty</v>
      </c>
    </row>
    <row r="2061" spans="1:12" x14ac:dyDescent="0.3">
      <c r="A2061">
        <v>2060</v>
      </c>
      <c r="B2061">
        <v>1198</v>
      </c>
      <c r="C2061">
        <v>70</v>
      </c>
      <c r="D2061" t="s">
        <v>110</v>
      </c>
      <c r="E2061">
        <f t="shared" si="96"/>
        <v>2023</v>
      </c>
      <c r="F2061" t="str">
        <f t="shared" si="97"/>
        <v>Aug</v>
      </c>
      <c r="G2061">
        <v>2</v>
      </c>
      <c r="H2061">
        <f>_xlfn.XLOOKUP(C2061,Products!A:A,Products!D:D)</f>
        <v>797.23</v>
      </c>
      <c r="I2061">
        <v>0</v>
      </c>
      <c r="J2061">
        <f t="shared" si="98"/>
        <v>1594.46</v>
      </c>
      <c r="K2061" t="s">
        <v>2021</v>
      </c>
      <c r="L2061" t="str">
        <f>_xlfn.XLOOKUP(Orders[[#This Row],[ProductID]],Products!A:A,Products!C:C)</f>
        <v>Clothing</v>
      </c>
    </row>
    <row r="2062" spans="1:12" x14ac:dyDescent="0.3">
      <c r="A2062">
        <v>2061</v>
      </c>
      <c r="B2062">
        <v>1198</v>
      </c>
      <c r="C2062">
        <v>7</v>
      </c>
      <c r="D2062" t="s">
        <v>1282</v>
      </c>
      <c r="E2062">
        <f t="shared" si="96"/>
        <v>2023</v>
      </c>
      <c r="F2062" t="str">
        <f t="shared" si="97"/>
        <v>Jan</v>
      </c>
      <c r="G2062">
        <v>2</v>
      </c>
      <c r="H2062">
        <f>_xlfn.XLOOKUP(C2062,Products!A:A,Products!D:D)</f>
        <v>97.29</v>
      </c>
      <c r="I2062">
        <v>5</v>
      </c>
      <c r="J2062">
        <f t="shared" si="98"/>
        <v>184.851</v>
      </c>
      <c r="K2062" t="s">
        <v>2019</v>
      </c>
      <c r="L2062" t="str">
        <f>_xlfn.XLOOKUP(Orders[[#This Row],[ProductID]],Products!A:A,Products!C:C)</f>
        <v>Beauty</v>
      </c>
    </row>
    <row r="2063" spans="1:12" x14ac:dyDescent="0.3">
      <c r="A2063">
        <v>2062</v>
      </c>
      <c r="B2063">
        <v>1198</v>
      </c>
      <c r="C2063">
        <v>18</v>
      </c>
      <c r="D2063" t="s">
        <v>916</v>
      </c>
      <c r="E2063">
        <f t="shared" si="96"/>
        <v>2023</v>
      </c>
      <c r="F2063" t="str">
        <f t="shared" si="97"/>
        <v>May</v>
      </c>
      <c r="G2063">
        <v>2</v>
      </c>
      <c r="H2063">
        <f>_xlfn.XLOOKUP(C2063,Products!A:A,Products!D:D)</f>
        <v>138.07</v>
      </c>
      <c r="I2063">
        <v>10</v>
      </c>
      <c r="J2063">
        <f t="shared" si="98"/>
        <v>248.52599999999998</v>
      </c>
      <c r="K2063" t="s">
        <v>2015</v>
      </c>
      <c r="L2063" t="str">
        <f>_xlfn.XLOOKUP(Orders[[#This Row],[ProductID]],Products!A:A,Products!C:C)</f>
        <v>Home</v>
      </c>
    </row>
    <row r="2064" spans="1:12" x14ac:dyDescent="0.3">
      <c r="A2064">
        <v>2063</v>
      </c>
      <c r="B2064">
        <v>1198</v>
      </c>
      <c r="C2064">
        <v>12</v>
      </c>
      <c r="D2064" t="s">
        <v>2124</v>
      </c>
      <c r="E2064">
        <f t="shared" si="96"/>
        <v>2023</v>
      </c>
      <c r="F2064" t="str">
        <f t="shared" si="97"/>
        <v>Jan</v>
      </c>
      <c r="G2064">
        <v>1</v>
      </c>
      <c r="H2064">
        <f>_xlfn.XLOOKUP(C2064,Products!A:A,Products!D:D)</f>
        <v>627.41999999999996</v>
      </c>
      <c r="I2064">
        <v>10</v>
      </c>
      <c r="J2064">
        <f t="shared" si="98"/>
        <v>564.678</v>
      </c>
      <c r="K2064" t="s">
        <v>2024</v>
      </c>
      <c r="L2064" t="str">
        <f>_xlfn.XLOOKUP(Orders[[#This Row],[ProductID]],Products!A:A,Products!C:C)</f>
        <v>Beauty</v>
      </c>
    </row>
    <row r="2065" spans="1:12" x14ac:dyDescent="0.3">
      <c r="A2065">
        <v>2064</v>
      </c>
      <c r="B2065">
        <v>1198</v>
      </c>
      <c r="C2065">
        <v>13</v>
      </c>
      <c r="D2065" t="s">
        <v>1176</v>
      </c>
      <c r="E2065">
        <f t="shared" si="96"/>
        <v>2023</v>
      </c>
      <c r="F2065" t="str">
        <f t="shared" si="97"/>
        <v>Jan</v>
      </c>
      <c r="G2065">
        <v>3</v>
      </c>
      <c r="H2065">
        <f>_xlfn.XLOOKUP(C2065,Products!A:A,Products!D:D)</f>
        <v>334.61</v>
      </c>
      <c r="I2065">
        <v>0</v>
      </c>
      <c r="J2065">
        <f t="shared" si="98"/>
        <v>1003.83</v>
      </c>
      <c r="K2065" t="s">
        <v>2019</v>
      </c>
      <c r="L2065" t="str">
        <f>_xlfn.XLOOKUP(Orders[[#This Row],[ProductID]],Products!A:A,Products!C:C)</f>
        <v>Home</v>
      </c>
    </row>
    <row r="2066" spans="1:12" x14ac:dyDescent="0.3">
      <c r="A2066">
        <v>2065</v>
      </c>
      <c r="B2066">
        <v>1199</v>
      </c>
      <c r="C2066">
        <v>79</v>
      </c>
      <c r="D2066" t="s">
        <v>2083</v>
      </c>
      <c r="E2066">
        <f t="shared" si="96"/>
        <v>2023</v>
      </c>
      <c r="F2066" t="str">
        <f t="shared" si="97"/>
        <v>Jan</v>
      </c>
      <c r="G2066">
        <v>1</v>
      </c>
      <c r="H2066">
        <f>_xlfn.XLOOKUP(C2066,Products!A:A,Products!D:D)</f>
        <v>488.34</v>
      </c>
      <c r="I2066">
        <v>5</v>
      </c>
      <c r="J2066">
        <f t="shared" si="98"/>
        <v>463.92299999999994</v>
      </c>
      <c r="K2066" t="s">
        <v>2017</v>
      </c>
      <c r="L2066" t="str">
        <f>_xlfn.XLOOKUP(Orders[[#This Row],[ProductID]],Products!A:A,Products!C:C)</f>
        <v>Electronics</v>
      </c>
    </row>
    <row r="2067" spans="1:12" x14ac:dyDescent="0.3">
      <c r="A2067">
        <v>2066</v>
      </c>
      <c r="B2067">
        <v>1199</v>
      </c>
      <c r="C2067">
        <v>63</v>
      </c>
      <c r="D2067" t="s">
        <v>1432</v>
      </c>
      <c r="E2067">
        <f t="shared" si="96"/>
        <v>2023</v>
      </c>
      <c r="F2067" t="str">
        <f t="shared" si="97"/>
        <v>Feb</v>
      </c>
      <c r="G2067">
        <v>2</v>
      </c>
      <c r="H2067">
        <f>_xlfn.XLOOKUP(C2067,Products!A:A,Products!D:D)</f>
        <v>309.79000000000002</v>
      </c>
      <c r="I2067">
        <v>20</v>
      </c>
      <c r="J2067">
        <f t="shared" si="98"/>
        <v>495.66400000000004</v>
      </c>
      <c r="K2067" t="s">
        <v>2024</v>
      </c>
      <c r="L2067" t="str">
        <f>_xlfn.XLOOKUP(Orders[[#This Row],[ProductID]],Products!A:A,Products!C:C)</f>
        <v>Electronics</v>
      </c>
    </row>
    <row r="2068" spans="1:12" x14ac:dyDescent="0.3">
      <c r="A2068">
        <v>2067</v>
      </c>
      <c r="B2068">
        <v>1199</v>
      </c>
      <c r="C2068">
        <v>79</v>
      </c>
      <c r="D2068" t="s">
        <v>2161</v>
      </c>
      <c r="E2068">
        <f t="shared" si="96"/>
        <v>2024</v>
      </c>
      <c r="F2068" t="str">
        <f t="shared" si="97"/>
        <v>Mar</v>
      </c>
      <c r="G2068">
        <v>3</v>
      </c>
      <c r="H2068">
        <f>_xlfn.XLOOKUP(C2068,Products!A:A,Products!D:D)</f>
        <v>488.34</v>
      </c>
      <c r="I2068">
        <v>0</v>
      </c>
      <c r="J2068">
        <f t="shared" si="98"/>
        <v>1465.02</v>
      </c>
      <c r="K2068" t="s">
        <v>2015</v>
      </c>
      <c r="L2068" t="str">
        <f>_xlfn.XLOOKUP(Orders[[#This Row],[ProductID]],Products!A:A,Products!C:C)</f>
        <v>Electronics</v>
      </c>
    </row>
    <row r="2069" spans="1:12" x14ac:dyDescent="0.3">
      <c r="A2069">
        <v>2068</v>
      </c>
      <c r="B2069">
        <v>1199</v>
      </c>
      <c r="C2069">
        <v>37</v>
      </c>
      <c r="D2069" t="s">
        <v>331</v>
      </c>
      <c r="E2069">
        <f t="shared" si="96"/>
        <v>2023</v>
      </c>
      <c r="F2069" t="str">
        <f t="shared" si="97"/>
        <v>Mar</v>
      </c>
      <c r="G2069">
        <v>1</v>
      </c>
      <c r="H2069">
        <f>_xlfn.XLOOKUP(C2069,Products!A:A,Products!D:D)</f>
        <v>968.87</v>
      </c>
      <c r="I2069">
        <v>15</v>
      </c>
      <c r="J2069">
        <f t="shared" si="98"/>
        <v>823.53949999999998</v>
      </c>
      <c r="K2069" t="s">
        <v>2015</v>
      </c>
      <c r="L2069" t="str">
        <f>_xlfn.XLOOKUP(Orders[[#This Row],[ProductID]],Products!A:A,Products!C:C)</f>
        <v>Home</v>
      </c>
    </row>
    <row r="2070" spans="1:12" x14ac:dyDescent="0.3">
      <c r="A2070">
        <v>2069</v>
      </c>
      <c r="B2070">
        <v>1199</v>
      </c>
      <c r="C2070">
        <v>34</v>
      </c>
      <c r="D2070" t="s">
        <v>1837</v>
      </c>
      <c r="E2070">
        <f t="shared" si="96"/>
        <v>2023</v>
      </c>
      <c r="F2070" t="str">
        <f t="shared" si="97"/>
        <v>Mar</v>
      </c>
      <c r="G2070">
        <v>3</v>
      </c>
      <c r="H2070">
        <f>_xlfn.XLOOKUP(C2070,Products!A:A,Products!D:D)</f>
        <v>523.98</v>
      </c>
      <c r="I2070">
        <v>20</v>
      </c>
      <c r="J2070">
        <f t="shared" si="98"/>
        <v>1257.5520000000001</v>
      </c>
      <c r="K2070" t="s">
        <v>2019</v>
      </c>
      <c r="L2070" t="str">
        <f>_xlfn.XLOOKUP(Orders[[#This Row],[ProductID]],Products!A:A,Products!C:C)</f>
        <v>Home</v>
      </c>
    </row>
    <row r="2071" spans="1:12" x14ac:dyDescent="0.3">
      <c r="A2071">
        <v>2070</v>
      </c>
      <c r="B2071">
        <v>1199</v>
      </c>
      <c r="C2071">
        <v>64</v>
      </c>
      <c r="D2071" t="s">
        <v>912</v>
      </c>
      <c r="E2071">
        <f t="shared" si="96"/>
        <v>2023</v>
      </c>
      <c r="F2071" t="str">
        <f t="shared" si="97"/>
        <v>Nov</v>
      </c>
      <c r="G2071">
        <v>1</v>
      </c>
      <c r="H2071">
        <f>_xlfn.XLOOKUP(C2071,Products!A:A,Products!D:D)</f>
        <v>567.71</v>
      </c>
      <c r="I2071">
        <v>10</v>
      </c>
      <c r="J2071">
        <f t="shared" si="98"/>
        <v>510.93900000000002</v>
      </c>
      <c r="K2071" t="s">
        <v>2019</v>
      </c>
      <c r="L2071" t="str">
        <f>_xlfn.XLOOKUP(Orders[[#This Row],[ProductID]],Products!A:A,Products!C:C)</f>
        <v>Clothing</v>
      </c>
    </row>
    <row r="2072" spans="1:12" x14ac:dyDescent="0.3">
      <c r="A2072">
        <v>2071</v>
      </c>
      <c r="B2072">
        <v>1199</v>
      </c>
      <c r="C2072">
        <v>51</v>
      </c>
      <c r="D2072" t="s">
        <v>2106</v>
      </c>
      <c r="E2072">
        <f t="shared" si="96"/>
        <v>2024</v>
      </c>
      <c r="F2072" t="str">
        <f t="shared" si="97"/>
        <v>Mar</v>
      </c>
      <c r="G2072">
        <v>2</v>
      </c>
      <c r="H2072">
        <f>_xlfn.XLOOKUP(C2072,Products!A:A,Products!D:D)</f>
        <v>759.57</v>
      </c>
      <c r="I2072">
        <v>5</v>
      </c>
      <c r="J2072">
        <f t="shared" si="98"/>
        <v>1443.183</v>
      </c>
      <c r="K2072" t="s">
        <v>2017</v>
      </c>
      <c r="L2072" t="str">
        <f>_xlfn.XLOOKUP(Orders[[#This Row],[ProductID]],Products!A:A,Products!C:C)</f>
        <v>Beauty</v>
      </c>
    </row>
    <row r="2073" spans="1:12" x14ac:dyDescent="0.3">
      <c r="A2073">
        <v>2072</v>
      </c>
      <c r="B2073">
        <v>1199</v>
      </c>
      <c r="C2073">
        <v>58</v>
      </c>
      <c r="D2073" t="s">
        <v>337</v>
      </c>
      <c r="E2073">
        <f t="shared" si="96"/>
        <v>2023</v>
      </c>
      <c r="F2073" t="str">
        <f t="shared" si="97"/>
        <v>Jul</v>
      </c>
      <c r="G2073">
        <v>3</v>
      </c>
      <c r="H2073">
        <f>_xlfn.XLOOKUP(C2073,Products!A:A,Products!D:D)</f>
        <v>334.98</v>
      </c>
      <c r="I2073">
        <v>10</v>
      </c>
      <c r="J2073">
        <f t="shared" si="98"/>
        <v>904.44600000000003</v>
      </c>
      <c r="K2073" t="s">
        <v>2024</v>
      </c>
      <c r="L2073" t="str">
        <f>_xlfn.XLOOKUP(Orders[[#This Row],[ProductID]],Products!A:A,Products!C:C)</f>
        <v>Home</v>
      </c>
    </row>
    <row r="2074" spans="1:12" x14ac:dyDescent="0.3">
      <c r="A2074">
        <v>2073</v>
      </c>
      <c r="B2074">
        <v>1200</v>
      </c>
      <c r="C2074">
        <v>52</v>
      </c>
      <c r="D2074" t="s">
        <v>2120</v>
      </c>
      <c r="E2074">
        <f t="shared" si="96"/>
        <v>2023</v>
      </c>
      <c r="F2074" t="str">
        <f t="shared" si="97"/>
        <v>Aug</v>
      </c>
      <c r="G2074">
        <v>1</v>
      </c>
      <c r="H2074">
        <f>_xlfn.XLOOKUP(C2074,Products!A:A,Products!D:D)</f>
        <v>256.76</v>
      </c>
      <c r="I2074">
        <v>10</v>
      </c>
      <c r="J2074">
        <f t="shared" si="98"/>
        <v>231.084</v>
      </c>
      <c r="K2074" t="s">
        <v>2024</v>
      </c>
      <c r="L2074" t="str">
        <f>_xlfn.XLOOKUP(Orders[[#This Row],[ProductID]],Products!A:A,Products!C:C)</f>
        <v>Home</v>
      </c>
    </row>
    <row r="2075" spans="1:12" x14ac:dyDescent="0.3">
      <c r="A2075">
        <v>2074</v>
      </c>
      <c r="B2075">
        <v>1200</v>
      </c>
      <c r="C2075">
        <v>27</v>
      </c>
      <c r="D2075" t="s">
        <v>1450</v>
      </c>
      <c r="E2075">
        <f t="shared" si="96"/>
        <v>2023</v>
      </c>
      <c r="F2075" t="str">
        <f t="shared" si="97"/>
        <v>May</v>
      </c>
      <c r="G2075">
        <v>2</v>
      </c>
      <c r="H2075">
        <f>_xlfn.XLOOKUP(C2075,Products!A:A,Products!D:D)</f>
        <v>76.09</v>
      </c>
      <c r="I2075">
        <v>5</v>
      </c>
      <c r="J2075">
        <f t="shared" si="98"/>
        <v>144.571</v>
      </c>
      <c r="K2075" t="s">
        <v>2021</v>
      </c>
      <c r="L2075" t="str">
        <f>_xlfn.XLOOKUP(Orders[[#This Row],[ProductID]],Products!A:A,Products!C:C)</f>
        <v>Clothing</v>
      </c>
    </row>
    <row r="2076" spans="1:12" x14ac:dyDescent="0.3">
      <c r="A2076">
        <v>2075</v>
      </c>
      <c r="B2076">
        <v>1200</v>
      </c>
      <c r="C2076">
        <v>5</v>
      </c>
      <c r="D2076" t="s">
        <v>153</v>
      </c>
      <c r="E2076">
        <f t="shared" si="96"/>
        <v>2023</v>
      </c>
      <c r="F2076" t="str">
        <f t="shared" si="97"/>
        <v>Feb</v>
      </c>
      <c r="G2076">
        <v>1</v>
      </c>
      <c r="H2076">
        <f>_xlfn.XLOOKUP(C2076,Products!A:A,Products!D:D)</f>
        <v>296.85000000000002</v>
      </c>
      <c r="I2076">
        <v>20</v>
      </c>
      <c r="J2076">
        <f t="shared" si="98"/>
        <v>237.48000000000002</v>
      </c>
      <c r="K2076" t="s">
        <v>2019</v>
      </c>
      <c r="L2076" t="str">
        <f>_xlfn.XLOOKUP(Orders[[#This Row],[ProductID]],Products!A:A,Products!C:C)</f>
        <v>Clothing</v>
      </c>
    </row>
    <row r="2077" spans="1:12" x14ac:dyDescent="0.3">
      <c r="A2077">
        <v>2076</v>
      </c>
      <c r="B2077">
        <v>1200</v>
      </c>
      <c r="C2077">
        <v>19</v>
      </c>
      <c r="D2077" t="s">
        <v>1432</v>
      </c>
      <c r="E2077">
        <f t="shared" si="96"/>
        <v>2023</v>
      </c>
      <c r="F2077" t="str">
        <f t="shared" si="97"/>
        <v>Feb</v>
      </c>
      <c r="G2077">
        <v>2</v>
      </c>
      <c r="H2077">
        <f>_xlfn.XLOOKUP(C2077,Products!A:A,Products!D:D)</f>
        <v>262.97000000000003</v>
      </c>
      <c r="I2077">
        <v>5</v>
      </c>
      <c r="J2077">
        <f t="shared" si="98"/>
        <v>499.64300000000003</v>
      </c>
      <c r="K2077" t="s">
        <v>2021</v>
      </c>
      <c r="L2077" t="str">
        <f>_xlfn.XLOOKUP(Orders[[#This Row],[ProductID]],Products!A:A,Products!C:C)</f>
        <v>Beauty</v>
      </c>
    </row>
    <row r="2078" spans="1:12" x14ac:dyDescent="0.3">
      <c r="A2078">
        <v>2077</v>
      </c>
      <c r="B2078">
        <v>1200</v>
      </c>
      <c r="C2078">
        <v>10</v>
      </c>
      <c r="D2078" t="s">
        <v>1243</v>
      </c>
      <c r="E2078">
        <f t="shared" si="96"/>
        <v>2023</v>
      </c>
      <c r="F2078" t="str">
        <f t="shared" si="97"/>
        <v>May</v>
      </c>
      <c r="G2078">
        <v>2</v>
      </c>
      <c r="H2078">
        <f>_xlfn.XLOOKUP(C2078,Products!A:A,Products!D:D)</f>
        <v>64.11</v>
      </c>
      <c r="I2078">
        <v>10</v>
      </c>
      <c r="J2078">
        <f t="shared" si="98"/>
        <v>115.398</v>
      </c>
      <c r="K2078" t="s">
        <v>2015</v>
      </c>
      <c r="L2078" t="str">
        <f>_xlfn.XLOOKUP(Orders[[#This Row],[ProductID]],Products!A:A,Products!C:C)</f>
        <v>Clothing</v>
      </c>
    </row>
    <row r="2079" spans="1:12" x14ac:dyDescent="0.3">
      <c r="A2079">
        <v>2078</v>
      </c>
      <c r="B2079">
        <v>1200</v>
      </c>
      <c r="C2079">
        <v>31</v>
      </c>
      <c r="D2079" t="s">
        <v>2235</v>
      </c>
      <c r="E2079">
        <f t="shared" si="96"/>
        <v>2024</v>
      </c>
      <c r="F2079" t="str">
        <f t="shared" si="97"/>
        <v>Jan</v>
      </c>
      <c r="G2079">
        <v>2</v>
      </c>
      <c r="H2079">
        <f>_xlfn.XLOOKUP(C2079,Products!A:A,Products!D:D)</f>
        <v>131.79</v>
      </c>
      <c r="I2079">
        <v>15</v>
      </c>
      <c r="J2079">
        <f t="shared" si="98"/>
        <v>224.04299999999998</v>
      </c>
      <c r="K2079" t="s">
        <v>2017</v>
      </c>
      <c r="L2079" t="str">
        <f>_xlfn.XLOOKUP(Orders[[#This Row],[ProductID]],Products!A:A,Products!C:C)</f>
        <v>Beauty</v>
      </c>
    </row>
    <row r="2080" spans="1:12" x14ac:dyDescent="0.3">
      <c r="A2080">
        <v>2079</v>
      </c>
      <c r="B2080">
        <v>1200</v>
      </c>
      <c r="C2080">
        <v>16</v>
      </c>
      <c r="D2080" t="s">
        <v>2154</v>
      </c>
      <c r="E2080">
        <f t="shared" si="96"/>
        <v>2024</v>
      </c>
      <c r="F2080" t="str">
        <f t="shared" si="97"/>
        <v>Apr</v>
      </c>
      <c r="G2080">
        <v>3</v>
      </c>
      <c r="H2080">
        <f>_xlfn.XLOOKUP(C2080,Products!A:A,Products!D:D)</f>
        <v>693.02</v>
      </c>
      <c r="I2080">
        <v>20</v>
      </c>
      <c r="J2080">
        <f t="shared" si="98"/>
        <v>1663.248</v>
      </c>
      <c r="K2080" t="s">
        <v>2015</v>
      </c>
      <c r="L2080" t="str">
        <f>_xlfn.XLOOKUP(Orders[[#This Row],[ProductID]],Products!A:A,Products!C:C)</f>
        <v>Home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>
      <selection activeCell="B8" sqref="B8"/>
    </sheetView>
  </sheetViews>
  <sheetFormatPr defaultRowHeight="14.4" x14ac:dyDescent="0.3"/>
  <cols>
    <col min="1" max="1" width="13.109375" customWidth="1"/>
    <col min="2" max="2" width="14" bestFit="1" customWidth="1"/>
    <col min="3" max="3" width="9" bestFit="1" customWidth="1"/>
    <col min="4" max="4" width="15.21875" customWidth="1"/>
    <col min="6" max="6" width="19.44140625" bestFit="1" customWidth="1"/>
  </cols>
  <sheetData>
    <row r="1" spans="1:7" x14ac:dyDescent="0.3">
      <c r="A1" t="s">
        <v>2241</v>
      </c>
      <c r="B1" t="s">
        <v>2242</v>
      </c>
      <c r="C1" t="s">
        <v>2243</v>
      </c>
      <c r="D1" t="s">
        <v>2244</v>
      </c>
    </row>
    <row r="2" spans="1:7" x14ac:dyDescent="0.3">
      <c r="A2">
        <v>1</v>
      </c>
      <c r="B2" t="s">
        <v>2245</v>
      </c>
      <c r="C2">
        <v>6748.37</v>
      </c>
      <c r="D2" t="s">
        <v>2020</v>
      </c>
    </row>
    <row r="3" spans="1:7" x14ac:dyDescent="0.3">
      <c r="A3">
        <v>2</v>
      </c>
      <c r="B3" t="s">
        <v>2246</v>
      </c>
      <c r="C3">
        <v>18016.2</v>
      </c>
      <c r="D3" t="s">
        <v>298</v>
      </c>
      <c r="F3" t="s">
        <v>2278</v>
      </c>
      <c r="G3">
        <f>SUM(Marketing[Spend])</f>
        <v>1147237.9699999997</v>
      </c>
    </row>
    <row r="4" spans="1:7" x14ac:dyDescent="0.3">
      <c r="A4">
        <v>3</v>
      </c>
      <c r="B4" t="s">
        <v>2245</v>
      </c>
      <c r="C4">
        <v>7919.98</v>
      </c>
      <c r="D4" t="s">
        <v>405</v>
      </c>
    </row>
    <row r="5" spans="1:7" x14ac:dyDescent="0.3">
      <c r="A5">
        <v>4</v>
      </c>
      <c r="B5" t="s">
        <v>2246</v>
      </c>
      <c r="C5">
        <v>7556.63</v>
      </c>
      <c r="D5" t="s">
        <v>1448</v>
      </c>
    </row>
    <row r="6" spans="1:7" x14ac:dyDescent="0.3">
      <c r="A6">
        <v>5</v>
      </c>
      <c r="B6" t="s">
        <v>2247</v>
      </c>
      <c r="C6">
        <v>16981.310000000001</v>
      </c>
      <c r="D6" t="s">
        <v>2219</v>
      </c>
    </row>
    <row r="7" spans="1:7" x14ac:dyDescent="0.3">
      <c r="A7">
        <v>6</v>
      </c>
      <c r="B7" t="s">
        <v>2248</v>
      </c>
      <c r="C7">
        <v>8401.6200000000008</v>
      </c>
      <c r="D7" t="s">
        <v>2036</v>
      </c>
    </row>
    <row r="8" spans="1:7" x14ac:dyDescent="0.3">
      <c r="A8">
        <v>7</v>
      </c>
      <c r="B8" t="s">
        <v>2248</v>
      </c>
      <c r="C8">
        <v>9806.57</v>
      </c>
      <c r="D8" t="s">
        <v>2159</v>
      </c>
    </row>
    <row r="9" spans="1:7" x14ac:dyDescent="0.3">
      <c r="A9">
        <v>8</v>
      </c>
      <c r="B9" t="s">
        <v>2247</v>
      </c>
      <c r="C9">
        <v>15890.77</v>
      </c>
      <c r="D9" t="s">
        <v>2216</v>
      </c>
    </row>
    <row r="10" spans="1:7" x14ac:dyDescent="0.3">
      <c r="A10">
        <v>9</v>
      </c>
      <c r="B10" t="s">
        <v>2247</v>
      </c>
      <c r="C10">
        <v>9542.6299999999992</v>
      </c>
      <c r="D10" t="s">
        <v>2163</v>
      </c>
    </row>
    <row r="11" spans="1:7" x14ac:dyDescent="0.3">
      <c r="A11">
        <v>10</v>
      </c>
      <c r="B11" t="s">
        <v>2248</v>
      </c>
      <c r="C11">
        <v>15160.34</v>
      </c>
      <c r="D11" t="s">
        <v>2204</v>
      </c>
    </row>
    <row r="12" spans="1:7" x14ac:dyDescent="0.3">
      <c r="A12">
        <v>11</v>
      </c>
      <c r="B12" t="s">
        <v>2249</v>
      </c>
      <c r="C12">
        <v>13509.69</v>
      </c>
      <c r="D12" t="s">
        <v>2075</v>
      </c>
    </row>
    <row r="13" spans="1:7" x14ac:dyDescent="0.3">
      <c r="A13">
        <v>12</v>
      </c>
      <c r="B13" t="s">
        <v>2246</v>
      </c>
      <c r="C13">
        <v>17494.54</v>
      </c>
      <c r="D13" t="s">
        <v>19</v>
      </c>
    </row>
    <row r="14" spans="1:7" x14ac:dyDescent="0.3">
      <c r="A14">
        <v>13</v>
      </c>
      <c r="B14" t="s">
        <v>2247</v>
      </c>
      <c r="C14">
        <v>17514.310000000001</v>
      </c>
      <c r="D14" t="s">
        <v>1825</v>
      </c>
    </row>
    <row r="15" spans="1:7" x14ac:dyDescent="0.3">
      <c r="A15">
        <v>14</v>
      </c>
      <c r="B15" t="s">
        <v>2247</v>
      </c>
      <c r="C15">
        <v>8900.2199999999993</v>
      </c>
      <c r="D15" t="s">
        <v>1242</v>
      </c>
    </row>
    <row r="16" spans="1:7" x14ac:dyDescent="0.3">
      <c r="A16">
        <v>15</v>
      </c>
      <c r="B16" t="s">
        <v>2245</v>
      </c>
      <c r="C16">
        <v>3815.19</v>
      </c>
      <c r="D16" t="s">
        <v>2095</v>
      </c>
    </row>
    <row r="17" spans="1:4" x14ac:dyDescent="0.3">
      <c r="A17">
        <v>16</v>
      </c>
      <c r="B17" t="s">
        <v>2248</v>
      </c>
      <c r="C17">
        <v>5560.44</v>
      </c>
      <c r="D17" t="s">
        <v>460</v>
      </c>
    </row>
    <row r="18" spans="1:4" x14ac:dyDescent="0.3">
      <c r="A18">
        <v>17</v>
      </c>
      <c r="B18" t="s">
        <v>2245</v>
      </c>
      <c r="C18">
        <v>19184.189999999999</v>
      </c>
      <c r="D18" t="s">
        <v>2206</v>
      </c>
    </row>
    <row r="19" spans="1:4" x14ac:dyDescent="0.3">
      <c r="A19">
        <v>18</v>
      </c>
      <c r="B19" t="s">
        <v>2246</v>
      </c>
      <c r="C19">
        <v>14694.9</v>
      </c>
      <c r="D19" t="s">
        <v>922</v>
      </c>
    </row>
    <row r="20" spans="1:4" x14ac:dyDescent="0.3">
      <c r="A20">
        <v>19</v>
      </c>
      <c r="B20" t="s">
        <v>2247</v>
      </c>
      <c r="C20">
        <v>15646.34</v>
      </c>
      <c r="D20" t="s">
        <v>384</v>
      </c>
    </row>
    <row r="21" spans="1:4" x14ac:dyDescent="0.3">
      <c r="A21">
        <v>20</v>
      </c>
      <c r="B21" t="s">
        <v>2249</v>
      </c>
      <c r="C21">
        <v>14515.94</v>
      </c>
      <c r="D21" t="s">
        <v>2169</v>
      </c>
    </row>
    <row r="22" spans="1:4" x14ac:dyDescent="0.3">
      <c r="A22">
        <v>21</v>
      </c>
      <c r="B22" t="s">
        <v>2246</v>
      </c>
      <c r="C22">
        <v>8087.45</v>
      </c>
      <c r="D22" t="s">
        <v>1282</v>
      </c>
    </row>
    <row r="23" spans="1:4" x14ac:dyDescent="0.3">
      <c r="A23">
        <v>22</v>
      </c>
      <c r="B23" t="s">
        <v>2249</v>
      </c>
      <c r="C23">
        <v>10173.17</v>
      </c>
      <c r="D23" t="s">
        <v>2231</v>
      </c>
    </row>
    <row r="24" spans="1:4" x14ac:dyDescent="0.3">
      <c r="A24">
        <v>23</v>
      </c>
      <c r="B24" t="s">
        <v>2247</v>
      </c>
      <c r="C24">
        <v>4832.55</v>
      </c>
      <c r="D24" t="s">
        <v>224</v>
      </c>
    </row>
    <row r="25" spans="1:4" x14ac:dyDescent="0.3">
      <c r="A25">
        <v>24</v>
      </c>
      <c r="B25" t="s">
        <v>2249</v>
      </c>
      <c r="C25">
        <v>13926.76</v>
      </c>
      <c r="D25" t="s">
        <v>2222</v>
      </c>
    </row>
    <row r="26" spans="1:4" x14ac:dyDescent="0.3">
      <c r="A26">
        <v>25</v>
      </c>
      <c r="B26" t="s">
        <v>2249</v>
      </c>
      <c r="C26">
        <v>6195.47</v>
      </c>
      <c r="D26" t="s">
        <v>405</v>
      </c>
    </row>
    <row r="27" spans="1:4" x14ac:dyDescent="0.3">
      <c r="A27">
        <v>26</v>
      </c>
      <c r="B27" t="s">
        <v>2249</v>
      </c>
      <c r="C27">
        <v>19878.990000000002</v>
      </c>
      <c r="D27" t="s">
        <v>274</v>
      </c>
    </row>
    <row r="28" spans="1:4" x14ac:dyDescent="0.3">
      <c r="A28">
        <v>27</v>
      </c>
      <c r="B28" t="s">
        <v>2246</v>
      </c>
      <c r="C28">
        <v>4736.5600000000004</v>
      </c>
      <c r="D28" t="s">
        <v>2115</v>
      </c>
    </row>
    <row r="29" spans="1:4" x14ac:dyDescent="0.3">
      <c r="A29">
        <v>28</v>
      </c>
      <c r="B29" t="s">
        <v>2249</v>
      </c>
      <c r="C29">
        <v>9644.1</v>
      </c>
      <c r="D29" t="s">
        <v>2208</v>
      </c>
    </row>
    <row r="30" spans="1:4" x14ac:dyDescent="0.3">
      <c r="A30">
        <v>29</v>
      </c>
      <c r="B30" t="s">
        <v>2248</v>
      </c>
      <c r="C30">
        <v>11395.34</v>
      </c>
      <c r="D30" t="s">
        <v>1047</v>
      </c>
    </row>
    <row r="31" spans="1:4" x14ac:dyDescent="0.3">
      <c r="A31">
        <v>30</v>
      </c>
      <c r="B31" t="s">
        <v>2246</v>
      </c>
      <c r="C31">
        <v>1845.76</v>
      </c>
      <c r="D31" t="s">
        <v>150</v>
      </c>
    </row>
    <row r="32" spans="1:4" x14ac:dyDescent="0.3">
      <c r="A32">
        <v>31</v>
      </c>
      <c r="B32" t="s">
        <v>2246</v>
      </c>
      <c r="C32">
        <v>8739.39</v>
      </c>
      <c r="D32" t="s">
        <v>390</v>
      </c>
    </row>
    <row r="33" spans="1:4" x14ac:dyDescent="0.3">
      <c r="A33">
        <v>32</v>
      </c>
      <c r="B33" t="s">
        <v>2248</v>
      </c>
      <c r="C33">
        <v>10015.83</v>
      </c>
      <c r="D33" t="s">
        <v>2018</v>
      </c>
    </row>
    <row r="34" spans="1:4" x14ac:dyDescent="0.3">
      <c r="A34">
        <v>33</v>
      </c>
      <c r="B34" t="s">
        <v>2249</v>
      </c>
      <c r="C34">
        <v>18651.919999999998</v>
      </c>
      <c r="D34" t="s">
        <v>2205</v>
      </c>
    </row>
    <row r="35" spans="1:4" x14ac:dyDescent="0.3">
      <c r="A35">
        <v>34</v>
      </c>
      <c r="B35" t="s">
        <v>2247</v>
      </c>
      <c r="C35">
        <v>11866.06</v>
      </c>
      <c r="D35" t="s">
        <v>2122</v>
      </c>
    </row>
    <row r="36" spans="1:4" x14ac:dyDescent="0.3">
      <c r="A36">
        <v>35</v>
      </c>
      <c r="B36" t="s">
        <v>2248</v>
      </c>
      <c r="C36">
        <v>16861.240000000002</v>
      </c>
      <c r="D36" t="s">
        <v>1726</v>
      </c>
    </row>
    <row r="37" spans="1:4" x14ac:dyDescent="0.3">
      <c r="A37">
        <v>36</v>
      </c>
      <c r="B37" t="s">
        <v>2246</v>
      </c>
      <c r="C37">
        <v>6029.31</v>
      </c>
      <c r="D37" t="s">
        <v>2086</v>
      </c>
    </row>
    <row r="38" spans="1:4" x14ac:dyDescent="0.3">
      <c r="A38">
        <v>37</v>
      </c>
      <c r="B38" t="s">
        <v>2249</v>
      </c>
      <c r="C38">
        <v>16517.990000000002</v>
      </c>
      <c r="D38" t="s">
        <v>2220</v>
      </c>
    </row>
    <row r="39" spans="1:4" x14ac:dyDescent="0.3">
      <c r="A39">
        <v>38</v>
      </c>
      <c r="B39" t="s">
        <v>2246</v>
      </c>
      <c r="C39">
        <v>5828.7</v>
      </c>
      <c r="D39" t="s">
        <v>1225</v>
      </c>
    </row>
    <row r="40" spans="1:4" x14ac:dyDescent="0.3">
      <c r="A40">
        <v>39</v>
      </c>
      <c r="B40" t="s">
        <v>2245</v>
      </c>
      <c r="C40">
        <v>11084.11</v>
      </c>
      <c r="D40" t="s">
        <v>2124</v>
      </c>
    </row>
    <row r="41" spans="1:4" x14ac:dyDescent="0.3">
      <c r="A41">
        <v>40</v>
      </c>
      <c r="B41" t="s">
        <v>2245</v>
      </c>
      <c r="C41">
        <v>19088.16</v>
      </c>
      <c r="D41" t="s">
        <v>2118</v>
      </c>
    </row>
    <row r="42" spans="1:4" x14ac:dyDescent="0.3">
      <c r="A42">
        <v>41</v>
      </c>
      <c r="B42" t="s">
        <v>2246</v>
      </c>
      <c r="C42">
        <v>8542.6200000000008</v>
      </c>
      <c r="D42" t="s">
        <v>458</v>
      </c>
    </row>
    <row r="43" spans="1:4" x14ac:dyDescent="0.3">
      <c r="A43">
        <v>42</v>
      </c>
      <c r="B43" t="s">
        <v>2247</v>
      </c>
      <c r="C43">
        <v>19214.11</v>
      </c>
      <c r="D43" t="s">
        <v>2061</v>
      </c>
    </row>
    <row r="44" spans="1:4" x14ac:dyDescent="0.3">
      <c r="A44">
        <v>43</v>
      </c>
      <c r="B44" t="s">
        <v>2249</v>
      </c>
      <c r="C44">
        <v>11169.9</v>
      </c>
      <c r="D44" t="s">
        <v>2074</v>
      </c>
    </row>
    <row r="45" spans="1:4" x14ac:dyDescent="0.3">
      <c r="A45">
        <v>44</v>
      </c>
      <c r="B45" t="s">
        <v>2249</v>
      </c>
      <c r="C45">
        <v>18858.419999999998</v>
      </c>
      <c r="D45" t="s">
        <v>2157</v>
      </c>
    </row>
    <row r="46" spans="1:4" x14ac:dyDescent="0.3">
      <c r="A46">
        <v>45</v>
      </c>
      <c r="B46" t="s">
        <v>2247</v>
      </c>
      <c r="C46">
        <v>17502.37</v>
      </c>
      <c r="D46" t="s">
        <v>2152</v>
      </c>
    </row>
    <row r="47" spans="1:4" x14ac:dyDescent="0.3">
      <c r="A47">
        <v>46</v>
      </c>
      <c r="B47" t="s">
        <v>2246</v>
      </c>
      <c r="C47">
        <v>15609.12</v>
      </c>
      <c r="D47" t="s">
        <v>2185</v>
      </c>
    </row>
    <row r="48" spans="1:4" x14ac:dyDescent="0.3">
      <c r="A48">
        <v>47</v>
      </c>
      <c r="B48" t="s">
        <v>2245</v>
      </c>
      <c r="C48">
        <v>10436.08</v>
      </c>
      <c r="D48" t="s">
        <v>678</v>
      </c>
    </row>
    <row r="49" spans="1:4" x14ac:dyDescent="0.3">
      <c r="A49">
        <v>48</v>
      </c>
      <c r="B49" t="s">
        <v>2247</v>
      </c>
      <c r="C49">
        <v>11147.71</v>
      </c>
      <c r="D49" t="s">
        <v>1032</v>
      </c>
    </row>
    <row r="50" spans="1:4" x14ac:dyDescent="0.3">
      <c r="A50">
        <v>49</v>
      </c>
      <c r="B50" t="s">
        <v>2245</v>
      </c>
      <c r="C50">
        <v>15813.82</v>
      </c>
      <c r="D50" t="s">
        <v>2198</v>
      </c>
    </row>
    <row r="51" spans="1:4" x14ac:dyDescent="0.3">
      <c r="A51">
        <v>50</v>
      </c>
      <c r="B51" t="s">
        <v>2249</v>
      </c>
      <c r="C51">
        <v>18586.95</v>
      </c>
      <c r="D51" t="s">
        <v>2135</v>
      </c>
    </row>
    <row r="52" spans="1:4" x14ac:dyDescent="0.3">
      <c r="A52">
        <v>51</v>
      </c>
      <c r="B52" t="s">
        <v>2249</v>
      </c>
      <c r="C52">
        <v>14788.7</v>
      </c>
      <c r="D52" t="s">
        <v>2088</v>
      </c>
    </row>
    <row r="53" spans="1:4" x14ac:dyDescent="0.3">
      <c r="A53">
        <v>52</v>
      </c>
      <c r="B53" t="s">
        <v>2248</v>
      </c>
      <c r="C53">
        <v>13465.95</v>
      </c>
      <c r="D53" t="s">
        <v>2195</v>
      </c>
    </row>
    <row r="54" spans="1:4" x14ac:dyDescent="0.3">
      <c r="A54">
        <v>53</v>
      </c>
      <c r="B54" t="s">
        <v>2245</v>
      </c>
      <c r="C54">
        <v>2513.86</v>
      </c>
      <c r="D54" t="s">
        <v>2227</v>
      </c>
    </row>
    <row r="55" spans="1:4" x14ac:dyDescent="0.3">
      <c r="A55">
        <v>54</v>
      </c>
      <c r="B55" t="s">
        <v>2246</v>
      </c>
      <c r="C55">
        <v>18984.990000000002</v>
      </c>
      <c r="D55" t="s">
        <v>2048</v>
      </c>
    </row>
    <row r="56" spans="1:4" x14ac:dyDescent="0.3">
      <c r="A56">
        <v>55</v>
      </c>
      <c r="B56" t="s">
        <v>2247</v>
      </c>
      <c r="C56">
        <v>3467.67</v>
      </c>
      <c r="D56" t="s">
        <v>2027</v>
      </c>
    </row>
    <row r="57" spans="1:4" x14ac:dyDescent="0.3">
      <c r="A57">
        <v>56</v>
      </c>
      <c r="B57" t="s">
        <v>2247</v>
      </c>
      <c r="C57">
        <v>4211.43</v>
      </c>
      <c r="D57" t="s">
        <v>916</v>
      </c>
    </row>
    <row r="58" spans="1:4" x14ac:dyDescent="0.3">
      <c r="A58">
        <v>57</v>
      </c>
      <c r="B58" t="s">
        <v>2248</v>
      </c>
      <c r="C58">
        <v>8895.94</v>
      </c>
      <c r="D58" t="s">
        <v>2090</v>
      </c>
    </row>
    <row r="59" spans="1:4" x14ac:dyDescent="0.3">
      <c r="A59">
        <v>58</v>
      </c>
      <c r="B59" t="s">
        <v>2247</v>
      </c>
      <c r="C59">
        <v>4877.7700000000004</v>
      </c>
      <c r="D59" t="s">
        <v>378</v>
      </c>
    </row>
    <row r="60" spans="1:4" x14ac:dyDescent="0.3">
      <c r="A60">
        <v>59</v>
      </c>
      <c r="B60" t="s">
        <v>2247</v>
      </c>
      <c r="C60">
        <v>2854.48</v>
      </c>
      <c r="D60" t="s">
        <v>2232</v>
      </c>
    </row>
    <row r="61" spans="1:4" x14ac:dyDescent="0.3">
      <c r="A61">
        <v>60</v>
      </c>
      <c r="B61" t="s">
        <v>2249</v>
      </c>
      <c r="C61">
        <v>6880.36</v>
      </c>
      <c r="D61" t="s">
        <v>597</v>
      </c>
    </row>
    <row r="62" spans="1:4" x14ac:dyDescent="0.3">
      <c r="A62">
        <v>61</v>
      </c>
      <c r="B62" t="s">
        <v>2245</v>
      </c>
      <c r="C62">
        <v>13141.43</v>
      </c>
      <c r="D62" t="s">
        <v>480</v>
      </c>
    </row>
    <row r="63" spans="1:4" x14ac:dyDescent="0.3">
      <c r="A63">
        <v>62</v>
      </c>
      <c r="B63" t="s">
        <v>2246</v>
      </c>
      <c r="C63">
        <v>17591.2</v>
      </c>
      <c r="D63" t="s">
        <v>2106</v>
      </c>
    </row>
    <row r="64" spans="1:4" x14ac:dyDescent="0.3">
      <c r="A64">
        <v>63</v>
      </c>
      <c r="B64" t="s">
        <v>2247</v>
      </c>
      <c r="C64">
        <v>19118.13</v>
      </c>
      <c r="D64" t="s">
        <v>1384</v>
      </c>
    </row>
    <row r="65" spans="1:4" x14ac:dyDescent="0.3">
      <c r="A65">
        <v>64</v>
      </c>
      <c r="B65" t="s">
        <v>2248</v>
      </c>
      <c r="C65">
        <v>19337.73</v>
      </c>
      <c r="D65" t="s">
        <v>530</v>
      </c>
    </row>
    <row r="66" spans="1:4" x14ac:dyDescent="0.3">
      <c r="A66">
        <v>65</v>
      </c>
      <c r="B66" t="s">
        <v>2249</v>
      </c>
      <c r="C66">
        <v>7413.07</v>
      </c>
      <c r="D66" t="s">
        <v>1438</v>
      </c>
    </row>
    <row r="67" spans="1:4" x14ac:dyDescent="0.3">
      <c r="A67">
        <v>66</v>
      </c>
      <c r="B67" t="s">
        <v>2248</v>
      </c>
      <c r="C67">
        <v>9840.65</v>
      </c>
      <c r="D67" t="s">
        <v>2167</v>
      </c>
    </row>
    <row r="68" spans="1:4" x14ac:dyDescent="0.3">
      <c r="A68">
        <v>67</v>
      </c>
      <c r="B68" t="s">
        <v>2246</v>
      </c>
      <c r="C68">
        <v>13691.97</v>
      </c>
      <c r="D68" t="s">
        <v>2215</v>
      </c>
    </row>
    <row r="69" spans="1:4" x14ac:dyDescent="0.3">
      <c r="A69">
        <v>68</v>
      </c>
      <c r="B69" t="s">
        <v>2247</v>
      </c>
      <c r="C69">
        <v>7768.92</v>
      </c>
      <c r="D69" t="s">
        <v>1212</v>
      </c>
    </row>
    <row r="70" spans="1:4" x14ac:dyDescent="0.3">
      <c r="A70">
        <v>69</v>
      </c>
      <c r="B70" t="s">
        <v>2245</v>
      </c>
      <c r="C70">
        <v>4351.57</v>
      </c>
      <c r="D70" t="s">
        <v>2234</v>
      </c>
    </row>
    <row r="71" spans="1:4" x14ac:dyDescent="0.3">
      <c r="A71">
        <v>70</v>
      </c>
      <c r="B71" t="s">
        <v>2246</v>
      </c>
      <c r="C71">
        <v>11360.78</v>
      </c>
      <c r="D71" t="s">
        <v>475</v>
      </c>
    </row>
    <row r="72" spans="1:4" x14ac:dyDescent="0.3">
      <c r="A72">
        <v>71</v>
      </c>
      <c r="B72" t="s">
        <v>2246</v>
      </c>
      <c r="C72">
        <v>18307.48</v>
      </c>
      <c r="D72" t="s">
        <v>1556</v>
      </c>
    </row>
    <row r="73" spans="1:4" x14ac:dyDescent="0.3">
      <c r="A73">
        <v>72</v>
      </c>
      <c r="B73" t="s">
        <v>2245</v>
      </c>
      <c r="C73">
        <v>19850.34</v>
      </c>
      <c r="D73" t="s">
        <v>378</v>
      </c>
    </row>
    <row r="74" spans="1:4" x14ac:dyDescent="0.3">
      <c r="A74">
        <v>73</v>
      </c>
      <c r="B74" t="s">
        <v>2249</v>
      </c>
      <c r="C74">
        <v>7499.92</v>
      </c>
      <c r="D74" t="s">
        <v>434</v>
      </c>
    </row>
    <row r="75" spans="1:4" x14ac:dyDescent="0.3">
      <c r="A75">
        <v>74</v>
      </c>
      <c r="B75" t="s">
        <v>2247</v>
      </c>
      <c r="C75">
        <v>4689.24</v>
      </c>
      <c r="D75" t="s">
        <v>2148</v>
      </c>
    </row>
    <row r="76" spans="1:4" x14ac:dyDescent="0.3">
      <c r="A76">
        <v>75</v>
      </c>
      <c r="B76" t="s">
        <v>2248</v>
      </c>
      <c r="C76">
        <v>1565.99</v>
      </c>
      <c r="D76" t="s">
        <v>2106</v>
      </c>
    </row>
    <row r="77" spans="1:4" x14ac:dyDescent="0.3">
      <c r="A77">
        <v>76</v>
      </c>
      <c r="B77" t="s">
        <v>2246</v>
      </c>
      <c r="C77">
        <v>16060.64</v>
      </c>
      <c r="D77" t="s">
        <v>829</v>
      </c>
    </row>
    <row r="78" spans="1:4" x14ac:dyDescent="0.3">
      <c r="A78">
        <v>77</v>
      </c>
      <c r="B78" t="s">
        <v>2248</v>
      </c>
      <c r="C78">
        <v>16338.23</v>
      </c>
      <c r="D78" t="s">
        <v>2153</v>
      </c>
    </row>
    <row r="79" spans="1:4" x14ac:dyDescent="0.3">
      <c r="A79">
        <v>78</v>
      </c>
      <c r="B79" t="s">
        <v>2249</v>
      </c>
      <c r="C79">
        <v>5034.84</v>
      </c>
      <c r="D79" t="s">
        <v>1706</v>
      </c>
    </row>
    <row r="80" spans="1:4" x14ac:dyDescent="0.3">
      <c r="A80">
        <v>79</v>
      </c>
      <c r="B80" t="s">
        <v>2249</v>
      </c>
      <c r="C80">
        <v>13112.3</v>
      </c>
      <c r="D80" t="s">
        <v>2155</v>
      </c>
    </row>
    <row r="81" spans="1:4" x14ac:dyDescent="0.3">
      <c r="A81">
        <v>80</v>
      </c>
      <c r="B81" t="s">
        <v>2245</v>
      </c>
      <c r="C81">
        <v>15206.95</v>
      </c>
      <c r="D81" t="s">
        <v>2130</v>
      </c>
    </row>
    <row r="82" spans="1:4" x14ac:dyDescent="0.3">
      <c r="A82">
        <v>81</v>
      </c>
      <c r="B82" t="s">
        <v>2248</v>
      </c>
      <c r="C82">
        <v>16855.71</v>
      </c>
      <c r="D82" t="s">
        <v>2134</v>
      </c>
    </row>
    <row r="83" spans="1:4" x14ac:dyDescent="0.3">
      <c r="A83">
        <v>82</v>
      </c>
      <c r="B83" t="s">
        <v>2248</v>
      </c>
      <c r="C83">
        <v>11591.7</v>
      </c>
      <c r="D83" t="s">
        <v>1332</v>
      </c>
    </row>
    <row r="84" spans="1:4" x14ac:dyDescent="0.3">
      <c r="A84">
        <v>83</v>
      </c>
      <c r="B84" t="s">
        <v>2245</v>
      </c>
      <c r="C84">
        <v>7122.07</v>
      </c>
      <c r="D84" t="s">
        <v>1371</v>
      </c>
    </row>
    <row r="85" spans="1:4" x14ac:dyDescent="0.3">
      <c r="A85">
        <v>84</v>
      </c>
      <c r="B85" t="s">
        <v>2248</v>
      </c>
      <c r="C85">
        <v>18099.439999999999</v>
      </c>
      <c r="D85" t="s">
        <v>442</v>
      </c>
    </row>
    <row r="86" spans="1:4" x14ac:dyDescent="0.3">
      <c r="A86">
        <v>85</v>
      </c>
      <c r="B86" t="s">
        <v>2247</v>
      </c>
      <c r="C86">
        <v>4573.53</v>
      </c>
      <c r="D86" t="s">
        <v>1191</v>
      </c>
    </row>
    <row r="87" spans="1:4" x14ac:dyDescent="0.3">
      <c r="A87">
        <v>86</v>
      </c>
      <c r="B87" t="s">
        <v>2247</v>
      </c>
      <c r="C87">
        <v>1325.31</v>
      </c>
      <c r="D87" t="s">
        <v>2033</v>
      </c>
    </row>
    <row r="88" spans="1:4" x14ac:dyDescent="0.3">
      <c r="A88">
        <v>87</v>
      </c>
      <c r="B88" t="s">
        <v>2246</v>
      </c>
      <c r="C88">
        <v>13325.62</v>
      </c>
      <c r="D88" t="s">
        <v>594</v>
      </c>
    </row>
    <row r="89" spans="1:4" x14ac:dyDescent="0.3">
      <c r="A89">
        <v>88</v>
      </c>
      <c r="B89" t="s">
        <v>2248</v>
      </c>
      <c r="C89">
        <v>19422.09</v>
      </c>
      <c r="D89" t="s">
        <v>2216</v>
      </c>
    </row>
    <row r="90" spans="1:4" x14ac:dyDescent="0.3">
      <c r="A90">
        <v>89</v>
      </c>
      <c r="B90" t="s">
        <v>2246</v>
      </c>
      <c r="C90">
        <v>2619.2800000000002</v>
      </c>
      <c r="D90" t="s">
        <v>2041</v>
      </c>
    </row>
    <row r="91" spans="1:4" x14ac:dyDescent="0.3">
      <c r="A91">
        <v>90</v>
      </c>
      <c r="B91" t="s">
        <v>2246</v>
      </c>
      <c r="C91">
        <v>12298.32</v>
      </c>
      <c r="D91" t="s">
        <v>1317</v>
      </c>
    </row>
    <row r="92" spans="1:4" x14ac:dyDescent="0.3">
      <c r="A92">
        <v>91</v>
      </c>
      <c r="B92" t="s">
        <v>2248</v>
      </c>
      <c r="C92">
        <v>12264.82</v>
      </c>
      <c r="D92" t="s">
        <v>516</v>
      </c>
    </row>
    <row r="93" spans="1:4" x14ac:dyDescent="0.3">
      <c r="A93">
        <v>92</v>
      </c>
      <c r="B93" t="s">
        <v>2247</v>
      </c>
      <c r="C93">
        <v>11518.12</v>
      </c>
      <c r="D93" t="s">
        <v>1032</v>
      </c>
    </row>
    <row r="94" spans="1:4" x14ac:dyDescent="0.3">
      <c r="A94">
        <v>93</v>
      </c>
      <c r="B94" t="s">
        <v>2246</v>
      </c>
      <c r="C94">
        <v>3275.31</v>
      </c>
      <c r="D94" t="s">
        <v>2035</v>
      </c>
    </row>
    <row r="95" spans="1:4" x14ac:dyDescent="0.3">
      <c r="A95">
        <v>94</v>
      </c>
      <c r="B95" t="s">
        <v>2247</v>
      </c>
      <c r="C95">
        <v>15936.78</v>
      </c>
      <c r="D95" t="s">
        <v>145</v>
      </c>
    </row>
    <row r="96" spans="1:4" x14ac:dyDescent="0.3">
      <c r="A96">
        <v>95</v>
      </c>
      <c r="B96" t="s">
        <v>2248</v>
      </c>
      <c r="C96">
        <v>5674.71</v>
      </c>
      <c r="D96" t="s">
        <v>524</v>
      </c>
    </row>
    <row r="97" spans="1:4" x14ac:dyDescent="0.3">
      <c r="A97">
        <v>96</v>
      </c>
      <c r="B97" t="s">
        <v>2246</v>
      </c>
      <c r="C97">
        <v>6575.58</v>
      </c>
      <c r="D97" t="s">
        <v>2222</v>
      </c>
    </row>
    <row r="98" spans="1:4" x14ac:dyDescent="0.3">
      <c r="A98">
        <v>97</v>
      </c>
      <c r="B98" t="s">
        <v>2245</v>
      </c>
      <c r="C98">
        <v>2043.35</v>
      </c>
      <c r="D98" t="s">
        <v>158</v>
      </c>
    </row>
    <row r="99" spans="1:4" x14ac:dyDescent="0.3">
      <c r="A99">
        <v>98</v>
      </c>
      <c r="B99" t="s">
        <v>2248</v>
      </c>
      <c r="C99">
        <v>14222.23</v>
      </c>
      <c r="D99" t="s">
        <v>2163</v>
      </c>
    </row>
    <row r="100" spans="1:4" x14ac:dyDescent="0.3">
      <c r="A100">
        <v>99</v>
      </c>
      <c r="B100" t="s">
        <v>2247</v>
      </c>
      <c r="C100">
        <v>19986.330000000002</v>
      </c>
      <c r="D100" t="s">
        <v>463</v>
      </c>
    </row>
    <row r="101" spans="1:4" x14ac:dyDescent="0.3">
      <c r="A101">
        <v>100</v>
      </c>
      <c r="B101" t="s">
        <v>2249</v>
      </c>
      <c r="C101">
        <v>17145</v>
      </c>
      <c r="D101" t="s">
        <v>2233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8AB3-5856-4216-8487-11E9A37B2F10}">
  <dimension ref="A2:E16"/>
  <sheetViews>
    <sheetView workbookViewId="0">
      <selection activeCell="A5" sqref="A5"/>
    </sheetView>
  </sheetViews>
  <sheetFormatPr defaultRowHeight="14.4" x14ac:dyDescent="0.3"/>
  <cols>
    <col min="1" max="1" width="26.109375" bestFit="1" customWidth="1"/>
    <col min="2" max="2" width="13.6640625" bestFit="1" customWidth="1"/>
    <col min="4" max="4" width="22.109375" bestFit="1" customWidth="1"/>
  </cols>
  <sheetData>
    <row r="2" spans="1:5" x14ac:dyDescent="0.3">
      <c r="A2" t="s">
        <v>2254</v>
      </c>
      <c r="B2" s="4">
        <f>SUM(Orders[Revenue])</f>
        <v>2302133.9180000033</v>
      </c>
    </row>
    <row r="4" spans="1:5" x14ac:dyDescent="0.3">
      <c r="A4" t="s">
        <v>2281</v>
      </c>
      <c r="B4">
        <f>COUNT(Orders[OrderID])</f>
        <v>2079</v>
      </c>
    </row>
    <row r="5" spans="1:5" x14ac:dyDescent="0.3">
      <c r="D5" t="s">
        <v>2271</v>
      </c>
      <c r="E5">
        <v>779</v>
      </c>
    </row>
    <row r="6" spans="1:5" x14ac:dyDescent="0.3">
      <c r="A6" t="s">
        <v>2276</v>
      </c>
      <c r="B6" s="3">
        <f>B2/B4</f>
        <v>1107.3275218855235</v>
      </c>
      <c r="D6" t="s">
        <v>2272</v>
      </c>
      <c r="E6">
        <v>419</v>
      </c>
    </row>
    <row r="8" spans="1:5" x14ac:dyDescent="0.3">
      <c r="A8" t="s">
        <v>2275</v>
      </c>
      <c r="B8">
        <v>419</v>
      </c>
      <c r="D8" t="s">
        <v>2273</v>
      </c>
      <c r="E8">
        <v>1200</v>
      </c>
    </row>
    <row r="10" spans="1:5" x14ac:dyDescent="0.3">
      <c r="A10" s="5" t="s">
        <v>2274</v>
      </c>
      <c r="B10" s="5">
        <v>0.34916666666666668</v>
      </c>
    </row>
    <row r="12" spans="1:5" x14ac:dyDescent="0.3">
      <c r="A12" t="s">
        <v>2277</v>
      </c>
      <c r="B12" s="3">
        <f>B2/E8</f>
        <v>1918.4449316666694</v>
      </c>
    </row>
    <row r="14" spans="1:5" x14ac:dyDescent="0.3">
      <c r="A14" t="s">
        <v>2278</v>
      </c>
      <c r="B14" s="3">
        <v>1147237.9699999997</v>
      </c>
    </row>
    <row r="16" spans="1:5" x14ac:dyDescent="0.3">
      <c r="A16" t="s">
        <v>2279</v>
      </c>
      <c r="B16" s="3">
        <f>(B2-B14)/B14</f>
        <v>1.0066751434316665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EB9B-3CCF-4D34-8FD3-1B9500CCA883}">
  <dimension ref="A3:B8"/>
  <sheetViews>
    <sheetView workbookViewId="0">
      <selection activeCell="G7" sqref="G7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" t="s">
        <v>2255</v>
      </c>
      <c r="B3" t="s">
        <v>2257</v>
      </c>
    </row>
    <row r="4" spans="1:2" x14ac:dyDescent="0.3">
      <c r="A4" s="2" t="s">
        <v>1985</v>
      </c>
      <c r="B4" s="4">
        <v>700465.26549999963</v>
      </c>
    </row>
    <row r="5" spans="1:2" x14ac:dyDescent="0.3">
      <c r="A5" s="2" t="s">
        <v>1983</v>
      </c>
      <c r="B5" s="4">
        <v>640312.7219999996</v>
      </c>
    </row>
    <row r="6" spans="1:2" x14ac:dyDescent="0.3">
      <c r="A6" s="2" t="s">
        <v>1992</v>
      </c>
      <c r="B6" s="4">
        <v>490593.35350000038</v>
      </c>
    </row>
    <row r="7" spans="1:2" x14ac:dyDescent="0.3">
      <c r="A7" s="2" t="s">
        <v>1988</v>
      </c>
      <c r="B7" s="4">
        <v>470762.57700000005</v>
      </c>
    </row>
    <row r="8" spans="1:2" x14ac:dyDescent="0.3">
      <c r="A8" s="2" t="s">
        <v>2256</v>
      </c>
      <c r="B8" s="4">
        <v>2302133.9179999996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5547-A391-4267-A168-3CBB44BDD4D8}">
  <dimension ref="A3:B16"/>
  <sheetViews>
    <sheetView workbookViewId="0">
      <selection activeCell="H11" sqref="H11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12" width="15.5546875" bestFit="1" customWidth="1"/>
    <col min="13" max="13" width="10.77734375" bestFit="1" customWidth="1"/>
  </cols>
  <sheetData>
    <row r="3" spans="1:2" x14ac:dyDescent="0.3">
      <c r="A3" s="1" t="s">
        <v>2255</v>
      </c>
      <c r="B3" t="s">
        <v>2257</v>
      </c>
    </row>
    <row r="4" spans="1:2" x14ac:dyDescent="0.3">
      <c r="A4" s="2" t="s">
        <v>2258</v>
      </c>
      <c r="B4" s="4">
        <v>246235.13800000006</v>
      </c>
    </row>
    <row r="5" spans="1:2" x14ac:dyDescent="0.3">
      <c r="A5" s="2" t="s">
        <v>2259</v>
      </c>
      <c r="B5" s="4">
        <v>254496.64199999988</v>
      </c>
    </row>
    <row r="6" spans="1:2" x14ac:dyDescent="0.3">
      <c r="A6" s="2" t="s">
        <v>2260</v>
      </c>
      <c r="B6" s="4">
        <v>307982.13900000026</v>
      </c>
    </row>
    <row r="7" spans="1:2" x14ac:dyDescent="0.3">
      <c r="A7" s="2" t="s">
        <v>2261</v>
      </c>
      <c r="B7" s="4">
        <v>263117.4549999999</v>
      </c>
    </row>
    <row r="8" spans="1:2" x14ac:dyDescent="0.3">
      <c r="A8" s="2" t="s">
        <v>2262</v>
      </c>
      <c r="B8" s="4">
        <v>239784.84649999993</v>
      </c>
    </row>
    <row r="9" spans="1:2" x14ac:dyDescent="0.3">
      <c r="A9" s="2" t="s">
        <v>2263</v>
      </c>
      <c r="B9" s="4">
        <v>144005.93249999997</v>
      </c>
    </row>
    <row r="10" spans="1:2" x14ac:dyDescent="0.3">
      <c r="A10" s="2" t="s">
        <v>2264</v>
      </c>
      <c r="B10" s="4">
        <v>151472.22450000001</v>
      </c>
    </row>
    <row r="11" spans="1:2" x14ac:dyDescent="0.3">
      <c r="A11" s="2" t="s">
        <v>2265</v>
      </c>
      <c r="B11" s="4">
        <v>137549.84950000001</v>
      </c>
    </row>
    <row r="12" spans="1:2" x14ac:dyDescent="0.3">
      <c r="A12" s="2" t="s">
        <v>2266</v>
      </c>
      <c r="B12" s="4">
        <v>145019.65449999998</v>
      </c>
    </row>
    <row r="13" spans="1:2" x14ac:dyDescent="0.3">
      <c r="A13" s="2" t="s">
        <v>2267</v>
      </c>
      <c r="B13" s="4">
        <v>157066.4739999999</v>
      </c>
    </row>
    <row r="14" spans="1:2" x14ac:dyDescent="0.3">
      <c r="A14" s="2" t="s">
        <v>2268</v>
      </c>
      <c r="B14" s="4">
        <v>108722.84850000002</v>
      </c>
    </row>
    <row r="15" spans="1:2" x14ac:dyDescent="0.3">
      <c r="A15" s="2" t="s">
        <v>2269</v>
      </c>
      <c r="B15" s="4">
        <v>146680.71399999995</v>
      </c>
    </row>
    <row r="16" spans="1:2" x14ac:dyDescent="0.3">
      <c r="A16" s="2" t="s">
        <v>2256</v>
      </c>
      <c r="B16" s="4">
        <v>2302133.9180000001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9808-0B8C-46CF-B3C6-061A53FB8AB3}">
  <dimension ref="A3:E1204"/>
  <sheetViews>
    <sheetView workbookViewId="0">
      <selection activeCell="G22" sqref="G22"/>
    </sheetView>
  </sheetViews>
  <sheetFormatPr defaultRowHeight="14.4" x14ac:dyDescent="0.3"/>
  <cols>
    <col min="1" max="1" width="12.5546875" bestFit="1" customWidth="1"/>
    <col min="2" max="2" width="15.44140625" bestFit="1" customWidth="1"/>
    <col min="4" max="4" width="22.109375" bestFit="1" customWidth="1"/>
  </cols>
  <sheetData>
    <row r="3" spans="1:5" x14ac:dyDescent="0.3">
      <c r="A3" s="1" t="s">
        <v>2255</v>
      </c>
      <c r="B3" t="s">
        <v>2270</v>
      </c>
      <c r="D3" t="s">
        <v>2271</v>
      </c>
      <c r="E3">
        <v>779</v>
      </c>
    </row>
    <row r="4" spans="1:5" x14ac:dyDescent="0.3">
      <c r="A4" s="2">
        <v>1</v>
      </c>
      <c r="B4">
        <v>1</v>
      </c>
      <c r="D4" t="s">
        <v>2272</v>
      </c>
      <c r="E4">
        <v>419</v>
      </c>
    </row>
    <row r="5" spans="1:5" x14ac:dyDescent="0.3">
      <c r="A5" s="2">
        <v>2</v>
      </c>
      <c r="B5">
        <v>1</v>
      </c>
      <c r="D5" t="s">
        <v>2273</v>
      </c>
      <c r="E5">
        <v>1200</v>
      </c>
    </row>
    <row r="6" spans="1:5" x14ac:dyDescent="0.3">
      <c r="A6" s="2">
        <v>3</v>
      </c>
      <c r="B6">
        <v>1</v>
      </c>
    </row>
    <row r="7" spans="1:5" x14ac:dyDescent="0.3">
      <c r="A7" s="2">
        <v>4</v>
      </c>
      <c r="B7">
        <v>1</v>
      </c>
      <c r="D7" t="s">
        <v>2274</v>
      </c>
      <c r="E7" s="5">
        <f>E4/E5</f>
        <v>0.34916666666666668</v>
      </c>
    </row>
    <row r="8" spans="1:5" x14ac:dyDescent="0.3">
      <c r="A8" s="2">
        <v>5</v>
      </c>
      <c r="B8">
        <v>1</v>
      </c>
    </row>
    <row r="9" spans="1:5" x14ac:dyDescent="0.3">
      <c r="A9" s="2">
        <v>6</v>
      </c>
      <c r="B9">
        <v>1</v>
      </c>
    </row>
    <row r="10" spans="1:5" x14ac:dyDescent="0.3">
      <c r="A10" s="2">
        <v>7</v>
      </c>
      <c r="B10">
        <v>1</v>
      </c>
    </row>
    <row r="11" spans="1:5" x14ac:dyDescent="0.3">
      <c r="A11" s="2">
        <v>8</v>
      </c>
      <c r="B11">
        <v>1</v>
      </c>
    </row>
    <row r="12" spans="1:5" x14ac:dyDescent="0.3">
      <c r="A12" s="2">
        <v>9</v>
      </c>
      <c r="B12">
        <v>1</v>
      </c>
    </row>
    <row r="13" spans="1:5" x14ac:dyDescent="0.3">
      <c r="A13" s="2">
        <v>10</v>
      </c>
      <c r="B13">
        <v>1</v>
      </c>
    </row>
    <row r="14" spans="1:5" x14ac:dyDescent="0.3">
      <c r="A14" s="2">
        <v>11</v>
      </c>
      <c r="B14">
        <v>1</v>
      </c>
    </row>
    <row r="15" spans="1:5" x14ac:dyDescent="0.3">
      <c r="A15" s="2">
        <v>12</v>
      </c>
      <c r="B15">
        <v>1</v>
      </c>
    </row>
    <row r="16" spans="1:5" x14ac:dyDescent="0.3">
      <c r="A16" s="2">
        <v>13</v>
      </c>
      <c r="B16">
        <v>1</v>
      </c>
    </row>
    <row r="17" spans="1:2" x14ac:dyDescent="0.3">
      <c r="A17" s="2">
        <v>14</v>
      </c>
      <c r="B17">
        <v>1</v>
      </c>
    </row>
    <row r="18" spans="1:2" x14ac:dyDescent="0.3">
      <c r="A18" s="2">
        <v>15</v>
      </c>
      <c r="B18">
        <v>1</v>
      </c>
    </row>
    <row r="19" spans="1:2" x14ac:dyDescent="0.3">
      <c r="A19" s="2">
        <v>16</v>
      </c>
      <c r="B19">
        <v>1</v>
      </c>
    </row>
    <row r="20" spans="1:2" x14ac:dyDescent="0.3">
      <c r="A20" s="2">
        <v>17</v>
      </c>
      <c r="B20">
        <v>1</v>
      </c>
    </row>
    <row r="21" spans="1:2" x14ac:dyDescent="0.3">
      <c r="A21" s="2">
        <v>18</v>
      </c>
      <c r="B21">
        <v>1</v>
      </c>
    </row>
    <row r="22" spans="1:2" x14ac:dyDescent="0.3">
      <c r="A22" s="2">
        <v>19</v>
      </c>
      <c r="B22">
        <v>1</v>
      </c>
    </row>
    <row r="23" spans="1:2" x14ac:dyDescent="0.3">
      <c r="A23" s="2">
        <v>20</v>
      </c>
      <c r="B23">
        <v>1</v>
      </c>
    </row>
    <row r="24" spans="1:2" x14ac:dyDescent="0.3">
      <c r="A24" s="2">
        <v>21</v>
      </c>
      <c r="B24">
        <v>1</v>
      </c>
    </row>
    <row r="25" spans="1:2" x14ac:dyDescent="0.3">
      <c r="A25" s="2">
        <v>22</v>
      </c>
      <c r="B25">
        <v>1</v>
      </c>
    </row>
    <row r="26" spans="1:2" x14ac:dyDescent="0.3">
      <c r="A26" s="2">
        <v>23</v>
      </c>
      <c r="B26">
        <v>1</v>
      </c>
    </row>
    <row r="27" spans="1:2" x14ac:dyDescent="0.3">
      <c r="A27" s="2">
        <v>24</v>
      </c>
      <c r="B27">
        <v>1</v>
      </c>
    </row>
    <row r="28" spans="1:2" x14ac:dyDescent="0.3">
      <c r="A28" s="2">
        <v>25</v>
      </c>
      <c r="B28">
        <v>1</v>
      </c>
    </row>
    <row r="29" spans="1:2" x14ac:dyDescent="0.3">
      <c r="A29" s="2">
        <v>26</v>
      </c>
      <c r="B29">
        <v>1</v>
      </c>
    </row>
    <row r="30" spans="1:2" x14ac:dyDescent="0.3">
      <c r="A30" s="2">
        <v>27</v>
      </c>
      <c r="B30">
        <v>1</v>
      </c>
    </row>
    <row r="31" spans="1:2" x14ac:dyDescent="0.3">
      <c r="A31" s="2">
        <v>28</v>
      </c>
      <c r="B31">
        <v>1</v>
      </c>
    </row>
    <row r="32" spans="1:2" x14ac:dyDescent="0.3">
      <c r="A32" s="2">
        <v>29</v>
      </c>
      <c r="B32">
        <v>1</v>
      </c>
    </row>
    <row r="33" spans="1:2" x14ac:dyDescent="0.3">
      <c r="A33" s="2">
        <v>30</v>
      </c>
      <c r="B33">
        <v>1</v>
      </c>
    </row>
    <row r="34" spans="1:2" x14ac:dyDescent="0.3">
      <c r="A34" s="2">
        <v>31</v>
      </c>
      <c r="B34">
        <v>1</v>
      </c>
    </row>
    <row r="35" spans="1:2" x14ac:dyDescent="0.3">
      <c r="A35" s="2">
        <v>32</v>
      </c>
      <c r="B35">
        <v>1</v>
      </c>
    </row>
    <row r="36" spans="1:2" x14ac:dyDescent="0.3">
      <c r="A36" s="2">
        <v>33</v>
      </c>
      <c r="B36">
        <v>1</v>
      </c>
    </row>
    <row r="37" spans="1:2" x14ac:dyDescent="0.3">
      <c r="A37" s="2">
        <v>34</v>
      </c>
      <c r="B37">
        <v>1</v>
      </c>
    </row>
    <row r="38" spans="1:2" x14ac:dyDescent="0.3">
      <c r="A38" s="2">
        <v>35</v>
      </c>
      <c r="B38">
        <v>1</v>
      </c>
    </row>
    <row r="39" spans="1:2" x14ac:dyDescent="0.3">
      <c r="A39" s="2">
        <v>36</v>
      </c>
      <c r="B39">
        <v>1</v>
      </c>
    </row>
    <row r="40" spans="1:2" x14ac:dyDescent="0.3">
      <c r="A40" s="2">
        <v>37</v>
      </c>
      <c r="B40">
        <v>1</v>
      </c>
    </row>
    <row r="41" spans="1:2" x14ac:dyDescent="0.3">
      <c r="A41" s="2">
        <v>38</v>
      </c>
      <c r="B41">
        <v>1</v>
      </c>
    </row>
    <row r="42" spans="1:2" x14ac:dyDescent="0.3">
      <c r="A42" s="2">
        <v>39</v>
      </c>
      <c r="B42">
        <v>1</v>
      </c>
    </row>
    <row r="43" spans="1:2" x14ac:dyDescent="0.3">
      <c r="A43" s="2">
        <v>40</v>
      </c>
      <c r="B43">
        <v>1</v>
      </c>
    </row>
    <row r="44" spans="1:2" x14ac:dyDescent="0.3">
      <c r="A44" s="2">
        <v>41</v>
      </c>
      <c r="B44">
        <v>1</v>
      </c>
    </row>
    <row r="45" spans="1:2" x14ac:dyDescent="0.3">
      <c r="A45" s="2">
        <v>42</v>
      </c>
      <c r="B45">
        <v>1</v>
      </c>
    </row>
    <row r="46" spans="1:2" x14ac:dyDescent="0.3">
      <c r="A46" s="2">
        <v>43</v>
      </c>
      <c r="B46">
        <v>1</v>
      </c>
    </row>
    <row r="47" spans="1:2" x14ac:dyDescent="0.3">
      <c r="A47" s="2">
        <v>44</v>
      </c>
      <c r="B47">
        <v>1</v>
      </c>
    </row>
    <row r="48" spans="1:2" x14ac:dyDescent="0.3">
      <c r="A48" s="2">
        <v>45</v>
      </c>
      <c r="B48">
        <v>1</v>
      </c>
    </row>
    <row r="49" spans="1:2" x14ac:dyDescent="0.3">
      <c r="A49" s="2">
        <v>46</v>
      </c>
      <c r="B49">
        <v>1</v>
      </c>
    </row>
    <row r="50" spans="1:2" x14ac:dyDescent="0.3">
      <c r="A50" s="2">
        <v>47</v>
      </c>
      <c r="B50">
        <v>1</v>
      </c>
    </row>
    <row r="51" spans="1:2" x14ac:dyDescent="0.3">
      <c r="A51" s="2">
        <v>48</v>
      </c>
      <c r="B51">
        <v>1</v>
      </c>
    </row>
    <row r="52" spans="1:2" x14ac:dyDescent="0.3">
      <c r="A52" s="2">
        <v>49</v>
      </c>
      <c r="B52">
        <v>1</v>
      </c>
    </row>
    <row r="53" spans="1:2" x14ac:dyDescent="0.3">
      <c r="A53" s="2">
        <v>50</v>
      </c>
      <c r="B53">
        <v>1</v>
      </c>
    </row>
    <row r="54" spans="1:2" x14ac:dyDescent="0.3">
      <c r="A54" s="2">
        <v>51</v>
      </c>
      <c r="B54">
        <v>1</v>
      </c>
    </row>
    <row r="55" spans="1:2" x14ac:dyDescent="0.3">
      <c r="A55" s="2">
        <v>52</v>
      </c>
      <c r="B55">
        <v>1</v>
      </c>
    </row>
    <row r="56" spans="1:2" x14ac:dyDescent="0.3">
      <c r="A56" s="2">
        <v>53</v>
      </c>
      <c r="B56">
        <v>1</v>
      </c>
    </row>
    <row r="57" spans="1:2" x14ac:dyDescent="0.3">
      <c r="A57" s="2">
        <v>54</v>
      </c>
      <c r="B57">
        <v>1</v>
      </c>
    </row>
    <row r="58" spans="1:2" x14ac:dyDescent="0.3">
      <c r="A58" s="2">
        <v>55</v>
      </c>
      <c r="B58">
        <v>1</v>
      </c>
    </row>
    <row r="59" spans="1:2" x14ac:dyDescent="0.3">
      <c r="A59" s="2">
        <v>56</v>
      </c>
      <c r="B59">
        <v>1</v>
      </c>
    </row>
    <row r="60" spans="1:2" x14ac:dyDescent="0.3">
      <c r="A60" s="2">
        <v>57</v>
      </c>
      <c r="B60">
        <v>1</v>
      </c>
    </row>
    <row r="61" spans="1:2" x14ac:dyDescent="0.3">
      <c r="A61" s="2">
        <v>58</v>
      </c>
      <c r="B61">
        <v>1</v>
      </c>
    </row>
    <row r="62" spans="1:2" x14ac:dyDescent="0.3">
      <c r="A62" s="2">
        <v>59</v>
      </c>
      <c r="B62">
        <v>1</v>
      </c>
    </row>
    <row r="63" spans="1:2" x14ac:dyDescent="0.3">
      <c r="A63" s="2">
        <v>60</v>
      </c>
      <c r="B63">
        <v>1</v>
      </c>
    </row>
    <row r="64" spans="1:2" x14ac:dyDescent="0.3">
      <c r="A64" s="2">
        <v>61</v>
      </c>
      <c r="B64">
        <v>1</v>
      </c>
    </row>
    <row r="65" spans="1:2" x14ac:dyDescent="0.3">
      <c r="A65" s="2">
        <v>62</v>
      </c>
      <c r="B65">
        <v>1</v>
      </c>
    </row>
    <row r="66" spans="1:2" x14ac:dyDescent="0.3">
      <c r="A66" s="2">
        <v>63</v>
      </c>
      <c r="B66">
        <v>1</v>
      </c>
    </row>
    <row r="67" spans="1:2" x14ac:dyDescent="0.3">
      <c r="A67" s="2">
        <v>64</v>
      </c>
      <c r="B67">
        <v>1</v>
      </c>
    </row>
    <row r="68" spans="1:2" x14ac:dyDescent="0.3">
      <c r="A68" s="2">
        <v>65</v>
      </c>
      <c r="B68">
        <v>1</v>
      </c>
    </row>
    <row r="69" spans="1:2" x14ac:dyDescent="0.3">
      <c r="A69" s="2">
        <v>66</v>
      </c>
      <c r="B69">
        <v>1</v>
      </c>
    </row>
    <row r="70" spans="1:2" x14ac:dyDescent="0.3">
      <c r="A70" s="2">
        <v>67</v>
      </c>
      <c r="B70">
        <v>1</v>
      </c>
    </row>
    <row r="71" spans="1:2" x14ac:dyDescent="0.3">
      <c r="A71" s="2">
        <v>68</v>
      </c>
      <c r="B71">
        <v>1</v>
      </c>
    </row>
    <row r="72" spans="1:2" x14ac:dyDescent="0.3">
      <c r="A72" s="2">
        <v>69</v>
      </c>
      <c r="B72">
        <v>1</v>
      </c>
    </row>
    <row r="73" spans="1:2" x14ac:dyDescent="0.3">
      <c r="A73" s="2">
        <v>70</v>
      </c>
      <c r="B73">
        <v>1</v>
      </c>
    </row>
    <row r="74" spans="1:2" x14ac:dyDescent="0.3">
      <c r="A74" s="2">
        <v>71</v>
      </c>
      <c r="B74">
        <v>1</v>
      </c>
    </row>
    <row r="75" spans="1:2" x14ac:dyDescent="0.3">
      <c r="A75" s="2">
        <v>72</v>
      </c>
      <c r="B75">
        <v>1</v>
      </c>
    </row>
    <row r="76" spans="1:2" x14ac:dyDescent="0.3">
      <c r="A76" s="2">
        <v>73</v>
      </c>
      <c r="B76">
        <v>1</v>
      </c>
    </row>
    <row r="77" spans="1:2" x14ac:dyDescent="0.3">
      <c r="A77" s="2">
        <v>74</v>
      </c>
      <c r="B77">
        <v>1</v>
      </c>
    </row>
    <row r="78" spans="1:2" x14ac:dyDescent="0.3">
      <c r="A78" s="2">
        <v>75</v>
      </c>
      <c r="B78">
        <v>1</v>
      </c>
    </row>
    <row r="79" spans="1:2" x14ac:dyDescent="0.3">
      <c r="A79" s="2">
        <v>76</v>
      </c>
      <c r="B79">
        <v>1</v>
      </c>
    </row>
    <row r="80" spans="1:2" x14ac:dyDescent="0.3">
      <c r="A80" s="2">
        <v>77</v>
      </c>
      <c r="B80">
        <v>1</v>
      </c>
    </row>
    <row r="81" spans="1:2" x14ac:dyDescent="0.3">
      <c r="A81" s="2">
        <v>78</v>
      </c>
      <c r="B81">
        <v>1</v>
      </c>
    </row>
    <row r="82" spans="1:2" x14ac:dyDescent="0.3">
      <c r="A82" s="2">
        <v>79</v>
      </c>
      <c r="B82">
        <v>1</v>
      </c>
    </row>
    <row r="83" spans="1:2" x14ac:dyDescent="0.3">
      <c r="A83" s="2">
        <v>80</v>
      </c>
      <c r="B83">
        <v>1</v>
      </c>
    </row>
    <row r="84" spans="1:2" x14ac:dyDescent="0.3">
      <c r="A84" s="2">
        <v>81</v>
      </c>
      <c r="B84">
        <v>1</v>
      </c>
    </row>
    <row r="85" spans="1:2" x14ac:dyDescent="0.3">
      <c r="A85" s="2">
        <v>82</v>
      </c>
      <c r="B85">
        <v>1</v>
      </c>
    </row>
    <row r="86" spans="1:2" x14ac:dyDescent="0.3">
      <c r="A86" s="2">
        <v>83</v>
      </c>
      <c r="B86">
        <v>1</v>
      </c>
    </row>
    <row r="87" spans="1:2" x14ac:dyDescent="0.3">
      <c r="A87" s="2">
        <v>84</v>
      </c>
      <c r="B87">
        <v>1</v>
      </c>
    </row>
    <row r="88" spans="1:2" x14ac:dyDescent="0.3">
      <c r="A88" s="2">
        <v>85</v>
      </c>
      <c r="B88">
        <v>1</v>
      </c>
    </row>
    <row r="89" spans="1:2" x14ac:dyDescent="0.3">
      <c r="A89" s="2">
        <v>86</v>
      </c>
      <c r="B89">
        <v>1</v>
      </c>
    </row>
    <row r="90" spans="1:2" x14ac:dyDescent="0.3">
      <c r="A90" s="2">
        <v>87</v>
      </c>
      <c r="B90">
        <v>1</v>
      </c>
    </row>
    <row r="91" spans="1:2" x14ac:dyDescent="0.3">
      <c r="A91" s="2">
        <v>88</v>
      </c>
      <c r="B91">
        <v>1</v>
      </c>
    </row>
    <row r="92" spans="1:2" x14ac:dyDescent="0.3">
      <c r="A92" s="2">
        <v>89</v>
      </c>
      <c r="B92">
        <v>1</v>
      </c>
    </row>
    <row r="93" spans="1:2" x14ac:dyDescent="0.3">
      <c r="A93" s="2">
        <v>90</v>
      </c>
      <c r="B93">
        <v>1</v>
      </c>
    </row>
    <row r="94" spans="1:2" x14ac:dyDescent="0.3">
      <c r="A94" s="2">
        <v>91</v>
      </c>
      <c r="B94">
        <v>1</v>
      </c>
    </row>
    <row r="95" spans="1:2" x14ac:dyDescent="0.3">
      <c r="A95" s="2">
        <v>92</v>
      </c>
      <c r="B95">
        <v>1</v>
      </c>
    </row>
    <row r="96" spans="1:2" x14ac:dyDescent="0.3">
      <c r="A96" s="2">
        <v>93</v>
      </c>
      <c r="B96">
        <v>1</v>
      </c>
    </row>
    <row r="97" spans="1:2" x14ac:dyDescent="0.3">
      <c r="A97" s="2">
        <v>94</v>
      </c>
      <c r="B97">
        <v>1</v>
      </c>
    </row>
    <row r="98" spans="1:2" x14ac:dyDescent="0.3">
      <c r="A98" s="2">
        <v>95</v>
      </c>
      <c r="B98">
        <v>1</v>
      </c>
    </row>
    <row r="99" spans="1:2" x14ac:dyDescent="0.3">
      <c r="A99" s="2">
        <v>96</v>
      </c>
      <c r="B99">
        <v>1</v>
      </c>
    </row>
    <row r="100" spans="1:2" x14ac:dyDescent="0.3">
      <c r="A100" s="2">
        <v>97</v>
      </c>
      <c r="B100">
        <v>1</v>
      </c>
    </row>
    <row r="101" spans="1:2" x14ac:dyDescent="0.3">
      <c r="A101" s="2">
        <v>98</v>
      </c>
      <c r="B101">
        <v>1</v>
      </c>
    </row>
    <row r="102" spans="1:2" x14ac:dyDescent="0.3">
      <c r="A102" s="2">
        <v>99</v>
      </c>
      <c r="B102">
        <v>1</v>
      </c>
    </row>
    <row r="103" spans="1:2" x14ac:dyDescent="0.3">
      <c r="A103" s="2">
        <v>100</v>
      </c>
      <c r="B103">
        <v>1</v>
      </c>
    </row>
    <row r="104" spans="1:2" x14ac:dyDescent="0.3">
      <c r="A104" s="2">
        <v>101</v>
      </c>
      <c r="B104">
        <v>1</v>
      </c>
    </row>
    <row r="105" spans="1:2" x14ac:dyDescent="0.3">
      <c r="A105" s="2">
        <v>102</v>
      </c>
      <c r="B105">
        <v>1</v>
      </c>
    </row>
    <row r="106" spans="1:2" x14ac:dyDescent="0.3">
      <c r="A106" s="2">
        <v>103</v>
      </c>
      <c r="B106">
        <v>1</v>
      </c>
    </row>
    <row r="107" spans="1:2" x14ac:dyDescent="0.3">
      <c r="A107" s="2">
        <v>104</v>
      </c>
      <c r="B107">
        <v>1</v>
      </c>
    </row>
    <row r="108" spans="1:2" x14ac:dyDescent="0.3">
      <c r="A108" s="2">
        <v>105</v>
      </c>
      <c r="B108">
        <v>1</v>
      </c>
    </row>
    <row r="109" spans="1:2" x14ac:dyDescent="0.3">
      <c r="A109" s="2">
        <v>106</v>
      </c>
      <c r="B109">
        <v>1</v>
      </c>
    </row>
    <row r="110" spans="1:2" x14ac:dyDescent="0.3">
      <c r="A110" s="2">
        <v>107</v>
      </c>
      <c r="B110">
        <v>1</v>
      </c>
    </row>
    <row r="111" spans="1:2" x14ac:dyDescent="0.3">
      <c r="A111" s="2">
        <v>108</v>
      </c>
      <c r="B111">
        <v>1</v>
      </c>
    </row>
    <row r="112" spans="1:2" x14ac:dyDescent="0.3">
      <c r="A112" s="2">
        <v>109</v>
      </c>
      <c r="B112">
        <v>1</v>
      </c>
    </row>
    <row r="113" spans="1:2" x14ac:dyDescent="0.3">
      <c r="A113" s="2">
        <v>110</v>
      </c>
      <c r="B113">
        <v>1</v>
      </c>
    </row>
    <row r="114" spans="1:2" x14ac:dyDescent="0.3">
      <c r="A114" s="2">
        <v>111</v>
      </c>
      <c r="B114">
        <v>1</v>
      </c>
    </row>
    <row r="115" spans="1:2" x14ac:dyDescent="0.3">
      <c r="A115" s="2">
        <v>112</v>
      </c>
      <c r="B115">
        <v>1</v>
      </c>
    </row>
    <row r="116" spans="1:2" x14ac:dyDescent="0.3">
      <c r="A116" s="2">
        <v>113</v>
      </c>
      <c r="B116">
        <v>1</v>
      </c>
    </row>
    <row r="117" spans="1:2" x14ac:dyDescent="0.3">
      <c r="A117" s="2">
        <v>114</v>
      </c>
      <c r="B117">
        <v>1</v>
      </c>
    </row>
    <row r="118" spans="1:2" x14ac:dyDescent="0.3">
      <c r="A118" s="2">
        <v>115</v>
      </c>
      <c r="B118">
        <v>1</v>
      </c>
    </row>
    <row r="119" spans="1:2" x14ac:dyDescent="0.3">
      <c r="A119" s="2">
        <v>116</v>
      </c>
      <c r="B119">
        <v>1</v>
      </c>
    </row>
    <row r="120" spans="1:2" x14ac:dyDescent="0.3">
      <c r="A120" s="2">
        <v>117</v>
      </c>
      <c r="B120">
        <v>1</v>
      </c>
    </row>
    <row r="121" spans="1:2" x14ac:dyDescent="0.3">
      <c r="A121" s="2">
        <v>118</v>
      </c>
      <c r="B121">
        <v>1</v>
      </c>
    </row>
    <row r="122" spans="1:2" x14ac:dyDescent="0.3">
      <c r="A122" s="2">
        <v>119</v>
      </c>
      <c r="B122">
        <v>1</v>
      </c>
    </row>
    <row r="123" spans="1:2" x14ac:dyDescent="0.3">
      <c r="A123" s="2">
        <v>120</v>
      </c>
      <c r="B123">
        <v>1</v>
      </c>
    </row>
    <row r="124" spans="1:2" x14ac:dyDescent="0.3">
      <c r="A124" s="2">
        <v>121</v>
      </c>
      <c r="B124">
        <v>1</v>
      </c>
    </row>
    <row r="125" spans="1:2" x14ac:dyDescent="0.3">
      <c r="A125" s="2">
        <v>122</v>
      </c>
      <c r="B125">
        <v>1</v>
      </c>
    </row>
    <row r="126" spans="1:2" x14ac:dyDescent="0.3">
      <c r="A126" s="2">
        <v>123</v>
      </c>
      <c r="B126">
        <v>1</v>
      </c>
    </row>
    <row r="127" spans="1:2" x14ac:dyDescent="0.3">
      <c r="A127" s="2">
        <v>124</v>
      </c>
      <c r="B127">
        <v>1</v>
      </c>
    </row>
    <row r="128" spans="1:2" x14ac:dyDescent="0.3">
      <c r="A128" s="2">
        <v>125</v>
      </c>
      <c r="B128">
        <v>1</v>
      </c>
    </row>
    <row r="129" spans="1:2" x14ac:dyDescent="0.3">
      <c r="A129" s="2">
        <v>126</v>
      </c>
      <c r="B129">
        <v>1</v>
      </c>
    </row>
    <row r="130" spans="1:2" x14ac:dyDescent="0.3">
      <c r="A130" s="2">
        <v>127</v>
      </c>
      <c r="B130">
        <v>1</v>
      </c>
    </row>
    <row r="131" spans="1:2" x14ac:dyDescent="0.3">
      <c r="A131" s="2">
        <v>128</v>
      </c>
      <c r="B131">
        <v>1</v>
      </c>
    </row>
    <row r="132" spans="1:2" x14ac:dyDescent="0.3">
      <c r="A132" s="2">
        <v>129</v>
      </c>
      <c r="B132">
        <v>1</v>
      </c>
    </row>
    <row r="133" spans="1:2" x14ac:dyDescent="0.3">
      <c r="A133" s="2">
        <v>130</v>
      </c>
      <c r="B133">
        <v>1</v>
      </c>
    </row>
    <row r="134" spans="1:2" x14ac:dyDescent="0.3">
      <c r="A134" s="2">
        <v>131</v>
      </c>
      <c r="B134">
        <v>1</v>
      </c>
    </row>
    <row r="135" spans="1:2" x14ac:dyDescent="0.3">
      <c r="A135" s="2">
        <v>132</v>
      </c>
      <c r="B135">
        <v>1</v>
      </c>
    </row>
    <row r="136" spans="1:2" x14ac:dyDescent="0.3">
      <c r="A136" s="2">
        <v>133</v>
      </c>
      <c r="B136">
        <v>1</v>
      </c>
    </row>
    <row r="137" spans="1:2" x14ac:dyDescent="0.3">
      <c r="A137" s="2">
        <v>134</v>
      </c>
      <c r="B137">
        <v>1</v>
      </c>
    </row>
    <row r="138" spans="1:2" x14ac:dyDescent="0.3">
      <c r="A138" s="2">
        <v>135</v>
      </c>
      <c r="B138">
        <v>1</v>
      </c>
    </row>
    <row r="139" spans="1:2" x14ac:dyDescent="0.3">
      <c r="A139" s="2">
        <v>136</v>
      </c>
      <c r="B139">
        <v>1</v>
      </c>
    </row>
    <row r="140" spans="1:2" x14ac:dyDescent="0.3">
      <c r="A140" s="2">
        <v>137</v>
      </c>
      <c r="B140">
        <v>1</v>
      </c>
    </row>
    <row r="141" spans="1:2" x14ac:dyDescent="0.3">
      <c r="A141" s="2">
        <v>138</v>
      </c>
      <c r="B141">
        <v>1</v>
      </c>
    </row>
    <row r="142" spans="1:2" x14ac:dyDescent="0.3">
      <c r="A142" s="2">
        <v>139</v>
      </c>
      <c r="B142">
        <v>1</v>
      </c>
    </row>
    <row r="143" spans="1:2" x14ac:dyDescent="0.3">
      <c r="A143" s="2">
        <v>140</v>
      </c>
      <c r="B143">
        <v>1</v>
      </c>
    </row>
    <row r="144" spans="1:2" x14ac:dyDescent="0.3">
      <c r="A144" s="2">
        <v>141</v>
      </c>
      <c r="B144">
        <v>1</v>
      </c>
    </row>
    <row r="145" spans="1:2" x14ac:dyDescent="0.3">
      <c r="A145" s="2">
        <v>142</v>
      </c>
      <c r="B145">
        <v>1</v>
      </c>
    </row>
    <row r="146" spans="1:2" x14ac:dyDescent="0.3">
      <c r="A146" s="2">
        <v>143</v>
      </c>
      <c r="B146">
        <v>1</v>
      </c>
    </row>
    <row r="147" spans="1:2" x14ac:dyDescent="0.3">
      <c r="A147" s="2">
        <v>144</v>
      </c>
      <c r="B147">
        <v>1</v>
      </c>
    </row>
    <row r="148" spans="1:2" x14ac:dyDescent="0.3">
      <c r="A148" s="2">
        <v>145</v>
      </c>
      <c r="B148">
        <v>1</v>
      </c>
    </row>
    <row r="149" spans="1:2" x14ac:dyDescent="0.3">
      <c r="A149" s="2">
        <v>146</v>
      </c>
      <c r="B149">
        <v>1</v>
      </c>
    </row>
    <row r="150" spans="1:2" x14ac:dyDescent="0.3">
      <c r="A150" s="2">
        <v>147</v>
      </c>
      <c r="B150">
        <v>1</v>
      </c>
    </row>
    <row r="151" spans="1:2" x14ac:dyDescent="0.3">
      <c r="A151" s="2">
        <v>148</v>
      </c>
      <c r="B151">
        <v>1</v>
      </c>
    </row>
    <row r="152" spans="1:2" x14ac:dyDescent="0.3">
      <c r="A152" s="2">
        <v>149</v>
      </c>
      <c r="B152">
        <v>1</v>
      </c>
    </row>
    <row r="153" spans="1:2" x14ac:dyDescent="0.3">
      <c r="A153" s="2">
        <v>150</v>
      </c>
      <c r="B153">
        <v>1</v>
      </c>
    </row>
    <row r="154" spans="1:2" x14ac:dyDescent="0.3">
      <c r="A154" s="2">
        <v>151</v>
      </c>
      <c r="B154">
        <v>1</v>
      </c>
    </row>
    <row r="155" spans="1:2" x14ac:dyDescent="0.3">
      <c r="A155" s="2">
        <v>152</v>
      </c>
      <c r="B155">
        <v>1</v>
      </c>
    </row>
    <row r="156" spans="1:2" x14ac:dyDescent="0.3">
      <c r="A156" s="2">
        <v>153</v>
      </c>
      <c r="B156">
        <v>1</v>
      </c>
    </row>
    <row r="157" spans="1:2" x14ac:dyDescent="0.3">
      <c r="A157" s="2">
        <v>154</v>
      </c>
      <c r="B157">
        <v>1</v>
      </c>
    </row>
    <row r="158" spans="1:2" x14ac:dyDescent="0.3">
      <c r="A158" s="2">
        <v>155</v>
      </c>
      <c r="B158">
        <v>1</v>
      </c>
    </row>
    <row r="159" spans="1:2" x14ac:dyDescent="0.3">
      <c r="A159" s="2">
        <v>156</v>
      </c>
      <c r="B159">
        <v>1</v>
      </c>
    </row>
    <row r="160" spans="1:2" x14ac:dyDescent="0.3">
      <c r="A160" s="2">
        <v>157</v>
      </c>
      <c r="B160">
        <v>1</v>
      </c>
    </row>
    <row r="161" spans="1:2" x14ac:dyDescent="0.3">
      <c r="A161" s="2">
        <v>158</v>
      </c>
      <c r="B161">
        <v>1</v>
      </c>
    </row>
    <row r="162" spans="1:2" x14ac:dyDescent="0.3">
      <c r="A162" s="2">
        <v>159</v>
      </c>
      <c r="B162">
        <v>1</v>
      </c>
    </row>
    <row r="163" spans="1:2" x14ac:dyDescent="0.3">
      <c r="A163" s="2">
        <v>160</v>
      </c>
      <c r="B163">
        <v>1</v>
      </c>
    </row>
    <row r="164" spans="1:2" x14ac:dyDescent="0.3">
      <c r="A164" s="2">
        <v>161</v>
      </c>
      <c r="B164">
        <v>1</v>
      </c>
    </row>
    <row r="165" spans="1:2" x14ac:dyDescent="0.3">
      <c r="A165" s="2">
        <v>162</v>
      </c>
      <c r="B165">
        <v>1</v>
      </c>
    </row>
    <row r="166" spans="1:2" x14ac:dyDescent="0.3">
      <c r="A166" s="2">
        <v>163</v>
      </c>
      <c r="B166">
        <v>1</v>
      </c>
    </row>
    <row r="167" spans="1:2" x14ac:dyDescent="0.3">
      <c r="A167" s="2">
        <v>164</v>
      </c>
      <c r="B167">
        <v>1</v>
      </c>
    </row>
    <row r="168" spans="1:2" x14ac:dyDescent="0.3">
      <c r="A168" s="2">
        <v>165</v>
      </c>
      <c r="B168">
        <v>1</v>
      </c>
    </row>
    <row r="169" spans="1:2" x14ac:dyDescent="0.3">
      <c r="A169" s="2">
        <v>166</v>
      </c>
      <c r="B169">
        <v>1</v>
      </c>
    </row>
    <row r="170" spans="1:2" x14ac:dyDescent="0.3">
      <c r="A170" s="2">
        <v>167</v>
      </c>
      <c r="B170">
        <v>1</v>
      </c>
    </row>
    <row r="171" spans="1:2" x14ac:dyDescent="0.3">
      <c r="A171" s="2">
        <v>168</v>
      </c>
      <c r="B171">
        <v>1</v>
      </c>
    </row>
    <row r="172" spans="1:2" x14ac:dyDescent="0.3">
      <c r="A172" s="2">
        <v>169</v>
      </c>
      <c r="B172">
        <v>1</v>
      </c>
    </row>
    <row r="173" spans="1:2" x14ac:dyDescent="0.3">
      <c r="A173" s="2">
        <v>170</v>
      </c>
      <c r="B173">
        <v>1</v>
      </c>
    </row>
    <row r="174" spans="1:2" x14ac:dyDescent="0.3">
      <c r="A174" s="2">
        <v>171</v>
      </c>
      <c r="B174">
        <v>1</v>
      </c>
    </row>
    <row r="175" spans="1:2" x14ac:dyDescent="0.3">
      <c r="A175" s="2">
        <v>172</v>
      </c>
      <c r="B175">
        <v>1</v>
      </c>
    </row>
    <row r="176" spans="1:2" x14ac:dyDescent="0.3">
      <c r="A176" s="2">
        <v>173</v>
      </c>
      <c r="B176">
        <v>1</v>
      </c>
    </row>
    <row r="177" spans="1:2" x14ac:dyDescent="0.3">
      <c r="A177" s="2">
        <v>174</v>
      </c>
      <c r="B177">
        <v>1</v>
      </c>
    </row>
    <row r="178" spans="1:2" x14ac:dyDescent="0.3">
      <c r="A178" s="2">
        <v>175</v>
      </c>
      <c r="B178">
        <v>1</v>
      </c>
    </row>
    <row r="179" spans="1:2" x14ac:dyDescent="0.3">
      <c r="A179" s="2">
        <v>176</v>
      </c>
      <c r="B179">
        <v>1</v>
      </c>
    </row>
    <row r="180" spans="1:2" x14ac:dyDescent="0.3">
      <c r="A180" s="2">
        <v>177</v>
      </c>
      <c r="B180">
        <v>1</v>
      </c>
    </row>
    <row r="181" spans="1:2" x14ac:dyDescent="0.3">
      <c r="A181" s="2">
        <v>178</v>
      </c>
      <c r="B181">
        <v>1</v>
      </c>
    </row>
    <row r="182" spans="1:2" x14ac:dyDescent="0.3">
      <c r="A182" s="2">
        <v>179</v>
      </c>
      <c r="B182">
        <v>1</v>
      </c>
    </row>
    <row r="183" spans="1:2" x14ac:dyDescent="0.3">
      <c r="A183" s="2">
        <v>180</v>
      </c>
      <c r="B183">
        <v>1</v>
      </c>
    </row>
    <row r="184" spans="1:2" x14ac:dyDescent="0.3">
      <c r="A184" s="2">
        <v>181</v>
      </c>
      <c r="B184">
        <v>1</v>
      </c>
    </row>
    <row r="185" spans="1:2" x14ac:dyDescent="0.3">
      <c r="A185" s="2">
        <v>182</v>
      </c>
      <c r="B185">
        <v>1</v>
      </c>
    </row>
    <row r="186" spans="1:2" x14ac:dyDescent="0.3">
      <c r="A186" s="2">
        <v>183</v>
      </c>
      <c r="B186">
        <v>1</v>
      </c>
    </row>
    <row r="187" spans="1:2" x14ac:dyDescent="0.3">
      <c r="A187" s="2">
        <v>184</v>
      </c>
      <c r="B187">
        <v>1</v>
      </c>
    </row>
    <row r="188" spans="1:2" x14ac:dyDescent="0.3">
      <c r="A188" s="2">
        <v>185</v>
      </c>
      <c r="B188">
        <v>1</v>
      </c>
    </row>
    <row r="189" spans="1:2" x14ac:dyDescent="0.3">
      <c r="A189" s="2">
        <v>186</v>
      </c>
      <c r="B189">
        <v>1</v>
      </c>
    </row>
    <row r="190" spans="1:2" x14ac:dyDescent="0.3">
      <c r="A190" s="2">
        <v>187</v>
      </c>
      <c r="B190">
        <v>1</v>
      </c>
    </row>
    <row r="191" spans="1:2" x14ac:dyDescent="0.3">
      <c r="A191" s="2">
        <v>188</v>
      </c>
      <c r="B191">
        <v>1</v>
      </c>
    </row>
    <row r="192" spans="1:2" x14ac:dyDescent="0.3">
      <c r="A192" s="2">
        <v>189</v>
      </c>
      <c r="B192">
        <v>1</v>
      </c>
    </row>
    <row r="193" spans="1:2" x14ac:dyDescent="0.3">
      <c r="A193" s="2">
        <v>190</v>
      </c>
      <c r="B193">
        <v>1</v>
      </c>
    </row>
    <row r="194" spans="1:2" x14ac:dyDescent="0.3">
      <c r="A194" s="2">
        <v>191</v>
      </c>
      <c r="B194">
        <v>1</v>
      </c>
    </row>
    <row r="195" spans="1:2" x14ac:dyDescent="0.3">
      <c r="A195" s="2">
        <v>192</v>
      </c>
      <c r="B195">
        <v>1</v>
      </c>
    </row>
    <row r="196" spans="1:2" x14ac:dyDescent="0.3">
      <c r="A196" s="2">
        <v>193</v>
      </c>
      <c r="B196">
        <v>1</v>
      </c>
    </row>
    <row r="197" spans="1:2" x14ac:dyDescent="0.3">
      <c r="A197" s="2">
        <v>194</v>
      </c>
      <c r="B197">
        <v>1</v>
      </c>
    </row>
    <row r="198" spans="1:2" x14ac:dyDescent="0.3">
      <c r="A198" s="2">
        <v>195</v>
      </c>
      <c r="B198">
        <v>1</v>
      </c>
    </row>
    <row r="199" spans="1:2" x14ac:dyDescent="0.3">
      <c r="A199" s="2">
        <v>196</v>
      </c>
      <c r="B199">
        <v>1</v>
      </c>
    </row>
    <row r="200" spans="1:2" x14ac:dyDescent="0.3">
      <c r="A200" s="2">
        <v>197</v>
      </c>
      <c r="B200">
        <v>1</v>
      </c>
    </row>
    <row r="201" spans="1:2" x14ac:dyDescent="0.3">
      <c r="A201" s="2">
        <v>198</v>
      </c>
      <c r="B201">
        <v>1</v>
      </c>
    </row>
    <row r="202" spans="1:2" x14ac:dyDescent="0.3">
      <c r="A202" s="2">
        <v>199</v>
      </c>
      <c r="B202">
        <v>1</v>
      </c>
    </row>
    <row r="203" spans="1:2" x14ac:dyDescent="0.3">
      <c r="A203" s="2">
        <v>200</v>
      </c>
      <c r="B203">
        <v>1</v>
      </c>
    </row>
    <row r="204" spans="1:2" x14ac:dyDescent="0.3">
      <c r="A204" s="2">
        <v>201</v>
      </c>
      <c r="B204">
        <v>1</v>
      </c>
    </row>
    <row r="205" spans="1:2" x14ac:dyDescent="0.3">
      <c r="A205" s="2">
        <v>202</v>
      </c>
      <c r="B205">
        <v>1</v>
      </c>
    </row>
    <row r="206" spans="1:2" x14ac:dyDescent="0.3">
      <c r="A206" s="2">
        <v>203</v>
      </c>
      <c r="B206">
        <v>1</v>
      </c>
    </row>
    <row r="207" spans="1:2" x14ac:dyDescent="0.3">
      <c r="A207" s="2">
        <v>204</v>
      </c>
      <c r="B207">
        <v>1</v>
      </c>
    </row>
    <row r="208" spans="1:2" x14ac:dyDescent="0.3">
      <c r="A208" s="2">
        <v>205</v>
      </c>
      <c r="B208">
        <v>1</v>
      </c>
    </row>
    <row r="209" spans="1:2" x14ac:dyDescent="0.3">
      <c r="A209" s="2">
        <v>206</v>
      </c>
      <c r="B209">
        <v>1</v>
      </c>
    </row>
    <row r="210" spans="1:2" x14ac:dyDescent="0.3">
      <c r="A210" s="2">
        <v>207</v>
      </c>
      <c r="B210">
        <v>1</v>
      </c>
    </row>
    <row r="211" spans="1:2" x14ac:dyDescent="0.3">
      <c r="A211" s="2">
        <v>208</v>
      </c>
      <c r="B211">
        <v>1</v>
      </c>
    </row>
    <row r="212" spans="1:2" x14ac:dyDescent="0.3">
      <c r="A212" s="2">
        <v>209</v>
      </c>
      <c r="B212">
        <v>1</v>
      </c>
    </row>
    <row r="213" spans="1:2" x14ac:dyDescent="0.3">
      <c r="A213" s="2">
        <v>210</v>
      </c>
      <c r="B213">
        <v>1</v>
      </c>
    </row>
    <row r="214" spans="1:2" x14ac:dyDescent="0.3">
      <c r="A214" s="2">
        <v>211</v>
      </c>
      <c r="B214">
        <v>1</v>
      </c>
    </row>
    <row r="215" spans="1:2" x14ac:dyDescent="0.3">
      <c r="A215" s="2">
        <v>212</v>
      </c>
      <c r="B215">
        <v>1</v>
      </c>
    </row>
    <row r="216" spans="1:2" x14ac:dyDescent="0.3">
      <c r="A216" s="2">
        <v>213</v>
      </c>
      <c r="B216">
        <v>1</v>
      </c>
    </row>
    <row r="217" spans="1:2" x14ac:dyDescent="0.3">
      <c r="A217" s="2">
        <v>214</v>
      </c>
      <c r="B217">
        <v>1</v>
      </c>
    </row>
    <row r="218" spans="1:2" x14ac:dyDescent="0.3">
      <c r="A218" s="2">
        <v>215</v>
      </c>
      <c r="B218">
        <v>1</v>
      </c>
    </row>
    <row r="219" spans="1:2" x14ac:dyDescent="0.3">
      <c r="A219" s="2">
        <v>216</v>
      </c>
      <c r="B219">
        <v>1</v>
      </c>
    </row>
    <row r="220" spans="1:2" x14ac:dyDescent="0.3">
      <c r="A220" s="2">
        <v>217</v>
      </c>
      <c r="B220">
        <v>1</v>
      </c>
    </row>
    <row r="221" spans="1:2" x14ac:dyDescent="0.3">
      <c r="A221" s="2">
        <v>218</v>
      </c>
      <c r="B221">
        <v>1</v>
      </c>
    </row>
    <row r="222" spans="1:2" x14ac:dyDescent="0.3">
      <c r="A222" s="2">
        <v>219</v>
      </c>
      <c r="B222">
        <v>1</v>
      </c>
    </row>
    <row r="223" spans="1:2" x14ac:dyDescent="0.3">
      <c r="A223" s="2">
        <v>220</v>
      </c>
      <c r="B223">
        <v>1</v>
      </c>
    </row>
    <row r="224" spans="1:2" x14ac:dyDescent="0.3">
      <c r="A224" s="2">
        <v>221</v>
      </c>
      <c r="B224">
        <v>1</v>
      </c>
    </row>
    <row r="225" spans="1:2" x14ac:dyDescent="0.3">
      <c r="A225" s="2">
        <v>222</v>
      </c>
      <c r="B225">
        <v>1</v>
      </c>
    </row>
    <row r="226" spans="1:2" x14ac:dyDescent="0.3">
      <c r="A226" s="2">
        <v>223</v>
      </c>
      <c r="B226">
        <v>1</v>
      </c>
    </row>
    <row r="227" spans="1:2" x14ac:dyDescent="0.3">
      <c r="A227" s="2">
        <v>224</v>
      </c>
      <c r="B227">
        <v>1</v>
      </c>
    </row>
    <row r="228" spans="1:2" x14ac:dyDescent="0.3">
      <c r="A228" s="2">
        <v>225</v>
      </c>
      <c r="B228">
        <v>1</v>
      </c>
    </row>
    <row r="229" spans="1:2" x14ac:dyDescent="0.3">
      <c r="A229" s="2">
        <v>226</v>
      </c>
      <c r="B229">
        <v>1</v>
      </c>
    </row>
    <row r="230" spans="1:2" x14ac:dyDescent="0.3">
      <c r="A230" s="2">
        <v>227</v>
      </c>
      <c r="B230">
        <v>1</v>
      </c>
    </row>
    <row r="231" spans="1:2" x14ac:dyDescent="0.3">
      <c r="A231" s="2">
        <v>228</v>
      </c>
      <c r="B231">
        <v>1</v>
      </c>
    </row>
    <row r="232" spans="1:2" x14ac:dyDescent="0.3">
      <c r="A232" s="2">
        <v>229</v>
      </c>
      <c r="B232">
        <v>1</v>
      </c>
    </row>
    <row r="233" spans="1:2" x14ac:dyDescent="0.3">
      <c r="A233" s="2">
        <v>230</v>
      </c>
      <c r="B233">
        <v>1</v>
      </c>
    </row>
    <row r="234" spans="1:2" x14ac:dyDescent="0.3">
      <c r="A234" s="2">
        <v>231</v>
      </c>
      <c r="B234">
        <v>1</v>
      </c>
    </row>
    <row r="235" spans="1:2" x14ac:dyDescent="0.3">
      <c r="A235" s="2">
        <v>232</v>
      </c>
      <c r="B235">
        <v>1</v>
      </c>
    </row>
    <row r="236" spans="1:2" x14ac:dyDescent="0.3">
      <c r="A236" s="2">
        <v>233</v>
      </c>
      <c r="B236">
        <v>1</v>
      </c>
    </row>
    <row r="237" spans="1:2" x14ac:dyDescent="0.3">
      <c r="A237" s="2">
        <v>234</v>
      </c>
      <c r="B237">
        <v>1</v>
      </c>
    </row>
    <row r="238" spans="1:2" x14ac:dyDescent="0.3">
      <c r="A238" s="2">
        <v>235</v>
      </c>
      <c r="B238">
        <v>1</v>
      </c>
    </row>
    <row r="239" spans="1:2" x14ac:dyDescent="0.3">
      <c r="A239" s="2">
        <v>236</v>
      </c>
      <c r="B239">
        <v>1</v>
      </c>
    </row>
    <row r="240" spans="1:2" x14ac:dyDescent="0.3">
      <c r="A240" s="2">
        <v>237</v>
      </c>
      <c r="B240">
        <v>1</v>
      </c>
    </row>
    <row r="241" spans="1:2" x14ac:dyDescent="0.3">
      <c r="A241" s="2">
        <v>238</v>
      </c>
      <c r="B241">
        <v>1</v>
      </c>
    </row>
    <row r="242" spans="1:2" x14ac:dyDescent="0.3">
      <c r="A242" s="2">
        <v>239</v>
      </c>
      <c r="B242">
        <v>1</v>
      </c>
    </row>
    <row r="243" spans="1:2" x14ac:dyDescent="0.3">
      <c r="A243" s="2">
        <v>240</v>
      </c>
      <c r="B243">
        <v>1</v>
      </c>
    </row>
    <row r="244" spans="1:2" x14ac:dyDescent="0.3">
      <c r="A244" s="2">
        <v>241</v>
      </c>
      <c r="B244">
        <v>1</v>
      </c>
    </row>
    <row r="245" spans="1:2" x14ac:dyDescent="0.3">
      <c r="A245" s="2">
        <v>242</v>
      </c>
      <c r="B245">
        <v>1</v>
      </c>
    </row>
    <row r="246" spans="1:2" x14ac:dyDescent="0.3">
      <c r="A246" s="2">
        <v>243</v>
      </c>
      <c r="B246">
        <v>1</v>
      </c>
    </row>
    <row r="247" spans="1:2" x14ac:dyDescent="0.3">
      <c r="A247" s="2">
        <v>244</v>
      </c>
      <c r="B247">
        <v>1</v>
      </c>
    </row>
    <row r="248" spans="1:2" x14ac:dyDescent="0.3">
      <c r="A248" s="2">
        <v>245</v>
      </c>
      <c r="B248">
        <v>1</v>
      </c>
    </row>
    <row r="249" spans="1:2" x14ac:dyDescent="0.3">
      <c r="A249" s="2">
        <v>246</v>
      </c>
      <c r="B249">
        <v>1</v>
      </c>
    </row>
    <row r="250" spans="1:2" x14ac:dyDescent="0.3">
      <c r="A250" s="2">
        <v>247</v>
      </c>
      <c r="B250">
        <v>1</v>
      </c>
    </row>
    <row r="251" spans="1:2" x14ac:dyDescent="0.3">
      <c r="A251" s="2">
        <v>248</v>
      </c>
      <c r="B251">
        <v>1</v>
      </c>
    </row>
    <row r="252" spans="1:2" x14ac:dyDescent="0.3">
      <c r="A252" s="2">
        <v>249</v>
      </c>
      <c r="B252">
        <v>1</v>
      </c>
    </row>
    <row r="253" spans="1:2" x14ac:dyDescent="0.3">
      <c r="A253" s="2">
        <v>250</v>
      </c>
      <c r="B253">
        <v>1</v>
      </c>
    </row>
    <row r="254" spans="1:2" x14ac:dyDescent="0.3">
      <c r="A254" s="2">
        <v>251</v>
      </c>
      <c r="B254">
        <v>1</v>
      </c>
    </row>
    <row r="255" spans="1:2" x14ac:dyDescent="0.3">
      <c r="A255" s="2">
        <v>252</v>
      </c>
      <c r="B255">
        <v>1</v>
      </c>
    </row>
    <row r="256" spans="1:2" x14ac:dyDescent="0.3">
      <c r="A256" s="2">
        <v>253</v>
      </c>
      <c r="B256">
        <v>1</v>
      </c>
    </row>
    <row r="257" spans="1:2" x14ac:dyDescent="0.3">
      <c r="A257" s="2">
        <v>254</v>
      </c>
      <c r="B257">
        <v>1</v>
      </c>
    </row>
    <row r="258" spans="1:2" x14ac:dyDescent="0.3">
      <c r="A258" s="2">
        <v>255</v>
      </c>
      <c r="B258">
        <v>1</v>
      </c>
    </row>
    <row r="259" spans="1:2" x14ac:dyDescent="0.3">
      <c r="A259" s="2">
        <v>256</v>
      </c>
      <c r="B259">
        <v>1</v>
      </c>
    </row>
    <row r="260" spans="1:2" x14ac:dyDescent="0.3">
      <c r="A260" s="2">
        <v>257</v>
      </c>
      <c r="B260">
        <v>1</v>
      </c>
    </row>
    <row r="261" spans="1:2" x14ac:dyDescent="0.3">
      <c r="A261" s="2">
        <v>258</v>
      </c>
      <c r="B261">
        <v>1</v>
      </c>
    </row>
    <row r="262" spans="1:2" x14ac:dyDescent="0.3">
      <c r="A262" s="2">
        <v>259</v>
      </c>
      <c r="B262">
        <v>1</v>
      </c>
    </row>
    <row r="263" spans="1:2" x14ac:dyDescent="0.3">
      <c r="A263" s="2">
        <v>260</v>
      </c>
      <c r="B263">
        <v>1</v>
      </c>
    </row>
    <row r="264" spans="1:2" x14ac:dyDescent="0.3">
      <c r="A264" s="2">
        <v>261</v>
      </c>
      <c r="B264">
        <v>1</v>
      </c>
    </row>
    <row r="265" spans="1:2" x14ac:dyDescent="0.3">
      <c r="A265" s="2">
        <v>262</v>
      </c>
      <c r="B265">
        <v>1</v>
      </c>
    </row>
    <row r="266" spans="1:2" x14ac:dyDescent="0.3">
      <c r="A266" s="2">
        <v>263</v>
      </c>
      <c r="B266">
        <v>1</v>
      </c>
    </row>
    <row r="267" spans="1:2" x14ac:dyDescent="0.3">
      <c r="A267" s="2">
        <v>264</v>
      </c>
      <c r="B267">
        <v>1</v>
      </c>
    </row>
    <row r="268" spans="1:2" x14ac:dyDescent="0.3">
      <c r="A268" s="2">
        <v>265</v>
      </c>
      <c r="B268">
        <v>1</v>
      </c>
    </row>
    <row r="269" spans="1:2" x14ac:dyDescent="0.3">
      <c r="A269" s="2">
        <v>266</v>
      </c>
      <c r="B269">
        <v>1</v>
      </c>
    </row>
    <row r="270" spans="1:2" x14ac:dyDescent="0.3">
      <c r="A270" s="2">
        <v>267</v>
      </c>
      <c r="B270">
        <v>1</v>
      </c>
    </row>
    <row r="271" spans="1:2" x14ac:dyDescent="0.3">
      <c r="A271" s="2">
        <v>268</v>
      </c>
      <c r="B271">
        <v>1</v>
      </c>
    </row>
    <row r="272" spans="1:2" x14ac:dyDescent="0.3">
      <c r="A272" s="2">
        <v>269</v>
      </c>
      <c r="B272">
        <v>1</v>
      </c>
    </row>
    <row r="273" spans="1:2" x14ac:dyDescent="0.3">
      <c r="A273" s="2">
        <v>270</v>
      </c>
      <c r="B273">
        <v>1</v>
      </c>
    </row>
    <row r="274" spans="1:2" x14ac:dyDescent="0.3">
      <c r="A274" s="2">
        <v>271</v>
      </c>
      <c r="B274">
        <v>1</v>
      </c>
    </row>
    <row r="275" spans="1:2" x14ac:dyDescent="0.3">
      <c r="A275" s="2">
        <v>272</v>
      </c>
      <c r="B275">
        <v>1</v>
      </c>
    </row>
    <row r="276" spans="1:2" x14ac:dyDescent="0.3">
      <c r="A276" s="2">
        <v>273</v>
      </c>
      <c r="B276">
        <v>1</v>
      </c>
    </row>
    <row r="277" spans="1:2" x14ac:dyDescent="0.3">
      <c r="A277" s="2">
        <v>274</v>
      </c>
      <c r="B277">
        <v>1</v>
      </c>
    </row>
    <row r="278" spans="1:2" x14ac:dyDescent="0.3">
      <c r="A278" s="2">
        <v>275</v>
      </c>
      <c r="B278">
        <v>1</v>
      </c>
    </row>
    <row r="279" spans="1:2" x14ac:dyDescent="0.3">
      <c r="A279" s="2">
        <v>276</v>
      </c>
      <c r="B279">
        <v>1</v>
      </c>
    </row>
    <row r="280" spans="1:2" x14ac:dyDescent="0.3">
      <c r="A280" s="2">
        <v>277</v>
      </c>
      <c r="B280">
        <v>1</v>
      </c>
    </row>
    <row r="281" spans="1:2" x14ac:dyDescent="0.3">
      <c r="A281" s="2">
        <v>278</v>
      </c>
      <c r="B281">
        <v>1</v>
      </c>
    </row>
    <row r="282" spans="1:2" x14ac:dyDescent="0.3">
      <c r="A282" s="2">
        <v>279</v>
      </c>
      <c r="B282">
        <v>1</v>
      </c>
    </row>
    <row r="283" spans="1:2" x14ac:dyDescent="0.3">
      <c r="A283" s="2">
        <v>280</v>
      </c>
      <c r="B283">
        <v>1</v>
      </c>
    </row>
    <row r="284" spans="1:2" x14ac:dyDescent="0.3">
      <c r="A284" s="2">
        <v>281</v>
      </c>
      <c r="B284">
        <v>1</v>
      </c>
    </row>
    <row r="285" spans="1:2" x14ac:dyDescent="0.3">
      <c r="A285" s="2">
        <v>282</v>
      </c>
      <c r="B285">
        <v>1</v>
      </c>
    </row>
    <row r="286" spans="1:2" x14ac:dyDescent="0.3">
      <c r="A286" s="2">
        <v>283</v>
      </c>
      <c r="B286">
        <v>1</v>
      </c>
    </row>
    <row r="287" spans="1:2" x14ac:dyDescent="0.3">
      <c r="A287" s="2">
        <v>284</v>
      </c>
      <c r="B287">
        <v>1</v>
      </c>
    </row>
    <row r="288" spans="1:2" x14ac:dyDescent="0.3">
      <c r="A288" s="2">
        <v>285</v>
      </c>
      <c r="B288">
        <v>1</v>
      </c>
    </row>
    <row r="289" spans="1:2" x14ac:dyDescent="0.3">
      <c r="A289" s="2">
        <v>286</v>
      </c>
      <c r="B289">
        <v>1</v>
      </c>
    </row>
    <row r="290" spans="1:2" x14ac:dyDescent="0.3">
      <c r="A290" s="2">
        <v>287</v>
      </c>
      <c r="B290">
        <v>1</v>
      </c>
    </row>
    <row r="291" spans="1:2" x14ac:dyDescent="0.3">
      <c r="A291" s="2">
        <v>288</v>
      </c>
      <c r="B291">
        <v>1</v>
      </c>
    </row>
    <row r="292" spans="1:2" x14ac:dyDescent="0.3">
      <c r="A292" s="2">
        <v>289</v>
      </c>
      <c r="B292">
        <v>1</v>
      </c>
    </row>
    <row r="293" spans="1:2" x14ac:dyDescent="0.3">
      <c r="A293" s="2">
        <v>290</v>
      </c>
      <c r="B293">
        <v>1</v>
      </c>
    </row>
    <row r="294" spans="1:2" x14ac:dyDescent="0.3">
      <c r="A294" s="2">
        <v>291</v>
      </c>
      <c r="B294">
        <v>1</v>
      </c>
    </row>
    <row r="295" spans="1:2" x14ac:dyDescent="0.3">
      <c r="A295" s="2">
        <v>292</v>
      </c>
      <c r="B295">
        <v>1</v>
      </c>
    </row>
    <row r="296" spans="1:2" x14ac:dyDescent="0.3">
      <c r="A296" s="2">
        <v>293</v>
      </c>
      <c r="B296">
        <v>1</v>
      </c>
    </row>
    <row r="297" spans="1:2" x14ac:dyDescent="0.3">
      <c r="A297" s="2">
        <v>294</v>
      </c>
      <c r="B297">
        <v>1</v>
      </c>
    </row>
    <row r="298" spans="1:2" x14ac:dyDescent="0.3">
      <c r="A298" s="2">
        <v>295</v>
      </c>
      <c r="B298">
        <v>1</v>
      </c>
    </row>
    <row r="299" spans="1:2" x14ac:dyDescent="0.3">
      <c r="A299" s="2">
        <v>296</v>
      </c>
      <c r="B299">
        <v>1</v>
      </c>
    </row>
    <row r="300" spans="1:2" x14ac:dyDescent="0.3">
      <c r="A300" s="2">
        <v>297</v>
      </c>
      <c r="B300">
        <v>1</v>
      </c>
    </row>
    <row r="301" spans="1:2" x14ac:dyDescent="0.3">
      <c r="A301" s="2">
        <v>298</v>
      </c>
      <c r="B301">
        <v>1</v>
      </c>
    </row>
    <row r="302" spans="1:2" x14ac:dyDescent="0.3">
      <c r="A302" s="2">
        <v>299</v>
      </c>
      <c r="B302">
        <v>1</v>
      </c>
    </row>
    <row r="303" spans="1:2" x14ac:dyDescent="0.3">
      <c r="A303" s="2">
        <v>300</v>
      </c>
      <c r="B303">
        <v>1</v>
      </c>
    </row>
    <row r="304" spans="1:2" x14ac:dyDescent="0.3">
      <c r="A304" s="2">
        <v>301</v>
      </c>
      <c r="B304">
        <v>1</v>
      </c>
    </row>
    <row r="305" spans="1:2" x14ac:dyDescent="0.3">
      <c r="A305" s="2">
        <v>302</v>
      </c>
      <c r="B305">
        <v>1</v>
      </c>
    </row>
    <row r="306" spans="1:2" x14ac:dyDescent="0.3">
      <c r="A306" s="2">
        <v>303</v>
      </c>
      <c r="B306">
        <v>1</v>
      </c>
    </row>
    <row r="307" spans="1:2" x14ac:dyDescent="0.3">
      <c r="A307" s="2">
        <v>304</v>
      </c>
      <c r="B307">
        <v>1</v>
      </c>
    </row>
    <row r="308" spans="1:2" x14ac:dyDescent="0.3">
      <c r="A308" s="2">
        <v>305</v>
      </c>
      <c r="B308">
        <v>1</v>
      </c>
    </row>
    <row r="309" spans="1:2" x14ac:dyDescent="0.3">
      <c r="A309" s="2">
        <v>306</v>
      </c>
      <c r="B309">
        <v>1</v>
      </c>
    </row>
    <row r="310" spans="1:2" x14ac:dyDescent="0.3">
      <c r="A310" s="2">
        <v>307</v>
      </c>
      <c r="B310">
        <v>1</v>
      </c>
    </row>
    <row r="311" spans="1:2" x14ac:dyDescent="0.3">
      <c r="A311" s="2">
        <v>308</v>
      </c>
      <c r="B311">
        <v>1</v>
      </c>
    </row>
    <row r="312" spans="1:2" x14ac:dyDescent="0.3">
      <c r="A312" s="2">
        <v>309</v>
      </c>
      <c r="B312">
        <v>1</v>
      </c>
    </row>
    <row r="313" spans="1:2" x14ac:dyDescent="0.3">
      <c r="A313" s="2">
        <v>310</v>
      </c>
      <c r="B313">
        <v>1</v>
      </c>
    </row>
    <row r="314" spans="1:2" x14ac:dyDescent="0.3">
      <c r="A314" s="2">
        <v>311</v>
      </c>
      <c r="B314">
        <v>1</v>
      </c>
    </row>
    <row r="315" spans="1:2" x14ac:dyDescent="0.3">
      <c r="A315" s="2">
        <v>312</v>
      </c>
      <c r="B315">
        <v>1</v>
      </c>
    </row>
    <row r="316" spans="1:2" x14ac:dyDescent="0.3">
      <c r="A316" s="2">
        <v>313</v>
      </c>
      <c r="B316">
        <v>1</v>
      </c>
    </row>
    <row r="317" spans="1:2" x14ac:dyDescent="0.3">
      <c r="A317" s="2">
        <v>314</v>
      </c>
      <c r="B317">
        <v>1</v>
      </c>
    </row>
    <row r="318" spans="1:2" x14ac:dyDescent="0.3">
      <c r="A318" s="2">
        <v>315</v>
      </c>
      <c r="B318">
        <v>1</v>
      </c>
    </row>
    <row r="319" spans="1:2" x14ac:dyDescent="0.3">
      <c r="A319" s="2">
        <v>316</v>
      </c>
      <c r="B319">
        <v>1</v>
      </c>
    </row>
    <row r="320" spans="1:2" x14ac:dyDescent="0.3">
      <c r="A320" s="2">
        <v>317</v>
      </c>
      <c r="B320">
        <v>1</v>
      </c>
    </row>
    <row r="321" spans="1:2" x14ac:dyDescent="0.3">
      <c r="A321" s="2">
        <v>318</v>
      </c>
      <c r="B321">
        <v>1</v>
      </c>
    </row>
    <row r="322" spans="1:2" x14ac:dyDescent="0.3">
      <c r="A322" s="2">
        <v>319</v>
      </c>
      <c r="B322">
        <v>1</v>
      </c>
    </row>
    <row r="323" spans="1:2" x14ac:dyDescent="0.3">
      <c r="A323" s="2">
        <v>320</v>
      </c>
      <c r="B323">
        <v>1</v>
      </c>
    </row>
    <row r="324" spans="1:2" x14ac:dyDescent="0.3">
      <c r="A324" s="2">
        <v>321</v>
      </c>
      <c r="B324">
        <v>1</v>
      </c>
    </row>
    <row r="325" spans="1:2" x14ac:dyDescent="0.3">
      <c r="A325" s="2">
        <v>322</v>
      </c>
      <c r="B325">
        <v>1</v>
      </c>
    </row>
    <row r="326" spans="1:2" x14ac:dyDescent="0.3">
      <c r="A326" s="2">
        <v>323</v>
      </c>
      <c r="B326">
        <v>1</v>
      </c>
    </row>
    <row r="327" spans="1:2" x14ac:dyDescent="0.3">
      <c r="A327" s="2">
        <v>324</v>
      </c>
      <c r="B327">
        <v>1</v>
      </c>
    </row>
    <row r="328" spans="1:2" x14ac:dyDescent="0.3">
      <c r="A328" s="2">
        <v>325</v>
      </c>
      <c r="B328">
        <v>1</v>
      </c>
    </row>
    <row r="329" spans="1:2" x14ac:dyDescent="0.3">
      <c r="A329" s="2">
        <v>326</v>
      </c>
      <c r="B329">
        <v>1</v>
      </c>
    </row>
    <row r="330" spans="1:2" x14ac:dyDescent="0.3">
      <c r="A330" s="2">
        <v>327</v>
      </c>
      <c r="B330">
        <v>1</v>
      </c>
    </row>
    <row r="331" spans="1:2" x14ac:dyDescent="0.3">
      <c r="A331" s="2">
        <v>328</v>
      </c>
      <c r="B331">
        <v>1</v>
      </c>
    </row>
    <row r="332" spans="1:2" x14ac:dyDescent="0.3">
      <c r="A332" s="2">
        <v>329</v>
      </c>
      <c r="B332">
        <v>1</v>
      </c>
    </row>
    <row r="333" spans="1:2" x14ac:dyDescent="0.3">
      <c r="A333" s="2">
        <v>330</v>
      </c>
      <c r="B333">
        <v>1</v>
      </c>
    </row>
    <row r="334" spans="1:2" x14ac:dyDescent="0.3">
      <c r="A334" s="2">
        <v>331</v>
      </c>
      <c r="B334">
        <v>1</v>
      </c>
    </row>
    <row r="335" spans="1:2" x14ac:dyDescent="0.3">
      <c r="A335" s="2">
        <v>332</v>
      </c>
      <c r="B335">
        <v>1</v>
      </c>
    </row>
    <row r="336" spans="1:2" x14ac:dyDescent="0.3">
      <c r="A336" s="2">
        <v>333</v>
      </c>
      <c r="B336">
        <v>1</v>
      </c>
    </row>
    <row r="337" spans="1:2" x14ac:dyDescent="0.3">
      <c r="A337" s="2">
        <v>334</v>
      </c>
      <c r="B337">
        <v>1</v>
      </c>
    </row>
    <row r="338" spans="1:2" x14ac:dyDescent="0.3">
      <c r="A338" s="2">
        <v>335</v>
      </c>
      <c r="B338">
        <v>1</v>
      </c>
    </row>
    <row r="339" spans="1:2" x14ac:dyDescent="0.3">
      <c r="A339" s="2">
        <v>336</v>
      </c>
      <c r="B339">
        <v>1</v>
      </c>
    </row>
    <row r="340" spans="1:2" x14ac:dyDescent="0.3">
      <c r="A340" s="2">
        <v>337</v>
      </c>
      <c r="B340">
        <v>1</v>
      </c>
    </row>
    <row r="341" spans="1:2" x14ac:dyDescent="0.3">
      <c r="A341" s="2">
        <v>338</v>
      </c>
      <c r="B341">
        <v>1</v>
      </c>
    </row>
    <row r="342" spans="1:2" x14ac:dyDescent="0.3">
      <c r="A342" s="2">
        <v>339</v>
      </c>
      <c r="B342">
        <v>1</v>
      </c>
    </row>
    <row r="343" spans="1:2" x14ac:dyDescent="0.3">
      <c r="A343" s="2">
        <v>340</v>
      </c>
      <c r="B343">
        <v>1</v>
      </c>
    </row>
    <row r="344" spans="1:2" x14ac:dyDescent="0.3">
      <c r="A344" s="2">
        <v>341</v>
      </c>
      <c r="B344">
        <v>1</v>
      </c>
    </row>
    <row r="345" spans="1:2" x14ac:dyDescent="0.3">
      <c r="A345" s="2">
        <v>342</v>
      </c>
      <c r="B345">
        <v>1</v>
      </c>
    </row>
    <row r="346" spans="1:2" x14ac:dyDescent="0.3">
      <c r="A346" s="2">
        <v>343</v>
      </c>
      <c r="B346">
        <v>1</v>
      </c>
    </row>
    <row r="347" spans="1:2" x14ac:dyDescent="0.3">
      <c r="A347" s="2">
        <v>344</v>
      </c>
      <c r="B347">
        <v>1</v>
      </c>
    </row>
    <row r="348" spans="1:2" x14ac:dyDescent="0.3">
      <c r="A348" s="2">
        <v>345</v>
      </c>
      <c r="B348">
        <v>1</v>
      </c>
    </row>
    <row r="349" spans="1:2" x14ac:dyDescent="0.3">
      <c r="A349" s="2">
        <v>346</v>
      </c>
      <c r="B349">
        <v>1</v>
      </c>
    </row>
    <row r="350" spans="1:2" x14ac:dyDescent="0.3">
      <c r="A350" s="2">
        <v>347</v>
      </c>
      <c r="B350">
        <v>1</v>
      </c>
    </row>
    <row r="351" spans="1:2" x14ac:dyDescent="0.3">
      <c r="A351" s="2">
        <v>348</v>
      </c>
      <c r="B351">
        <v>1</v>
      </c>
    </row>
    <row r="352" spans="1:2" x14ac:dyDescent="0.3">
      <c r="A352" s="2">
        <v>349</v>
      </c>
      <c r="B352">
        <v>1</v>
      </c>
    </row>
    <row r="353" spans="1:2" x14ac:dyDescent="0.3">
      <c r="A353" s="2">
        <v>350</v>
      </c>
      <c r="B353">
        <v>1</v>
      </c>
    </row>
    <row r="354" spans="1:2" x14ac:dyDescent="0.3">
      <c r="A354" s="2">
        <v>351</v>
      </c>
      <c r="B354">
        <v>1</v>
      </c>
    </row>
    <row r="355" spans="1:2" x14ac:dyDescent="0.3">
      <c r="A355" s="2">
        <v>352</v>
      </c>
      <c r="B355">
        <v>1</v>
      </c>
    </row>
    <row r="356" spans="1:2" x14ac:dyDescent="0.3">
      <c r="A356" s="2">
        <v>353</v>
      </c>
      <c r="B356">
        <v>1</v>
      </c>
    </row>
    <row r="357" spans="1:2" x14ac:dyDescent="0.3">
      <c r="A357" s="2">
        <v>354</v>
      </c>
      <c r="B357">
        <v>1</v>
      </c>
    </row>
    <row r="358" spans="1:2" x14ac:dyDescent="0.3">
      <c r="A358" s="2">
        <v>355</v>
      </c>
      <c r="B358">
        <v>1</v>
      </c>
    </row>
    <row r="359" spans="1:2" x14ac:dyDescent="0.3">
      <c r="A359" s="2">
        <v>356</v>
      </c>
      <c r="B359">
        <v>1</v>
      </c>
    </row>
    <row r="360" spans="1:2" x14ac:dyDescent="0.3">
      <c r="A360" s="2">
        <v>357</v>
      </c>
      <c r="B360">
        <v>1</v>
      </c>
    </row>
    <row r="361" spans="1:2" x14ac:dyDescent="0.3">
      <c r="A361" s="2">
        <v>358</v>
      </c>
      <c r="B361">
        <v>1</v>
      </c>
    </row>
    <row r="362" spans="1:2" x14ac:dyDescent="0.3">
      <c r="A362" s="2">
        <v>359</v>
      </c>
      <c r="B362">
        <v>1</v>
      </c>
    </row>
    <row r="363" spans="1:2" x14ac:dyDescent="0.3">
      <c r="A363" s="2">
        <v>360</v>
      </c>
      <c r="B363">
        <v>1</v>
      </c>
    </row>
    <row r="364" spans="1:2" x14ac:dyDescent="0.3">
      <c r="A364" s="2">
        <v>361</v>
      </c>
      <c r="B364">
        <v>1</v>
      </c>
    </row>
    <row r="365" spans="1:2" x14ac:dyDescent="0.3">
      <c r="A365" s="2">
        <v>362</v>
      </c>
      <c r="B365">
        <v>1</v>
      </c>
    </row>
    <row r="366" spans="1:2" x14ac:dyDescent="0.3">
      <c r="A366" s="2">
        <v>363</v>
      </c>
      <c r="B366">
        <v>1</v>
      </c>
    </row>
    <row r="367" spans="1:2" x14ac:dyDescent="0.3">
      <c r="A367" s="2">
        <v>364</v>
      </c>
      <c r="B367">
        <v>1</v>
      </c>
    </row>
    <row r="368" spans="1:2" x14ac:dyDescent="0.3">
      <c r="A368" s="2">
        <v>365</v>
      </c>
      <c r="B368">
        <v>1</v>
      </c>
    </row>
    <row r="369" spans="1:2" x14ac:dyDescent="0.3">
      <c r="A369" s="2">
        <v>366</v>
      </c>
      <c r="B369">
        <v>1</v>
      </c>
    </row>
    <row r="370" spans="1:2" x14ac:dyDescent="0.3">
      <c r="A370" s="2">
        <v>367</v>
      </c>
      <c r="B370">
        <v>1</v>
      </c>
    </row>
    <row r="371" spans="1:2" x14ac:dyDescent="0.3">
      <c r="A371" s="2">
        <v>368</v>
      </c>
      <c r="B371">
        <v>1</v>
      </c>
    </row>
    <row r="372" spans="1:2" x14ac:dyDescent="0.3">
      <c r="A372" s="2">
        <v>369</v>
      </c>
      <c r="B372">
        <v>1</v>
      </c>
    </row>
    <row r="373" spans="1:2" x14ac:dyDescent="0.3">
      <c r="A373" s="2">
        <v>370</v>
      </c>
      <c r="B373">
        <v>1</v>
      </c>
    </row>
    <row r="374" spans="1:2" x14ac:dyDescent="0.3">
      <c r="A374" s="2">
        <v>371</v>
      </c>
      <c r="B374">
        <v>1</v>
      </c>
    </row>
    <row r="375" spans="1:2" x14ac:dyDescent="0.3">
      <c r="A375" s="2">
        <v>372</v>
      </c>
      <c r="B375">
        <v>1</v>
      </c>
    </row>
    <row r="376" spans="1:2" x14ac:dyDescent="0.3">
      <c r="A376" s="2">
        <v>373</v>
      </c>
      <c r="B376">
        <v>1</v>
      </c>
    </row>
    <row r="377" spans="1:2" x14ac:dyDescent="0.3">
      <c r="A377" s="2">
        <v>374</v>
      </c>
      <c r="B377">
        <v>1</v>
      </c>
    </row>
    <row r="378" spans="1:2" x14ac:dyDescent="0.3">
      <c r="A378" s="2">
        <v>375</v>
      </c>
      <c r="B378">
        <v>1</v>
      </c>
    </row>
    <row r="379" spans="1:2" x14ac:dyDescent="0.3">
      <c r="A379" s="2">
        <v>376</v>
      </c>
      <c r="B379">
        <v>1</v>
      </c>
    </row>
    <row r="380" spans="1:2" x14ac:dyDescent="0.3">
      <c r="A380" s="2">
        <v>377</v>
      </c>
      <c r="B380">
        <v>1</v>
      </c>
    </row>
    <row r="381" spans="1:2" x14ac:dyDescent="0.3">
      <c r="A381" s="2">
        <v>378</v>
      </c>
      <c r="B381">
        <v>1</v>
      </c>
    </row>
    <row r="382" spans="1:2" x14ac:dyDescent="0.3">
      <c r="A382" s="2">
        <v>379</v>
      </c>
      <c r="B382">
        <v>1</v>
      </c>
    </row>
    <row r="383" spans="1:2" x14ac:dyDescent="0.3">
      <c r="A383" s="2">
        <v>380</v>
      </c>
      <c r="B383">
        <v>1</v>
      </c>
    </row>
    <row r="384" spans="1:2" x14ac:dyDescent="0.3">
      <c r="A384" s="2">
        <v>381</v>
      </c>
      <c r="B384">
        <v>1</v>
      </c>
    </row>
    <row r="385" spans="1:2" x14ac:dyDescent="0.3">
      <c r="A385" s="2">
        <v>382</v>
      </c>
      <c r="B385">
        <v>1</v>
      </c>
    </row>
    <row r="386" spans="1:2" x14ac:dyDescent="0.3">
      <c r="A386" s="2">
        <v>383</v>
      </c>
      <c r="B386">
        <v>1</v>
      </c>
    </row>
    <row r="387" spans="1:2" x14ac:dyDescent="0.3">
      <c r="A387" s="2">
        <v>384</v>
      </c>
      <c r="B387">
        <v>1</v>
      </c>
    </row>
    <row r="388" spans="1:2" x14ac:dyDescent="0.3">
      <c r="A388" s="2">
        <v>385</v>
      </c>
      <c r="B388">
        <v>1</v>
      </c>
    </row>
    <row r="389" spans="1:2" x14ac:dyDescent="0.3">
      <c r="A389" s="2">
        <v>386</v>
      </c>
      <c r="B389">
        <v>1</v>
      </c>
    </row>
    <row r="390" spans="1:2" x14ac:dyDescent="0.3">
      <c r="A390" s="2">
        <v>387</v>
      </c>
      <c r="B390">
        <v>1</v>
      </c>
    </row>
    <row r="391" spans="1:2" x14ac:dyDescent="0.3">
      <c r="A391" s="2">
        <v>388</v>
      </c>
      <c r="B391">
        <v>1</v>
      </c>
    </row>
    <row r="392" spans="1:2" x14ac:dyDescent="0.3">
      <c r="A392" s="2">
        <v>389</v>
      </c>
      <c r="B392">
        <v>1</v>
      </c>
    </row>
    <row r="393" spans="1:2" x14ac:dyDescent="0.3">
      <c r="A393" s="2">
        <v>390</v>
      </c>
      <c r="B393">
        <v>1</v>
      </c>
    </row>
    <row r="394" spans="1:2" x14ac:dyDescent="0.3">
      <c r="A394" s="2">
        <v>391</v>
      </c>
      <c r="B394">
        <v>1</v>
      </c>
    </row>
    <row r="395" spans="1:2" x14ac:dyDescent="0.3">
      <c r="A395" s="2">
        <v>392</v>
      </c>
      <c r="B395">
        <v>1</v>
      </c>
    </row>
    <row r="396" spans="1:2" x14ac:dyDescent="0.3">
      <c r="A396" s="2">
        <v>393</v>
      </c>
      <c r="B396">
        <v>1</v>
      </c>
    </row>
    <row r="397" spans="1:2" x14ac:dyDescent="0.3">
      <c r="A397" s="2">
        <v>394</v>
      </c>
      <c r="B397">
        <v>1</v>
      </c>
    </row>
    <row r="398" spans="1:2" x14ac:dyDescent="0.3">
      <c r="A398" s="2">
        <v>395</v>
      </c>
      <c r="B398">
        <v>1</v>
      </c>
    </row>
    <row r="399" spans="1:2" x14ac:dyDescent="0.3">
      <c r="A399" s="2">
        <v>396</v>
      </c>
      <c r="B399">
        <v>1</v>
      </c>
    </row>
    <row r="400" spans="1:2" x14ac:dyDescent="0.3">
      <c r="A400" s="2">
        <v>397</v>
      </c>
      <c r="B400">
        <v>1</v>
      </c>
    </row>
    <row r="401" spans="1:2" x14ac:dyDescent="0.3">
      <c r="A401" s="2">
        <v>398</v>
      </c>
      <c r="B401">
        <v>1</v>
      </c>
    </row>
    <row r="402" spans="1:2" x14ac:dyDescent="0.3">
      <c r="A402" s="2">
        <v>399</v>
      </c>
      <c r="B402">
        <v>1</v>
      </c>
    </row>
    <row r="403" spans="1:2" x14ac:dyDescent="0.3">
      <c r="A403" s="2">
        <v>400</v>
      </c>
      <c r="B403">
        <v>1</v>
      </c>
    </row>
    <row r="404" spans="1:2" x14ac:dyDescent="0.3">
      <c r="A404" s="2">
        <v>401</v>
      </c>
      <c r="B404">
        <v>1</v>
      </c>
    </row>
    <row r="405" spans="1:2" x14ac:dyDescent="0.3">
      <c r="A405" s="2">
        <v>402</v>
      </c>
      <c r="B405">
        <v>1</v>
      </c>
    </row>
    <row r="406" spans="1:2" x14ac:dyDescent="0.3">
      <c r="A406" s="2">
        <v>403</v>
      </c>
      <c r="B406">
        <v>1</v>
      </c>
    </row>
    <row r="407" spans="1:2" x14ac:dyDescent="0.3">
      <c r="A407" s="2">
        <v>404</v>
      </c>
      <c r="B407">
        <v>1</v>
      </c>
    </row>
    <row r="408" spans="1:2" x14ac:dyDescent="0.3">
      <c r="A408" s="2">
        <v>405</v>
      </c>
      <c r="B408">
        <v>1</v>
      </c>
    </row>
    <row r="409" spans="1:2" x14ac:dyDescent="0.3">
      <c r="A409" s="2">
        <v>406</v>
      </c>
      <c r="B409">
        <v>1</v>
      </c>
    </row>
    <row r="410" spans="1:2" x14ac:dyDescent="0.3">
      <c r="A410" s="2">
        <v>407</v>
      </c>
      <c r="B410">
        <v>1</v>
      </c>
    </row>
    <row r="411" spans="1:2" x14ac:dyDescent="0.3">
      <c r="A411" s="2">
        <v>408</v>
      </c>
      <c r="B411">
        <v>1</v>
      </c>
    </row>
    <row r="412" spans="1:2" x14ac:dyDescent="0.3">
      <c r="A412" s="2">
        <v>409</v>
      </c>
      <c r="B412">
        <v>1</v>
      </c>
    </row>
    <row r="413" spans="1:2" x14ac:dyDescent="0.3">
      <c r="A413" s="2">
        <v>410</v>
      </c>
      <c r="B413">
        <v>1</v>
      </c>
    </row>
    <row r="414" spans="1:2" x14ac:dyDescent="0.3">
      <c r="A414" s="2">
        <v>411</v>
      </c>
      <c r="B414">
        <v>1</v>
      </c>
    </row>
    <row r="415" spans="1:2" x14ac:dyDescent="0.3">
      <c r="A415" s="2">
        <v>412</v>
      </c>
      <c r="B415">
        <v>1</v>
      </c>
    </row>
    <row r="416" spans="1:2" x14ac:dyDescent="0.3">
      <c r="A416" s="2">
        <v>413</v>
      </c>
      <c r="B416">
        <v>1</v>
      </c>
    </row>
    <row r="417" spans="1:2" x14ac:dyDescent="0.3">
      <c r="A417" s="2">
        <v>414</v>
      </c>
      <c r="B417">
        <v>1</v>
      </c>
    </row>
    <row r="418" spans="1:2" x14ac:dyDescent="0.3">
      <c r="A418" s="2">
        <v>415</v>
      </c>
      <c r="B418">
        <v>1</v>
      </c>
    </row>
    <row r="419" spans="1:2" x14ac:dyDescent="0.3">
      <c r="A419" s="2">
        <v>416</v>
      </c>
      <c r="B419">
        <v>1</v>
      </c>
    </row>
    <row r="420" spans="1:2" x14ac:dyDescent="0.3">
      <c r="A420" s="2">
        <v>417</v>
      </c>
      <c r="B420">
        <v>1</v>
      </c>
    </row>
    <row r="421" spans="1:2" x14ac:dyDescent="0.3">
      <c r="A421" s="2">
        <v>418</v>
      </c>
      <c r="B421">
        <v>1</v>
      </c>
    </row>
    <row r="422" spans="1:2" x14ac:dyDescent="0.3">
      <c r="A422" s="2">
        <v>419</v>
      </c>
      <c r="B422">
        <v>1</v>
      </c>
    </row>
    <row r="423" spans="1:2" x14ac:dyDescent="0.3">
      <c r="A423" s="2">
        <v>420</v>
      </c>
      <c r="B423">
        <v>1</v>
      </c>
    </row>
    <row r="424" spans="1:2" x14ac:dyDescent="0.3">
      <c r="A424" s="2">
        <v>421</v>
      </c>
      <c r="B424">
        <v>1</v>
      </c>
    </row>
    <row r="425" spans="1:2" x14ac:dyDescent="0.3">
      <c r="A425" s="2">
        <v>422</v>
      </c>
      <c r="B425">
        <v>1</v>
      </c>
    </row>
    <row r="426" spans="1:2" x14ac:dyDescent="0.3">
      <c r="A426" s="2">
        <v>423</v>
      </c>
      <c r="B426">
        <v>1</v>
      </c>
    </row>
    <row r="427" spans="1:2" x14ac:dyDescent="0.3">
      <c r="A427" s="2">
        <v>424</v>
      </c>
      <c r="B427">
        <v>1</v>
      </c>
    </row>
    <row r="428" spans="1:2" x14ac:dyDescent="0.3">
      <c r="A428" s="2">
        <v>425</v>
      </c>
      <c r="B428">
        <v>1</v>
      </c>
    </row>
    <row r="429" spans="1:2" x14ac:dyDescent="0.3">
      <c r="A429" s="2">
        <v>426</v>
      </c>
      <c r="B429">
        <v>1</v>
      </c>
    </row>
    <row r="430" spans="1:2" x14ac:dyDescent="0.3">
      <c r="A430" s="2">
        <v>427</v>
      </c>
      <c r="B430">
        <v>1</v>
      </c>
    </row>
    <row r="431" spans="1:2" x14ac:dyDescent="0.3">
      <c r="A431" s="2">
        <v>428</v>
      </c>
      <c r="B431">
        <v>1</v>
      </c>
    </row>
    <row r="432" spans="1:2" x14ac:dyDescent="0.3">
      <c r="A432" s="2">
        <v>429</v>
      </c>
      <c r="B432">
        <v>1</v>
      </c>
    </row>
    <row r="433" spans="1:2" x14ac:dyDescent="0.3">
      <c r="A433" s="2">
        <v>430</v>
      </c>
      <c r="B433">
        <v>1</v>
      </c>
    </row>
    <row r="434" spans="1:2" x14ac:dyDescent="0.3">
      <c r="A434" s="2">
        <v>431</v>
      </c>
      <c r="B434">
        <v>1</v>
      </c>
    </row>
    <row r="435" spans="1:2" x14ac:dyDescent="0.3">
      <c r="A435" s="2">
        <v>432</v>
      </c>
      <c r="B435">
        <v>1</v>
      </c>
    </row>
    <row r="436" spans="1:2" x14ac:dyDescent="0.3">
      <c r="A436" s="2">
        <v>433</v>
      </c>
      <c r="B436">
        <v>1</v>
      </c>
    </row>
    <row r="437" spans="1:2" x14ac:dyDescent="0.3">
      <c r="A437" s="2">
        <v>434</v>
      </c>
      <c r="B437">
        <v>1</v>
      </c>
    </row>
    <row r="438" spans="1:2" x14ac:dyDescent="0.3">
      <c r="A438" s="2">
        <v>435</v>
      </c>
      <c r="B438">
        <v>1</v>
      </c>
    </row>
    <row r="439" spans="1:2" x14ac:dyDescent="0.3">
      <c r="A439" s="2">
        <v>436</v>
      </c>
      <c r="B439">
        <v>1</v>
      </c>
    </row>
    <row r="440" spans="1:2" x14ac:dyDescent="0.3">
      <c r="A440" s="2">
        <v>437</v>
      </c>
      <c r="B440">
        <v>1</v>
      </c>
    </row>
    <row r="441" spans="1:2" x14ac:dyDescent="0.3">
      <c r="A441" s="2">
        <v>438</v>
      </c>
      <c r="B441">
        <v>1</v>
      </c>
    </row>
    <row r="442" spans="1:2" x14ac:dyDescent="0.3">
      <c r="A442" s="2">
        <v>439</v>
      </c>
      <c r="B442">
        <v>1</v>
      </c>
    </row>
    <row r="443" spans="1:2" x14ac:dyDescent="0.3">
      <c r="A443" s="2">
        <v>440</v>
      </c>
      <c r="B443">
        <v>1</v>
      </c>
    </row>
    <row r="444" spans="1:2" x14ac:dyDescent="0.3">
      <c r="A444" s="2">
        <v>441</v>
      </c>
      <c r="B444">
        <v>1</v>
      </c>
    </row>
    <row r="445" spans="1:2" x14ac:dyDescent="0.3">
      <c r="A445" s="2">
        <v>442</v>
      </c>
      <c r="B445">
        <v>1</v>
      </c>
    </row>
    <row r="446" spans="1:2" x14ac:dyDescent="0.3">
      <c r="A446" s="2">
        <v>443</v>
      </c>
      <c r="B446">
        <v>1</v>
      </c>
    </row>
    <row r="447" spans="1:2" x14ac:dyDescent="0.3">
      <c r="A447" s="2">
        <v>444</v>
      </c>
      <c r="B447">
        <v>1</v>
      </c>
    </row>
    <row r="448" spans="1:2" x14ac:dyDescent="0.3">
      <c r="A448" s="2">
        <v>445</v>
      </c>
      <c r="B448">
        <v>1</v>
      </c>
    </row>
    <row r="449" spans="1:2" x14ac:dyDescent="0.3">
      <c r="A449" s="2">
        <v>446</v>
      </c>
      <c r="B449">
        <v>1</v>
      </c>
    </row>
    <row r="450" spans="1:2" x14ac:dyDescent="0.3">
      <c r="A450" s="2">
        <v>447</v>
      </c>
      <c r="B450">
        <v>1</v>
      </c>
    </row>
    <row r="451" spans="1:2" x14ac:dyDescent="0.3">
      <c r="A451" s="2">
        <v>448</v>
      </c>
      <c r="B451">
        <v>1</v>
      </c>
    </row>
    <row r="452" spans="1:2" x14ac:dyDescent="0.3">
      <c r="A452" s="2">
        <v>449</v>
      </c>
      <c r="B452">
        <v>1</v>
      </c>
    </row>
    <row r="453" spans="1:2" x14ac:dyDescent="0.3">
      <c r="A453" s="2">
        <v>450</v>
      </c>
      <c r="B453">
        <v>1</v>
      </c>
    </row>
    <row r="454" spans="1:2" x14ac:dyDescent="0.3">
      <c r="A454" s="2">
        <v>451</v>
      </c>
      <c r="B454">
        <v>1</v>
      </c>
    </row>
    <row r="455" spans="1:2" x14ac:dyDescent="0.3">
      <c r="A455" s="2">
        <v>452</v>
      </c>
      <c r="B455">
        <v>1</v>
      </c>
    </row>
    <row r="456" spans="1:2" x14ac:dyDescent="0.3">
      <c r="A456" s="2">
        <v>453</v>
      </c>
      <c r="B456">
        <v>1</v>
      </c>
    </row>
    <row r="457" spans="1:2" x14ac:dyDescent="0.3">
      <c r="A457" s="2">
        <v>454</v>
      </c>
      <c r="B457">
        <v>1</v>
      </c>
    </row>
    <row r="458" spans="1:2" x14ac:dyDescent="0.3">
      <c r="A458" s="2">
        <v>455</v>
      </c>
      <c r="B458">
        <v>1</v>
      </c>
    </row>
    <row r="459" spans="1:2" x14ac:dyDescent="0.3">
      <c r="A459" s="2">
        <v>456</v>
      </c>
      <c r="B459">
        <v>1</v>
      </c>
    </row>
    <row r="460" spans="1:2" x14ac:dyDescent="0.3">
      <c r="A460" s="2">
        <v>457</v>
      </c>
      <c r="B460">
        <v>1</v>
      </c>
    </row>
    <row r="461" spans="1:2" x14ac:dyDescent="0.3">
      <c r="A461" s="2">
        <v>458</v>
      </c>
      <c r="B461">
        <v>1</v>
      </c>
    </row>
    <row r="462" spans="1:2" x14ac:dyDescent="0.3">
      <c r="A462" s="2">
        <v>459</v>
      </c>
      <c r="B462">
        <v>1</v>
      </c>
    </row>
    <row r="463" spans="1:2" x14ac:dyDescent="0.3">
      <c r="A463" s="2">
        <v>460</v>
      </c>
      <c r="B463">
        <v>1</v>
      </c>
    </row>
    <row r="464" spans="1:2" x14ac:dyDescent="0.3">
      <c r="A464" s="2">
        <v>461</v>
      </c>
      <c r="B464">
        <v>1</v>
      </c>
    </row>
    <row r="465" spans="1:2" x14ac:dyDescent="0.3">
      <c r="A465" s="2">
        <v>462</v>
      </c>
      <c r="B465">
        <v>1</v>
      </c>
    </row>
    <row r="466" spans="1:2" x14ac:dyDescent="0.3">
      <c r="A466" s="2">
        <v>463</v>
      </c>
      <c r="B466">
        <v>1</v>
      </c>
    </row>
    <row r="467" spans="1:2" x14ac:dyDescent="0.3">
      <c r="A467" s="2">
        <v>464</v>
      </c>
      <c r="B467">
        <v>1</v>
      </c>
    </row>
    <row r="468" spans="1:2" x14ac:dyDescent="0.3">
      <c r="A468" s="2">
        <v>465</v>
      </c>
      <c r="B468">
        <v>1</v>
      </c>
    </row>
    <row r="469" spans="1:2" x14ac:dyDescent="0.3">
      <c r="A469" s="2">
        <v>466</v>
      </c>
      <c r="B469">
        <v>1</v>
      </c>
    </row>
    <row r="470" spans="1:2" x14ac:dyDescent="0.3">
      <c r="A470" s="2">
        <v>467</v>
      </c>
      <c r="B470">
        <v>1</v>
      </c>
    </row>
    <row r="471" spans="1:2" x14ac:dyDescent="0.3">
      <c r="A471" s="2">
        <v>468</v>
      </c>
      <c r="B471">
        <v>1</v>
      </c>
    </row>
    <row r="472" spans="1:2" x14ac:dyDescent="0.3">
      <c r="A472" s="2">
        <v>469</v>
      </c>
      <c r="B472">
        <v>1</v>
      </c>
    </row>
    <row r="473" spans="1:2" x14ac:dyDescent="0.3">
      <c r="A473" s="2">
        <v>470</v>
      </c>
      <c r="B473">
        <v>1</v>
      </c>
    </row>
    <row r="474" spans="1:2" x14ac:dyDescent="0.3">
      <c r="A474" s="2">
        <v>471</v>
      </c>
      <c r="B474">
        <v>1</v>
      </c>
    </row>
    <row r="475" spans="1:2" x14ac:dyDescent="0.3">
      <c r="A475" s="2">
        <v>472</v>
      </c>
      <c r="B475">
        <v>1</v>
      </c>
    </row>
    <row r="476" spans="1:2" x14ac:dyDescent="0.3">
      <c r="A476" s="2">
        <v>473</v>
      </c>
      <c r="B476">
        <v>1</v>
      </c>
    </row>
    <row r="477" spans="1:2" x14ac:dyDescent="0.3">
      <c r="A477" s="2">
        <v>474</v>
      </c>
      <c r="B477">
        <v>1</v>
      </c>
    </row>
    <row r="478" spans="1:2" x14ac:dyDescent="0.3">
      <c r="A478" s="2">
        <v>475</v>
      </c>
      <c r="B478">
        <v>1</v>
      </c>
    </row>
    <row r="479" spans="1:2" x14ac:dyDescent="0.3">
      <c r="A479" s="2">
        <v>476</v>
      </c>
      <c r="B479">
        <v>1</v>
      </c>
    </row>
    <row r="480" spans="1:2" x14ac:dyDescent="0.3">
      <c r="A480" s="2">
        <v>477</v>
      </c>
      <c r="B480">
        <v>1</v>
      </c>
    </row>
    <row r="481" spans="1:2" x14ac:dyDescent="0.3">
      <c r="A481" s="2">
        <v>478</v>
      </c>
      <c r="B481">
        <v>1</v>
      </c>
    </row>
    <row r="482" spans="1:2" x14ac:dyDescent="0.3">
      <c r="A482" s="2">
        <v>479</v>
      </c>
      <c r="B482">
        <v>1</v>
      </c>
    </row>
    <row r="483" spans="1:2" x14ac:dyDescent="0.3">
      <c r="A483" s="2">
        <v>480</v>
      </c>
      <c r="B483">
        <v>1</v>
      </c>
    </row>
    <row r="484" spans="1:2" x14ac:dyDescent="0.3">
      <c r="A484" s="2">
        <v>481</v>
      </c>
      <c r="B484">
        <v>1</v>
      </c>
    </row>
    <row r="485" spans="1:2" x14ac:dyDescent="0.3">
      <c r="A485" s="2">
        <v>482</v>
      </c>
      <c r="B485">
        <v>1</v>
      </c>
    </row>
    <row r="486" spans="1:2" x14ac:dyDescent="0.3">
      <c r="A486" s="2">
        <v>483</v>
      </c>
      <c r="B486">
        <v>1</v>
      </c>
    </row>
    <row r="487" spans="1:2" x14ac:dyDescent="0.3">
      <c r="A487" s="2">
        <v>484</v>
      </c>
      <c r="B487">
        <v>1</v>
      </c>
    </row>
    <row r="488" spans="1:2" x14ac:dyDescent="0.3">
      <c r="A488" s="2">
        <v>485</v>
      </c>
      <c r="B488">
        <v>1</v>
      </c>
    </row>
    <row r="489" spans="1:2" x14ac:dyDescent="0.3">
      <c r="A489" s="2">
        <v>486</v>
      </c>
      <c r="B489">
        <v>1</v>
      </c>
    </row>
    <row r="490" spans="1:2" x14ac:dyDescent="0.3">
      <c r="A490" s="2">
        <v>487</v>
      </c>
      <c r="B490">
        <v>1</v>
      </c>
    </row>
    <row r="491" spans="1:2" x14ac:dyDescent="0.3">
      <c r="A491" s="2">
        <v>488</v>
      </c>
      <c r="B491">
        <v>1</v>
      </c>
    </row>
    <row r="492" spans="1:2" x14ac:dyDescent="0.3">
      <c r="A492" s="2">
        <v>489</v>
      </c>
      <c r="B492">
        <v>1</v>
      </c>
    </row>
    <row r="493" spans="1:2" x14ac:dyDescent="0.3">
      <c r="A493" s="2">
        <v>490</v>
      </c>
      <c r="B493">
        <v>1</v>
      </c>
    </row>
    <row r="494" spans="1:2" x14ac:dyDescent="0.3">
      <c r="A494" s="2">
        <v>491</v>
      </c>
      <c r="B494">
        <v>1</v>
      </c>
    </row>
    <row r="495" spans="1:2" x14ac:dyDescent="0.3">
      <c r="A495" s="2">
        <v>492</v>
      </c>
      <c r="B495">
        <v>1</v>
      </c>
    </row>
    <row r="496" spans="1:2" x14ac:dyDescent="0.3">
      <c r="A496" s="2">
        <v>493</v>
      </c>
      <c r="B496">
        <v>1</v>
      </c>
    </row>
    <row r="497" spans="1:2" x14ac:dyDescent="0.3">
      <c r="A497" s="2">
        <v>494</v>
      </c>
      <c r="B497">
        <v>1</v>
      </c>
    </row>
    <row r="498" spans="1:2" x14ac:dyDescent="0.3">
      <c r="A498" s="2">
        <v>495</v>
      </c>
      <c r="B498">
        <v>1</v>
      </c>
    </row>
    <row r="499" spans="1:2" x14ac:dyDescent="0.3">
      <c r="A499" s="2">
        <v>496</v>
      </c>
      <c r="B499">
        <v>1</v>
      </c>
    </row>
    <row r="500" spans="1:2" x14ac:dyDescent="0.3">
      <c r="A500" s="2">
        <v>497</v>
      </c>
      <c r="B500">
        <v>1</v>
      </c>
    </row>
    <row r="501" spans="1:2" x14ac:dyDescent="0.3">
      <c r="A501" s="2">
        <v>498</v>
      </c>
      <c r="B501">
        <v>1</v>
      </c>
    </row>
    <row r="502" spans="1:2" x14ac:dyDescent="0.3">
      <c r="A502" s="2">
        <v>499</v>
      </c>
      <c r="B502">
        <v>1</v>
      </c>
    </row>
    <row r="503" spans="1:2" x14ac:dyDescent="0.3">
      <c r="A503" s="2">
        <v>500</v>
      </c>
      <c r="B503">
        <v>1</v>
      </c>
    </row>
    <row r="504" spans="1:2" x14ac:dyDescent="0.3">
      <c r="A504" s="2">
        <v>501</v>
      </c>
      <c r="B504">
        <v>1</v>
      </c>
    </row>
    <row r="505" spans="1:2" x14ac:dyDescent="0.3">
      <c r="A505" s="2">
        <v>502</v>
      </c>
      <c r="B505">
        <v>1</v>
      </c>
    </row>
    <row r="506" spans="1:2" x14ac:dyDescent="0.3">
      <c r="A506" s="2">
        <v>503</v>
      </c>
      <c r="B506">
        <v>1</v>
      </c>
    </row>
    <row r="507" spans="1:2" x14ac:dyDescent="0.3">
      <c r="A507" s="2">
        <v>504</v>
      </c>
      <c r="B507">
        <v>1</v>
      </c>
    </row>
    <row r="508" spans="1:2" x14ac:dyDescent="0.3">
      <c r="A508" s="2">
        <v>505</v>
      </c>
      <c r="B508">
        <v>1</v>
      </c>
    </row>
    <row r="509" spans="1:2" x14ac:dyDescent="0.3">
      <c r="A509" s="2">
        <v>506</v>
      </c>
      <c r="B509">
        <v>1</v>
      </c>
    </row>
    <row r="510" spans="1:2" x14ac:dyDescent="0.3">
      <c r="A510" s="2">
        <v>507</v>
      </c>
      <c r="B510">
        <v>1</v>
      </c>
    </row>
    <row r="511" spans="1:2" x14ac:dyDescent="0.3">
      <c r="A511" s="2">
        <v>508</v>
      </c>
      <c r="B511">
        <v>1</v>
      </c>
    </row>
    <row r="512" spans="1:2" x14ac:dyDescent="0.3">
      <c r="A512" s="2">
        <v>509</v>
      </c>
      <c r="B512">
        <v>1</v>
      </c>
    </row>
    <row r="513" spans="1:2" x14ac:dyDescent="0.3">
      <c r="A513" s="2">
        <v>510</v>
      </c>
      <c r="B513">
        <v>1</v>
      </c>
    </row>
    <row r="514" spans="1:2" x14ac:dyDescent="0.3">
      <c r="A514" s="2">
        <v>511</v>
      </c>
      <c r="B514">
        <v>1</v>
      </c>
    </row>
    <row r="515" spans="1:2" x14ac:dyDescent="0.3">
      <c r="A515" s="2">
        <v>512</v>
      </c>
      <c r="B515">
        <v>1</v>
      </c>
    </row>
    <row r="516" spans="1:2" x14ac:dyDescent="0.3">
      <c r="A516" s="2">
        <v>513</v>
      </c>
      <c r="B516">
        <v>1</v>
      </c>
    </row>
    <row r="517" spans="1:2" x14ac:dyDescent="0.3">
      <c r="A517" s="2">
        <v>514</v>
      </c>
      <c r="B517">
        <v>1</v>
      </c>
    </row>
    <row r="518" spans="1:2" x14ac:dyDescent="0.3">
      <c r="A518" s="2">
        <v>515</v>
      </c>
      <c r="B518">
        <v>1</v>
      </c>
    </row>
    <row r="519" spans="1:2" x14ac:dyDescent="0.3">
      <c r="A519" s="2">
        <v>516</v>
      </c>
      <c r="B519">
        <v>1</v>
      </c>
    </row>
    <row r="520" spans="1:2" x14ac:dyDescent="0.3">
      <c r="A520" s="2">
        <v>517</v>
      </c>
      <c r="B520">
        <v>1</v>
      </c>
    </row>
    <row r="521" spans="1:2" x14ac:dyDescent="0.3">
      <c r="A521" s="2">
        <v>518</v>
      </c>
      <c r="B521">
        <v>1</v>
      </c>
    </row>
    <row r="522" spans="1:2" x14ac:dyDescent="0.3">
      <c r="A522" s="2">
        <v>519</v>
      </c>
      <c r="B522">
        <v>1</v>
      </c>
    </row>
    <row r="523" spans="1:2" x14ac:dyDescent="0.3">
      <c r="A523" s="2">
        <v>520</v>
      </c>
      <c r="B523">
        <v>1</v>
      </c>
    </row>
    <row r="524" spans="1:2" x14ac:dyDescent="0.3">
      <c r="A524" s="2">
        <v>521</v>
      </c>
      <c r="B524">
        <v>1</v>
      </c>
    </row>
    <row r="525" spans="1:2" x14ac:dyDescent="0.3">
      <c r="A525" s="2">
        <v>522</v>
      </c>
      <c r="B525">
        <v>1</v>
      </c>
    </row>
    <row r="526" spans="1:2" x14ac:dyDescent="0.3">
      <c r="A526" s="2">
        <v>523</v>
      </c>
      <c r="B526">
        <v>1</v>
      </c>
    </row>
    <row r="527" spans="1:2" x14ac:dyDescent="0.3">
      <c r="A527" s="2">
        <v>524</v>
      </c>
      <c r="B527">
        <v>1</v>
      </c>
    </row>
    <row r="528" spans="1:2" x14ac:dyDescent="0.3">
      <c r="A528" s="2">
        <v>525</v>
      </c>
      <c r="B528">
        <v>1</v>
      </c>
    </row>
    <row r="529" spans="1:2" x14ac:dyDescent="0.3">
      <c r="A529" s="2">
        <v>526</v>
      </c>
      <c r="B529">
        <v>1</v>
      </c>
    </row>
    <row r="530" spans="1:2" x14ac:dyDescent="0.3">
      <c r="A530" s="2">
        <v>527</v>
      </c>
      <c r="B530">
        <v>1</v>
      </c>
    </row>
    <row r="531" spans="1:2" x14ac:dyDescent="0.3">
      <c r="A531" s="2">
        <v>528</v>
      </c>
      <c r="B531">
        <v>1</v>
      </c>
    </row>
    <row r="532" spans="1:2" x14ac:dyDescent="0.3">
      <c r="A532" s="2">
        <v>529</v>
      </c>
      <c r="B532">
        <v>1</v>
      </c>
    </row>
    <row r="533" spans="1:2" x14ac:dyDescent="0.3">
      <c r="A533" s="2">
        <v>530</v>
      </c>
      <c r="B533">
        <v>1</v>
      </c>
    </row>
    <row r="534" spans="1:2" x14ac:dyDescent="0.3">
      <c r="A534" s="2">
        <v>531</v>
      </c>
      <c r="B534">
        <v>1</v>
      </c>
    </row>
    <row r="535" spans="1:2" x14ac:dyDescent="0.3">
      <c r="A535" s="2">
        <v>532</v>
      </c>
      <c r="B535">
        <v>1</v>
      </c>
    </row>
    <row r="536" spans="1:2" x14ac:dyDescent="0.3">
      <c r="A536" s="2">
        <v>533</v>
      </c>
      <c r="B536">
        <v>1</v>
      </c>
    </row>
    <row r="537" spans="1:2" x14ac:dyDescent="0.3">
      <c r="A537" s="2">
        <v>534</v>
      </c>
      <c r="B537">
        <v>1</v>
      </c>
    </row>
    <row r="538" spans="1:2" x14ac:dyDescent="0.3">
      <c r="A538" s="2">
        <v>535</v>
      </c>
      <c r="B538">
        <v>1</v>
      </c>
    </row>
    <row r="539" spans="1:2" x14ac:dyDescent="0.3">
      <c r="A539" s="2">
        <v>536</v>
      </c>
      <c r="B539">
        <v>1</v>
      </c>
    </row>
    <row r="540" spans="1:2" x14ac:dyDescent="0.3">
      <c r="A540" s="2">
        <v>537</v>
      </c>
      <c r="B540">
        <v>1</v>
      </c>
    </row>
    <row r="541" spans="1:2" x14ac:dyDescent="0.3">
      <c r="A541" s="2">
        <v>538</v>
      </c>
      <c r="B541">
        <v>1</v>
      </c>
    </row>
    <row r="542" spans="1:2" x14ac:dyDescent="0.3">
      <c r="A542" s="2">
        <v>539</v>
      </c>
      <c r="B542">
        <v>1</v>
      </c>
    </row>
    <row r="543" spans="1:2" x14ac:dyDescent="0.3">
      <c r="A543" s="2">
        <v>540</v>
      </c>
      <c r="B543">
        <v>1</v>
      </c>
    </row>
    <row r="544" spans="1:2" x14ac:dyDescent="0.3">
      <c r="A544" s="2">
        <v>541</v>
      </c>
      <c r="B544">
        <v>1</v>
      </c>
    </row>
    <row r="545" spans="1:2" x14ac:dyDescent="0.3">
      <c r="A545" s="2">
        <v>542</v>
      </c>
      <c r="B545">
        <v>1</v>
      </c>
    </row>
    <row r="546" spans="1:2" x14ac:dyDescent="0.3">
      <c r="A546" s="2">
        <v>543</v>
      </c>
      <c r="B546">
        <v>1</v>
      </c>
    </row>
    <row r="547" spans="1:2" x14ac:dyDescent="0.3">
      <c r="A547" s="2">
        <v>544</v>
      </c>
      <c r="B547">
        <v>1</v>
      </c>
    </row>
    <row r="548" spans="1:2" x14ac:dyDescent="0.3">
      <c r="A548" s="2">
        <v>545</v>
      </c>
      <c r="B548">
        <v>1</v>
      </c>
    </row>
    <row r="549" spans="1:2" x14ac:dyDescent="0.3">
      <c r="A549" s="2">
        <v>546</v>
      </c>
      <c r="B549">
        <v>1</v>
      </c>
    </row>
    <row r="550" spans="1:2" x14ac:dyDescent="0.3">
      <c r="A550" s="2">
        <v>547</v>
      </c>
      <c r="B550">
        <v>1</v>
      </c>
    </row>
    <row r="551" spans="1:2" x14ac:dyDescent="0.3">
      <c r="A551" s="2">
        <v>548</v>
      </c>
      <c r="B551">
        <v>1</v>
      </c>
    </row>
    <row r="552" spans="1:2" x14ac:dyDescent="0.3">
      <c r="A552" s="2">
        <v>549</v>
      </c>
      <c r="B552">
        <v>1</v>
      </c>
    </row>
    <row r="553" spans="1:2" x14ac:dyDescent="0.3">
      <c r="A553" s="2">
        <v>550</v>
      </c>
      <c r="B553">
        <v>1</v>
      </c>
    </row>
    <row r="554" spans="1:2" x14ac:dyDescent="0.3">
      <c r="A554" s="2">
        <v>551</v>
      </c>
      <c r="B554">
        <v>1</v>
      </c>
    </row>
    <row r="555" spans="1:2" x14ac:dyDescent="0.3">
      <c r="A555" s="2">
        <v>552</v>
      </c>
      <c r="B555">
        <v>1</v>
      </c>
    </row>
    <row r="556" spans="1:2" x14ac:dyDescent="0.3">
      <c r="A556" s="2">
        <v>553</v>
      </c>
      <c r="B556">
        <v>1</v>
      </c>
    </row>
    <row r="557" spans="1:2" x14ac:dyDescent="0.3">
      <c r="A557" s="2">
        <v>554</v>
      </c>
      <c r="B557">
        <v>1</v>
      </c>
    </row>
    <row r="558" spans="1:2" x14ac:dyDescent="0.3">
      <c r="A558" s="2">
        <v>555</v>
      </c>
      <c r="B558">
        <v>1</v>
      </c>
    </row>
    <row r="559" spans="1:2" x14ac:dyDescent="0.3">
      <c r="A559" s="2">
        <v>556</v>
      </c>
      <c r="B559">
        <v>1</v>
      </c>
    </row>
    <row r="560" spans="1:2" x14ac:dyDescent="0.3">
      <c r="A560" s="2">
        <v>557</v>
      </c>
      <c r="B560">
        <v>1</v>
      </c>
    </row>
    <row r="561" spans="1:2" x14ac:dyDescent="0.3">
      <c r="A561" s="2">
        <v>558</v>
      </c>
      <c r="B561">
        <v>1</v>
      </c>
    </row>
    <row r="562" spans="1:2" x14ac:dyDescent="0.3">
      <c r="A562" s="2">
        <v>559</v>
      </c>
      <c r="B562">
        <v>1</v>
      </c>
    </row>
    <row r="563" spans="1:2" x14ac:dyDescent="0.3">
      <c r="A563" s="2">
        <v>560</v>
      </c>
      <c r="B563">
        <v>1</v>
      </c>
    </row>
    <row r="564" spans="1:2" x14ac:dyDescent="0.3">
      <c r="A564" s="2">
        <v>561</v>
      </c>
      <c r="B564">
        <v>1</v>
      </c>
    </row>
    <row r="565" spans="1:2" x14ac:dyDescent="0.3">
      <c r="A565" s="2">
        <v>562</v>
      </c>
      <c r="B565">
        <v>1</v>
      </c>
    </row>
    <row r="566" spans="1:2" x14ac:dyDescent="0.3">
      <c r="A566" s="2">
        <v>563</v>
      </c>
      <c r="B566">
        <v>1</v>
      </c>
    </row>
    <row r="567" spans="1:2" x14ac:dyDescent="0.3">
      <c r="A567" s="2">
        <v>564</v>
      </c>
      <c r="B567">
        <v>1</v>
      </c>
    </row>
    <row r="568" spans="1:2" x14ac:dyDescent="0.3">
      <c r="A568" s="2">
        <v>565</v>
      </c>
      <c r="B568">
        <v>1</v>
      </c>
    </row>
    <row r="569" spans="1:2" x14ac:dyDescent="0.3">
      <c r="A569" s="2">
        <v>566</v>
      </c>
      <c r="B569">
        <v>1</v>
      </c>
    </row>
    <row r="570" spans="1:2" x14ac:dyDescent="0.3">
      <c r="A570" s="2">
        <v>567</v>
      </c>
      <c r="B570">
        <v>1</v>
      </c>
    </row>
    <row r="571" spans="1:2" x14ac:dyDescent="0.3">
      <c r="A571" s="2">
        <v>568</v>
      </c>
      <c r="B571">
        <v>1</v>
      </c>
    </row>
    <row r="572" spans="1:2" x14ac:dyDescent="0.3">
      <c r="A572" s="2">
        <v>569</v>
      </c>
      <c r="B572">
        <v>1</v>
      </c>
    </row>
    <row r="573" spans="1:2" x14ac:dyDescent="0.3">
      <c r="A573" s="2">
        <v>570</v>
      </c>
      <c r="B573">
        <v>1</v>
      </c>
    </row>
    <row r="574" spans="1:2" x14ac:dyDescent="0.3">
      <c r="A574" s="2">
        <v>571</v>
      </c>
      <c r="B574">
        <v>1</v>
      </c>
    </row>
    <row r="575" spans="1:2" x14ac:dyDescent="0.3">
      <c r="A575" s="2">
        <v>572</v>
      </c>
      <c r="B575">
        <v>1</v>
      </c>
    </row>
    <row r="576" spans="1:2" x14ac:dyDescent="0.3">
      <c r="A576" s="2">
        <v>573</v>
      </c>
      <c r="B576">
        <v>1</v>
      </c>
    </row>
    <row r="577" spans="1:2" x14ac:dyDescent="0.3">
      <c r="A577" s="2">
        <v>574</v>
      </c>
      <c r="B577">
        <v>1</v>
      </c>
    </row>
    <row r="578" spans="1:2" x14ac:dyDescent="0.3">
      <c r="A578" s="2">
        <v>575</v>
      </c>
      <c r="B578">
        <v>1</v>
      </c>
    </row>
    <row r="579" spans="1:2" x14ac:dyDescent="0.3">
      <c r="A579" s="2">
        <v>576</v>
      </c>
      <c r="B579">
        <v>1</v>
      </c>
    </row>
    <row r="580" spans="1:2" x14ac:dyDescent="0.3">
      <c r="A580" s="2">
        <v>577</v>
      </c>
      <c r="B580">
        <v>1</v>
      </c>
    </row>
    <row r="581" spans="1:2" x14ac:dyDescent="0.3">
      <c r="A581" s="2">
        <v>578</v>
      </c>
      <c r="B581">
        <v>1</v>
      </c>
    </row>
    <row r="582" spans="1:2" x14ac:dyDescent="0.3">
      <c r="A582" s="2">
        <v>579</v>
      </c>
      <c r="B582">
        <v>1</v>
      </c>
    </row>
    <row r="583" spans="1:2" x14ac:dyDescent="0.3">
      <c r="A583" s="2">
        <v>580</v>
      </c>
      <c r="B583">
        <v>1</v>
      </c>
    </row>
    <row r="584" spans="1:2" x14ac:dyDescent="0.3">
      <c r="A584" s="2">
        <v>581</v>
      </c>
      <c r="B584">
        <v>1</v>
      </c>
    </row>
    <row r="585" spans="1:2" x14ac:dyDescent="0.3">
      <c r="A585" s="2">
        <v>582</v>
      </c>
      <c r="B585">
        <v>1</v>
      </c>
    </row>
    <row r="586" spans="1:2" x14ac:dyDescent="0.3">
      <c r="A586" s="2">
        <v>583</v>
      </c>
      <c r="B586">
        <v>1</v>
      </c>
    </row>
    <row r="587" spans="1:2" x14ac:dyDescent="0.3">
      <c r="A587" s="2">
        <v>584</v>
      </c>
      <c r="B587">
        <v>1</v>
      </c>
    </row>
    <row r="588" spans="1:2" x14ac:dyDescent="0.3">
      <c r="A588" s="2">
        <v>585</v>
      </c>
      <c r="B588">
        <v>1</v>
      </c>
    </row>
    <row r="589" spans="1:2" x14ac:dyDescent="0.3">
      <c r="A589" s="2">
        <v>586</v>
      </c>
      <c r="B589">
        <v>1</v>
      </c>
    </row>
    <row r="590" spans="1:2" x14ac:dyDescent="0.3">
      <c r="A590" s="2">
        <v>587</v>
      </c>
      <c r="B590">
        <v>1</v>
      </c>
    </row>
    <row r="591" spans="1:2" x14ac:dyDescent="0.3">
      <c r="A591" s="2">
        <v>588</v>
      </c>
      <c r="B591">
        <v>1</v>
      </c>
    </row>
    <row r="592" spans="1:2" x14ac:dyDescent="0.3">
      <c r="A592" s="2">
        <v>589</v>
      </c>
      <c r="B592">
        <v>1</v>
      </c>
    </row>
    <row r="593" spans="1:2" x14ac:dyDescent="0.3">
      <c r="A593" s="2">
        <v>590</v>
      </c>
      <c r="B593">
        <v>1</v>
      </c>
    </row>
    <row r="594" spans="1:2" x14ac:dyDescent="0.3">
      <c r="A594" s="2">
        <v>591</v>
      </c>
      <c r="B594">
        <v>1</v>
      </c>
    </row>
    <row r="595" spans="1:2" x14ac:dyDescent="0.3">
      <c r="A595" s="2">
        <v>592</v>
      </c>
      <c r="B595">
        <v>1</v>
      </c>
    </row>
    <row r="596" spans="1:2" x14ac:dyDescent="0.3">
      <c r="A596" s="2">
        <v>593</v>
      </c>
      <c r="B596">
        <v>1</v>
      </c>
    </row>
    <row r="597" spans="1:2" x14ac:dyDescent="0.3">
      <c r="A597" s="2">
        <v>594</v>
      </c>
      <c r="B597">
        <v>1</v>
      </c>
    </row>
    <row r="598" spans="1:2" x14ac:dyDescent="0.3">
      <c r="A598" s="2">
        <v>595</v>
      </c>
      <c r="B598">
        <v>1</v>
      </c>
    </row>
    <row r="599" spans="1:2" x14ac:dyDescent="0.3">
      <c r="A599" s="2">
        <v>596</v>
      </c>
      <c r="B599">
        <v>1</v>
      </c>
    </row>
    <row r="600" spans="1:2" x14ac:dyDescent="0.3">
      <c r="A600" s="2">
        <v>597</v>
      </c>
      <c r="B600">
        <v>1</v>
      </c>
    </row>
    <row r="601" spans="1:2" x14ac:dyDescent="0.3">
      <c r="A601" s="2">
        <v>598</v>
      </c>
      <c r="B601">
        <v>1</v>
      </c>
    </row>
    <row r="602" spans="1:2" x14ac:dyDescent="0.3">
      <c r="A602" s="2">
        <v>599</v>
      </c>
      <c r="B602">
        <v>1</v>
      </c>
    </row>
    <row r="603" spans="1:2" x14ac:dyDescent="0.3">
      <c r="A603" s="2">
        <v>600</v>
      </c>
      <c r="B603">
        <v>1</v>
      </c>
    </row>
    <row r="604" spans="1:2" x14ac:dyDescent="0.3">
      <c r="A604" s="2">
        <v>601</v>
      </c>
      <c r="B604">
        <v>1</v>
      </c>
    </row>
    <row r="605" spans="1:2" x14ac:dyDescent="0.3">
      <c r="A605" s="2">
        <v>602</v>
      </c>
      <c r="B605">
        <v>1</v>
      </c>
    </row>
    <row r="606" spans="1:2" x14ac:dyDescent="0.3">
      <c r="A606" s="2">
        <v>603</v>
      </c>
      <c r="B606">
        <v>1</v>
      </c>
    </row>
    <row r="607" spans="1:2" x14ac:dyDescent="0.3">
      <c r="A607" s="2">
        <v>604</v>
      </c>
      <c r="B607">
        <v>1</v>
      </c>
    </row>
    <row r="608" spans="1:2" x14ac:dyDescent="0.3">
      <c r="A608" s="2">
        <v>605</v>
      </c>
      <c r="B608">
        <v>1</v>
      </c>
    </row>
    <row r="609" spans="1:2" x14ac:dyDescent="0.3">
      <c r="A609" s="2">
        <v>606</v>
      </c>
      <c r="B609">
        <v>1</v>
      </c>
    </row>
    <row r="610" spans="1:2" x14ac:dyDescent="0.3">
      <c r="A610" s="2">
        <v>607</v>
      </c>
      <c r="B610">
        <v>1</v>
      </c>
    </row>
    <row r="611" spans="1:2" x14ac:dyDescent="0.3">
      <c r="A611" s="2">
        <v>608</v>
      </c>
      <c r="B611">
        <v>1</v>
      </c>
    </row>
    <row r="612" spans="1:2" x14ac:dyDescent="0.3">
      <c r="A612" s="2">
        <v>609</v>
      </c>
      <c r="B612">
        <v>1</v>
      </c>
    </row>
    <row r="613" spans="1:2" x14ac:dyDescent="0.3">
      <c r="A613" s="2">
        <v>610</v>
      </c>
      <c r="B613">
        <v>1</v>
      </c>
    </row>
    <row r="614" spans="1:2" x14ac:dyDescent="0.3">
      <c r="A614" s="2">
        <v>611</v>
      </c>
      <c r="B614">
        <v>1</v>
      </c>
    </row>
    <row r="615" spans="1:2" x14ac:dyDescent="0.3">
      <c r="A615" s="2">
        <v>612</v>
      </c>
      <c r="B615">
        <v>1</v>
      </c>
    </row>
    <row r="616" spans="1:2" x14ac:dyDescent="0.3">
      <c r="A616" s="2">
        <v>613</v>
      </c>
      <c r="B616">
        <v>1</v>
      </c>
    </row>
    <row r="617" spans="1:2" x14ac:dyDescent="0.3">
      <c r="A617" s="2">
        <v>614</v>
      </c>
      <c r="B617">
        <v>1</v>
      </c>
    </row>
    <row r="618" spans="1:2" x14ac:dyDescent="0.3">
      <c r="A618" s="2">
        <v>615</v>
      </c>
      <c r="B618">
        <v>1</v>
      </c>
    </row>
    <row r="619" spans="1:2" x14ac:dyDescent="0.3">
      <c r="A619" s="2">
        <v>616</v>
      </c>
      <c r="B619">
        <v>1</v>
      </c>
    </row>
    <row r="620" spans="1:2" x14ac:dyDescent="0.3">
      <c r="A620" s="2">
        <v>617</v>
      </c>
      <c r="B620">
        <v>1</v>
      </c>
    </row>
    <row r="621" spans="1:2" x14ac:dyDescent="0.3">
      <c r="A621" s="2">
        <v>618</v>
      </c>
      <c r="B621">
        <v>1</v>
      </c>
    </row>
    <row r="622" spans="1:2" x14ac:dyDescent="0.3">
      <c r="A622" s="2">
        <v>619</v>
      </c>
      <c r="B622">
        <v>1</v>
      </c>
    </row>
    <row r="623" spans="1:2" x14ac:dyDescent="0.3">
      <c r="A623" s="2">
        <v>620</v>
      </c>
      <c r="B623">
        <v>1</v>
      </c>
    </row>
    <row r="624" spans="1:2" x14ac:dyDescent="0.3">
      <c r="A624" s="2">
        <v>621</v>
      </c>
      <c r="B624">
        <v>1</v>
      </c>
    </row>
    <row r="625" spans="1:2" x14ac:dyDescent="0.3">
      <c r="A625" s="2">
        <v>622</v>
      </c>
      <c r="B625">
        <v>1</v>
      </c>
    </row>
    <row r="626" spans="1:2" x14ac:dyDescent="0.3">
      <c r="A626" s="2">
        <v>623</v>
      </c>
      <c r="B626">
        <v>1</v>
      </c>
    </row>
    <row r="627" spans="1:2" x14ac:dyDescent="0.3">
      <c r="A627" s="2">
        <v>624</v>
      </c>
      <c r="B627">
        <v>1</v>
      </c>
    </row>
    <row r="628" spans="1:2" x14ac:dyDescent="0.3">
      <c r="A628" s="2">
        <v>625</v>
      </c>
      <c r="B628">
        <v>1</v>
      </c>
    </row>
    <row r="629" spans="1:2" x14ac:dyDescent="0.3">
      <c r="A629" s="2">
        <v>626</v>
      </c>
      <c r="B629">
        <v>1</v>
      </c>
    </row>
    <row r="630" spans="1:2" x14ac:dyDescent="0.3">
      <c r="A630" s="2">
        <v>627</v>
      </c>
      <c r="B630">
        <v>1</v>
      </c>
    </row>
    <row r="631" spans="1:2" x14ac:dyDescent="0.3">
      <c r="A631" s="2">
        <v>628</v>
      </c>
      <c r="B631">
        <v>1</v>
      </c>
    </row>
    <row r="632" spans="1:2" x14ac:dyDescent="0.3">
      <c r="A632" s="2">
        <v>629</v>
      </c>
      <c r="B632">
        <v>1</v>
      </c>
    </row>
    <row r="633" spans="1:2" x14ac:dyDescent="0.3">
      <c r="A633" s="2">
        <v>630</v>
      </c>
      <c r="B633">
        <v>1</v>
      </c>
    </row>
    <row r="634" spans="1:2" x14ac:dyDescent="0.3">
      <c r="A634" s="2">
        <v>631</v>
      </c>
      <c r="B634">
        <v>1</v>
      </c>
    </row>
    <row r="635" spans="1:2" x14ac:dyDescent="0.3">
      <c r="A635" s="2">
        <v>632</v>
      </c>
      <c r="B635">
        <v>1</v>
      </c>
    </row>
    <row r="636" spans="1:2" x14ac:dyDescent="0.3">
      <c r="A636" s="2">
        <v>633</v>
      </c>
      <c r="B636">
        <v>1</v>
      </c>
    </row>
    <row r="637" spans="1:2" x14ac:dyDescent="0.3">
      <c r="A637" s="2">
        <v>634</v>
      </c>
      <c r="B637">
        <v>1</v>
      </c>
    </row>
    <row r="638" spans="1:2" x14ac:dyDescent="0.3">
      <c r="A638" s="2">
        <v>635</v>
      </c>
      <c r="B638">
        <v>1</v>
      </c>
    </row>
    <row r="639" spans="1:2" x14ac:dyDescent="0.3">
      <c r="A639" s="2">
        <v>636</v>
      </c>
      <c r="B639">
        <v>1</v>
      </c>
    </row>
    <row r="640" spans="1:2" x14ac:dyDescent="0.3">
      <c r="A640" s="2">
        <v>637</v>
      </c>
      <c r="B640">
        <v>1</v>
      </c>
    </row>
    <row r="641" spans="1:2" x14ac:dyDescent="0.3">
      <c r="A641" s="2">
        <v>638</v>
      </c>
      <c r="B641">
        <v>1</v>
      </c>
    </row>
    <row r="642" spans="1:2" x14ac:dyDescent="0.3">
      <c r="A642" s="2">
        <v>639</v>
      </c>
      <c r="B642">
        <v>1</v>
      </c>
    </row>
    <row r="643" spans="1:2" x14ac:dyDescent="0.3">
      <c r="A643" s="2">
        <v>640</v>
      </c>
      <c r="B643">
        <v>1</v>
      </c>
    </row>
    <row r="644" spans="1:2" x14ac:dyDescent="0.3">
      <c r="A644" s="2">
        <v>641</v>
      </c>
      <c r="B644">
        <v>1</v>
      </c>
    </row>
    <row r="645" spans="1:2" x14ac:dyDescent="0.3">
      <c r="A645" s="2">
        <v>642</v>
      </c>
      <c r="B645">
        <v>1</v>
      </c>
    </row>
    <row r="646" spans="1:2" x14ac:dyDescent="0.3">
      <c r="A646" s="2">
        <v>643</v>
      </c>
      <c r="B646">
        <v>1</v>
      </c>
    </row>
    <row r="647" spans="1:2" x14ac:dyDescent="0.3">
      <c r="A647" s="2">
        <v>644</v>
      </c>
      <c r="B647">
        <v>1</v>
      </c>
    </row>
    <row r="648" spans="1:2" x14ac:dyDescent="0.3">
      <c r="A648" s="2">
        <v>645</v>
      </c>
      <c r="B648">
        <v>1</v>
      </c>
    </row>
    <row r="649" spans="1:2" x14ac:dyDescent="0.3">
      <c r="A649" s="2">
        <v>646</v>
      </c>
      <c r="B649">
        <v>1</v>
      </c>
    </row>
    <row r="650" spans="1:2" x14ac:dyDescent="0.3">
      <c r="A650" s="2">
        <v>647</v>
      </c>
      <c r="B650">
        <v>1</v>
      </c>
    </row>
    <row r="651" spans="1:2" x14ac:dyDescent="0.3">
      <c r="A651" s="2">
        <v>648</v>
      </c>
      <c r="B651">
        <v>1</v>
      </c>
    </row>
    <row r="652" spans="1:2" x14ac:dyDescent="0.3">
      <c r="A652" s="2">
        <v>649</v>
      </c>
      <c r="B652">
        <v>1</v>
      </c>
    </row>
    <row r="653" spans="1:2" x14ac:dyDescent="0.3">
      <c r="A653" s="2">
        <v>650</v>
      </c>
      <c r="B653">
        <v>1</v>
      </c>
    </row>
    <row r="654" spans="1:2" x14ac:dyDescent="0.3">
      <c r="A654" s="2">
        <v>651</v>
      </c>
      <c r="B654">
        <v>1</v>
      </c>
    </row>
    <row r="655" spans="1:2" x14ac:dyDescent="0.3">
      <c r="A655" s="2">
        <v>652</v>
      </c>
      <c r="B655">
        <v>1</v>
      </c>
    </row>
    <row r="656" spans="1:2" x14ac:dyDescent="0.3">
      <c r="A656" s="2">
        <v>653</v>
      </c>
      <c r="B656">
        <v>1</v>
      </c>
    </row>
    <row r="657" spans="1:2" x14ac:dyDescent="0.3">
      <c r="A657" s="2">
        <v>654</v>
      </c>
      <c r="B657">
        <v>1</v>
      </c>
    </row>
    <row r="658" spans="1:2" x14ac:dyDescent="0.3">
      <c r="A658" s="2">
        <v>655</v>
      </c>
      <c r="B658">
        <v>1</v>
      </c>
    </row>
    <row r="659" spans="1:2" x14ac:dyDescent="0.3">
      <c r="A659" s="2">
        <v>656</v>
      </c>
      <c r="B659">
        <v>1</v>
      </c>
    </row>
    <row r="660" spans="1:2" x14ac:dyDescent="0.3">
      <c r="A660" s="2">
        <v>657</v>
      </c>
      <c r="B660">
        <v>1</v>
      </c>
    </row>
    <row r="661" spans="1:2" x14ac:dyDescent="0.3">
      <c r="A661" s="2">
        <v>658</v>
      </c>
      <c r="B661">
        <v>1</v>
      </c>
    </row>
    <row r="662" spans="1:2" x14ac:dyDescent="0.3">
      <c r="A662" s="2">
        <v>659</v>
      </c>
      <c r="B662">
        <v>1</v>
      </c>
    </row>
    <row r="663" spans="1:2" x14ac:dyDescent="0.3">
      <c r="A663" s="2">
        <v>660</v>
      </c>
      <c r="B663">
        <v>1</v>
      </c>
    </row>
    <row r="664" spans="1:2" x14ac:dyDescent="0.3">
      <c r="A664" s="2">
        <v>661</v>
      </c>
      <c r="B664">
        <v>1</v>
      </c>
    </row>
    <row r="665" spans="1:2" x14ac:dyDescent="0.3">
      <c r="A665" s="2">
        <v>662</v>
      </c>
      <c r="B665">
        <v>1</v>
      </c>
    </row>
    <row r="666" spans="1:2" x14ac:dyDescent="0.3">
      <c r="A666" s="2">
        <v>663</v>
      </c>
      <c r="B666">
        <v>1</v>
      </c>
    </row>
    <row r="667" spans="1:2" x14ac:dyDescent="0.3">
      <c r="A667" s="2">
        <v>664</v>
      </c>
      <c r="B667">
        <v>1</v>
      </c>
    </row>
    <row r="668" spans="1:2" x14ac:dyDescent="0.3">
      <c r="A668" s="2">
        <v>665</v>
      </c>
      <c r="B668">
        <v>1</v>
      </c>
    </row>
    <row r="669" spans="1:2" x14ac:dyDescent="0.3">
      <c r="A669" s="2">
        <v>666</v>
      </c>
      <c r="B669">
        <v>1</v>
      </c>
    </row>
    <row r="670" spans="1:2" x14ac:dyDescent="0.3">
      <c r="A670" s="2">
        <v>667</v>
      </c>
      <c r="B670">
        <v>1</v>
      </c>
    </row>
    <row r="671" spans="1:2" x14ac:dyDescent="0.3">
      <c r="A671" s="2">
        <v>668</v>
      </c>
      <c r="B671">
        <v>1</v>
      </c>
    </row>
    <row r="672" spans="1:2" x14ac:dyDescent="0.3">
      <c r="A672" s="2">
        <v>669</v>
      </c>
      <c r="B672">
        <v>1</v>
      </c>
    </row>
    <row r="673" spans="1:2" x14ac:dyDescent="0.3">
      <c r="A673" s="2">
        <v>670</v>
      </c>
      <c r="B673">
        <v>1</v>
      </c>
    </row>
    <row r="674" spans="1:2" x14ac:dyDescent="0.3">
      <c r="A674" s="2">
        <v>671</v>
      </c>
      <c r="B674">
        <v>1</v>
      </c>
    </row>
    <row r="675" spans="1:2" x14ac:dyDescent="0.3">
      <c r="A675" s="2">
        <v>672</v>
      </c>
      <c r="B675">
        <v>1</v>
      </c>
    </row>
    <row r="676" spans="1:2" x14ac:dyDescent="0.3">
      <c r="A676" s="2">
        <v>673</v>
      </c>
      <c r="B676">
        <v>1</v>
      </c>
    </row>
    <row r="677" spans="1:2" x14ac:dyDescent="0.3">
      <c r="A677" s="2">
        <v>674</v>
      </c>
      <c r="B677">
        <v>1</v>
      </c>
    </row>
    <row r="678" spans="1:2" x14ac:dyDescent="0.3">
      <c r="A678" s="2">
        <v>675</v>
      </c>
      <c r="B678">
        <v>1</v>
      </c>
    </row>
    <row r="679" spans="1:2" x14ac:dyDescent="0.3">
      <c r="A679" s="2">
        <v>676</v>
      </c>
      <c r="B679">
        <v>1</v>
      </c>
    </row>
    <row r="680" spans="1:2" x14ac:dyDescent="0.3">
      <c r="A680" s="2">
        <v>677</v>
      </c>
      <c r="B680">
        <v>1</v>
      </c>
    </row>
    <row r="681" spans="1:2" x14ac:dyDescent="0.3">
      <c r="A681" s="2">
        <v>678</v>
      </c>
      <c r="B681">
        <v>1</v>
      </c>
    </row>
    <row r="682" spans="1:2" x14ac:dyDescent="0.3">
      <c r="A682" s="2">
        <v>679</v>
      </c>
      <c r="B682">
        <v>1</v>
      </c>
    </row>
    <row r="683" spans="1:2" x14ac:dyDescent="0.3">
      <c r="A683" s="2">
        <v>680</v>
      </c>
      <c r="B683">
        <v>1</v>
      </c>
    </row>
    <row r="684" spans="1:2" x14ac:dyDescent="0.3">
      <c r="A684" s="2">
        <v>681</v>
      </c>
      <c r="B684">
        <v>1</v>
      </c>
    </row>
    <row r="685" spans="1:2" x14ac:dyDescent="0.3">
      <c r="A685" s="2">
        <v>682</v>
      </c>
      <c r="B685">
        <v>1</v>
      </c>
    </row>
    <row r="686" spans="1:2" x14ac:dyDescent="0.3">
      <c r="A686" s="2">
        <v>683</v>
      </c>
      <c r="B686">
        <v>1</v>
      </c>
    </row>
    <row r="687" spans="1:2" x14ac:dyDescent="0.3">
      <c r="A687" s="2">
        <v>684</v>
      </c>
      <c r="B687">
        <v>1</v>
      </c>
    </row>
    <row r="688" spans="1:2" x14ac:dyDescent="0.3">
      <c r="A688" s="2">
        <v>685</v>
      </c>
      <c r="B688">
        <v>1</v>
      </c>
    </row>
    <row r="689" spans="1:2" x14ac:dyDescent="0.3">
      <c r="A689" s="2">
        <v>686</v>
      </c>
      <c r="B689">
        <v>1</v>
      </c>
    </row>
    <row r="690" spans="1:2" x14ac:dyDescent="0.3">
      <c r="A690" s="2">
        <v>687</v>
      </c>
      <c r="B690">
        <v>1</v>
      </c>
    </row>
    <row r="691" spans="1:2" x14ac:dyDescent="0.3">
      <c r="A691" s="2">
        <v>688</v>
      </c>
      <c r="B691">
        <v>1</v>
      </c>
    </row>
    <row r="692" spans="1:2" x14ac:dyDescent="0.3">
      <c r="A692" s="2">
        <v>689</v>
      </c>
      <c r="B692">
        <v>1</v>
      </c>
    </row>
    <row r="693" spans="1:2" x14ac:dyDescent="0.3">
      <c r="A693" s="2">
        <v>690</v>
      </c>
      <c r="B693">
        <v>1</v>
      </c>
    </row>
    <row r="694" spans="1:2" x14ac:dyDescent="0.3">
      <c r="A694" s="2">
        <v>691</v>
      </c>
      <c r="B694">
        <v>1</v>
      </c>
    </row>
    <row r="695" spans="1:2" x14ac:dyDescent="0.3">
      <c r="A695" s="2">
        <v>692</v>
      </c>
      <c r="B695">
        <v>1</v>
      </c>
    </row>
    <row r="696" spans="1:2" x14ac:dyDescent="0.3">
      <c r="A696" s="2">
        <v>693</v>
      </c>
      <c r="B696">
        <v>1</v>
      </c>
    </row>
    <row r="697" spans="1:2" x14ac:dyDescent="0.3">
      <c r="A697" s="2">
        <v>694</v>
      </c>
      <c r="B697">
        <v>1</v>
      </c>
    </row>
    <row r="698" spans="1:2" x14ac:dyDescent="0.3">
      <c r="A698" s="2">
        <v>695</v>
      </c>
      <c r="B698">
        <v>1</v>
      </c>
    </row>
    <row r="699" spans="1:2" x14ac:dyDescent="0.3">
      <c r="A699" s="2">
        <v>696</v>
      </c>
      <c r="B699">
        <v>1</v>
      </c>
    </row>
    <row r="700" spans="1:2" x14ac:dyDescent="0.3">
      <c r="A700" s="2">
        <v>697</v>
      </c>
      <c r="B700">
        <v>1</v>
      </c>
    </row>
    <row r="701" spans="1:2" x14ac:dyDescent="0.3">
      <c r="A701" s="2">
        <v>698</v>
      </c>
      <c r="B701">
        <v>1</v>
      </c>
    </row>
    <row r="702" spans="1:2" x14ac:dyDescent="0.3">
      <c r="A702" s="2">
        <v>699</v>
      </c>
      <c r="B702">
        <v>1</v>
      </c>
    </row>
    <row r="703" spans="1:2" x14ac:dyDescent="0.3">
      <c r="A703" s="2">
        <v>700</v>
      </c>
      <c r="B703">
        <v>1</v>
      </c>
    </row>
    <row r="704" spans="1:2" x14ac:dyDescent="0.3">
      <c r="A704" s="2">
        <v>701</v>
      </c>
      <c r="B704">
        <v>1</v>
      </c>
    </row>
    <row r="705" spans="1:2" x14ac:dyDescent="0.3">
      <c r="A705" s="2">
        <v>702</v>
      </c>
      <c r="B705">
        <v>1</v>
      </c>
    </row>
    <row r="706" spans="1:2" x14ac:dyDescent="0.3">
      <c r="A706" s="2">
        <v>703</v>
      </c>
      <c r="B706">
        <v>1</v>
      </c>
    </row>
    <row r="707" spans="1:2" x14ac:dyDescent="0.3">
      <c r="A707" s="2">
        <v>704</v>
      </c>
      <c r="B707">
        <v>1</v>
      </c>
    </row>
    <row r="708" spans="1:2" x14ac:dyDescent="0.3">
      <c r="A708" s="2">
        <v>705</v>
      </c>
      <c r="B708">
        <v>1</v>
      </c>
    </row>
    <row r="709" spans="1:2" x14ac:dyDescent="0.3">
      <c r="A709" s="2">
        <v>706</v>
      </c>
      <c r="B709">
        <v>1</v>
      </c>
    </row>
    <row r="710" spans="1:2" x14ac:dyDescent="0.3">
      <c r="A710" s="2">
        <v>707</v>
      </c>
      <c r="B710">
        <v>1</v>
      </c>
    </row>
    <row r="711" spans="1:2" x14ac:dyDescent="0.3">
      <c r="A711" s="2">
        <v>708</v>
      </c>
      <c r="B711">
        <v>1</v>
      </c>
    </row>
    <row r="712" spans="1:2" x14ac:dyDescent="0.3">
      <c r="A712" s="2">
        <v>709</v>
      </c>
      <c r="B712">
        <v>1</v>
      </c>
    </row>
    <row r="713" spans="1:2" x14ac:dyDescent="0.3">
      <c r="A713" s="2">
        <v>710</v>
      </c>
      <c r="B713">
        <v>1</v>
      </c>
    </row>
    <row r="714" spans="1:2" x14ac:dyDescent="0.3">
      <c r="A714" s="2">
        <v>711</v>
      </c>
      <c r="B714">
        <v>1</v>
      </c>
    </row>
    <row r="715" spans="1:2" x14ac:dyDescent="0.3">
      <c r="A715" s="2">
        <v>712</v>
      </c>
      <c r="B715">
        <v>1</v>
      </c>
    </row>
    <row r="716" spans="1:2" x14ac:dyDescent="0.3">
      <c r="A716" s="2">
        <v>713</v>
      </c>
      <c r="B716">
        <v>1</v>
      </c>
    </row>
    <row r="717" spans="1:2" x14ac:dyDescent="0.3">
      <c r="A717" s="2">
        <v>714</v>
      </c>
      <c r="B717">
        <v>1</v>
      </c>
    </row>
    <row r="718" spans="1:2" x14ac:dyDescent="0.3">
      <c r="A718" s="2">
        <v>715</v>
      </c>
      <c r="B718">
        <v>1</v>
      </c>
    </row>
    <row r="719" spans="1:2" x14ac:dyDescent="0.3">
      <c r="A719" s="2">
        <v>716</v>
      </c>
      <c r="B719">
        <v>1</v>
      </c>
    </row>
    <row r="720" spans="1:2" x14ac:dyDescent="0.3">
      <c r="A720" s="2">
        <v>717</v>
      </c>
      <c r="B720">
        <v>1</v>
      </c>
    </row>
    <row r="721" spans="1:2" x14ac:dyDescent="0.3">
      <c r="A721" s="2">
        <v>718</v>
      </c>
      <c r="B721">
        <v>1</v>
      </c>
    </row>
    <row r="722" spans="1:2" x14ac:dyDescent="0.3">
      <c r="A722" s="2">
        <v>719</v>
      </c>
      <c r="B722">
        <v>1</v>
      </c>
    </row>
    <row r="723" spans="1:2" x14ac:dyDescent="0.3">
      <c r="A723" s="2">
        <v>720</v>
      </c>
      <c r="B723">
        <v>1</v>
      </c>
    </row>
    <row r="724" spans="1:2" x14ac:dyDescent="0.3">
      <c r="A724" s="2">
        <v>721</v>
      </c>
      <c r="B724">
        <v>1</v>
      </c>
    </row>
    <row r="725" spans="1:2" x14ac:dyDescent="0.3">
      <c r="A725" s="2">
        <v>722</v>
      </c>
      <c r="B725">
        <v>1</v>
      </c>
    </row>
    <row r="726" spans="1:2" x14ac:dyDescent="0.3">
      <c r="A726" s="2">
        <v>723</v>
      </c>
      <c r="B726">
        <v>1</v>
      </c>
    </row>
    <row r="727" spans="1:2" x14ac:dyDescent="0.3">
      <c r="A727" s="2">
        <v>724</v>
      </c>
      <c r="B727">
        <v>1</v>
      </c>
    </row>
    <row r="728" spans="1:2" x14ac:dyDescent="0.3">
      <c r="A728" s="2">
        <v>725</v>
      </c>
      <c r="B728">
        <v>1</v>
      </c>
    </row>
    <row r="729" spans="1:2" x14ac:dyDescent="0.3">
      <c r="A729" s="2">
        <v>726</v>
      </c>
      <c r="B729">
        <v>1</v>
      </c>
    </row>
    <row r="730" spans="1:2" x14ac:dyDescent="0.3">
      <c r="A730" s="2">
        <v>727</v>
      </c>
      <c r="B730">
        <v>1</v>
      </c>
    </row>
    <row r="731" spans="1:2" x14ac:dyDescent="0.3">
      <c r="A731" s="2">
        <v>728</v>
      </c>
      <c r="B731">
        <v>1</v>
      </c>
    </row>
    <row r="732" spans="1:2" x14ac:dyDescent="0.3">
      <c r="A732" s="2">
        <v>729</v>
      </c>
      <c r="B732">
        <v>1</v>
      </c>
    </row>
    <row r="733" spans="1:2" x14ac:dyDescent="0.3">
      <c r="A733" s="2">
        <v>730</v>
      </c>
      <c r="B733">
        <v>1</v>
      </c>
    </row>
    <row r="734" spans="1:2" x14ac:dyDescent="0.3">
      <c r="A734" s="2">
        <v>731</v>
      </c>
      <c r="B734">
        <v>1</v>
      </c>
    </row>
    <row r="735" spans="1:2" x14ac:dyDescent="0.3">
      <c r="A735" s="2">
        <v>732</v>
      </c>
      <c r="B735">
        <v>1</v>
      </c>
    </row>
    <row r="736" spans="1:2" x14ac:dyDescent="0.3">
      <c r="A736" s="2">
        <v>733</v>
      </c>
      <c r="B736">
        <v>1</v>
      </c>
    </row>
    <row r="737" spans="1:2" x14ac:dyDescent="0.3">
      <c r="A737" s="2">
        <v>734</v>
      </c>
      <c r="B737">
        <v>1</v>
      </c>
    </row>
    <row r="738" spans="1:2" x14ac:dyDescent="0.3">
      <c r="A738" s="2">
        <v>735</v>
      </c>
      <c r="B738">
        <v>1</v>
      </c>
    </row>
    <row r="739" spans="1:2" x14ac:dyDescent="0.3">
      <c r="A739" s="2">
        <v>736</v>
      </c>
      <c r="B739">
        <v>1</v>
      </c>
    </row>
    <row r="740" spans="1:2" x14ac:dyDescent="0.3">
      <c r="A740" s="2">
        <v>737</v>
      </c>
      <c r="B740">
        <v>1</v>
      </c>
    </row>
    <row r="741" spans="1:2" x14ac:dyDescent="0.3">
      <c r="A741" s="2">
        <v>738</v>
      </c>
      <c r="B741">
        <v>1</v>
      </c>
    </row>
    <row r="742" spans="1:2" x14ac:dyDescent="0.3">
      <c r="A742" s="2">
        <v>739</v>
      </c>
      <c r="B742">
        <v>1</v>
      </c>
    </row>
    <row r="743" spans="1:2" x14ac:dyDescent="0.3">
      <c r="A743" s="2">
        <v>740</v>
      </c>
      <c r="B743">
        <v>1</v>
      </c>
    </row>
    <row r="744" spans="1:2" x14ac:dyDescent="0.3">
      <c r="A744" s="2">
        <v>741</v>
      </c>
      <c r="B744">
        <v>1</v>
      </c>
    </row>
    <row r="745" spans="1:2" x14ac:dyDescent="0.3">
      <c r="A745" s="2">
        <v>742</v>
      </c>
      <c r="B745">
        <v>1</v>
      </c>
    </row>
    <row r="746" spans="1:2" x14ac:dyDescent="0.3">
      <c r="A746" s="2">
        <v>743</v>
      </c>
      <c r="B746">
        <v>1</v>
      </c>
    </row>
    <row r="747" spans="1:2" x14ac:dyDescent="0.3">
      <c r="A747" s="2">
        <v>744</v>
      </c>
      <c r="B747">
        <v>1</v>
      </c>
    </row>
    <row r="748" spans="1:2" x14ac:dyDescent="0.3">
      <c r="A748" s="2">
        <v>745</v>
      </c>
      <c r="B748">
        <v>1</v>
      </c>
    </row>
    <row r="749" spans="1:2" x14ac:dyDescent="0.3">
      <c r="A749" s="2">
        <v>746</v>
      </c>
      <c r="B749">
        <v>1</v>
      </c>
    </row>
    <row r="750" spans="1:2" x14ac:dyDescent="0.3">
      <c r="A750" s="2">
        <v>747</v>
      </c>
      <c r="B750">
        <v>1</v>
      </c>
    </row>
    <row r="751" spans="1:2" x14ac:dyDescent="0.3">
      <c r="A751" s="2">
        <v>748</v>
      </c>
      <c r="B751">
        <v>1</v>
      </c>
    </row>
    <row r="752" spans="1:2" x14ac:dyDescent="0.3">
      <c r="A752" s="2">
        <v>749</v>
      </c>
      <c r="B752">
        <v>1</v>
      </c>
    </row>
    <row r="753" spans="1:2" x14ac:dyDescent="0.3">
      <c r="A753" s="2">
        <v>750</v>
      </c>
      <c r="B753">
        <v>1</v>
      </c>
    </row>
    <row r="754" spans="1:2" x14ac:dyDescent="0.3">
      <c r="A754" s="2">
        <v>751</v>
      </c>
      <c r="B754">
        <v>1</v>
      </c>
    </row>
    <row r="755" spans="1:2" x14ac:dyDescent="0.3">
      <c r="A755" s="2">
        <v>752</v>
      </c>
      <c r="B755">
        <v>1</v>
      </c>
    </row>
    <row r="756" spans="1:2" x14ac:dyDescent="0.3">
      <c r="A756" s="2">
        <v>753</v>
      </c>
      <c r="B756">
        <v>1</v>
      </c>
    </row>
    <row r="757" spans="1:2" x14ac:dyDescent="0.3">
      <c r="A757" s="2">
        <v>754</v>
      </c>
      <c r="B757">
        <v>1</v>
      </c>
    </row>
    <row r="758" spans="1:2" x14ac:dyDescent="0.3">
      <c r="A758" s="2">
        <v>755</v>
      </c>
      <c r="B758">
        <v>1</v>
      </c>
    </row>
    <row r="759" spans="1:2" x14ac:dyDescent="0.3">
      <c r="A759" s="2">
        <v>756</v>
      </c>
      <c r="B759">
        <v>1</v>
      </c>
    </row>
    <row r="760" spans="1:2" x14ac:dyDescent="0.3">
      <c r="A760" s="2">
        <v>757</v>
      </c>
      <c r="B760">
        <v>1</v>
      </c>
    </row>
    <row r="761" spans="1:2" x14ac:dyDescent="0.3">
      <c r="A761" s="2">
        <v>758</v>
      </c>
      <c r="B761">
        <v>1</v>
      </c>
    </row>
    <row r="762" spans="1:2" x14ac:dyDescent="0.3">
      <c r="A762" s="2">
        <v>759</v>
      </c>
      <c r="B762">
        <v>1</v>
      </c>
    </row>
    <row r="763" spans="1:2" x14ac:dyDescent="0.3">
      <c r="A763" s="2">
        <v>760</v>
      </c>
      <c r="B763">
        <v>1</v>
      </c>
    </row>
    <row r="764" spans="1:2" x14ac:dyDescent="0.3">
      <c r="A764" s="2">
        <v>761</v>
      </c>
      <c r="B764">
        <v>1</v>
      </c>
    </row>
    <row r="765" spans="1:2" x14ac:dyDescent="0.3">
      <c r="A765" s="2">
        <v>762</v>
      </c>
      <c r="B765">
        <v>1</v>
      </c>
    </row>
    <row r="766" spans="1:2" x14ac:dyDescent="0.3">
      <c r="A766" s="2">
        <v>763</v>
      </c>
      <c r="B766">
        <v>1</v>
      </c>
    </row>
    <row r="767" spans="1:2" x14ac:dyDescent="0.3">
      <c r="A767" s="2">
        <v>764</v>
      </c>
      <c r="B767">
        <v>1</v>
      </c>
    </row>
    <row r="768" spans="1:2" x14ac:dyDescent="0.3">
      <c r="A768" s="2">
        <v>765</v>
      </c>
      <c r="B768">
        <v>1</v>
      </c>
    </row>
    <row r="769" spans="1:2" x14ac:dyDescent="0.3">
      <c r="A769" s="2">
        <v>766</v>
      </c>
      <c r="B769">
        <v>1</v>
      </c>
    </row>
    <row r="770" spans="1:2" x14ac:dyDescent="0.3">
      <c r="A770" s="2">
        <v>767</v>
      </c>
      <c r="B770">
        <v>1</v>
      </c>
    </row>
    <row r="771" spans="1:2" x14ac:dyDescent="0.3">
      <c r="A771" s="2">
        <v>768</v>
      </c>
      <c r="B771">
        <v>1</v>
      </c>
    </row>
    <row r="772" spans="1:2" x14ac:dyDescent="0.3">
      <c r="A772" s="2">
        <v>769</v>
      </c>
      <c r="B772">
        <v>1</v>
      </c>
    </row>
    <row r="773" spans="1:2" x14ac:dyDescent="0.3">
      <c r="A773" s="2">
        <v>770</v>
      </c>
      <c r="B773">
        <v>1</v>
      </c>
    </row>
    <row r="774" spans="1:2" x14ac:dyDescent="0.3">
      <c r="A774" s="2">
        <v>771</v>
      </c>
      <c r="B774">
        <v>1</v>
      </c>
    </row>
    <row r="775" spans="1:2" x14ac:dyDescent="0.3">
      <c r="A775" s="2">
        <v>772</v>
      </c>
      <c r="B775">
        <v>1</v>
      </c>
    </row>
    <row r="776" spans="1:2" x14ac:dyDescent="0.3">
      <c r="A776" s="2">
        <v>773</v>
      </c>
      <c r="B776">
        <v>1</v>
      </c>
    </row>
    <row r="777" spans="1:2" x14ac:dyDescent="0.3">
      <c r="A777" s="2">
        <v>774</v>
      </c>
      <c r="B777">
        <v>1</v>
      </c>
    </row>
    <row r="778" spans="1:2" x14ac:dyDescent="0.3">
      <c r="A778" s="2">
        <v>775</v>
      </c>
      <c r="B778">
        <v>1</v>
      </c>
    </row>
    <row r="779" spans="1:2" x14ac:dyDescent="0.3">
      <c r="A779" s="2">
        <v>776</v>
      </c>
      <c r="B779">
        <v>1</v>
      </c>
    </row>
    <row r="780" spans="1:2" x14ac:dyDescent="0.3">
      <c r="A780" s="2">
        <v>777</v>
      </c>
      <c r="B780">
        <v>1</v>
      </c>
    </row>
    <row r="781" spans="1:2" x14ac:dyDescent="0.3">
      <c r="A781" s="2">
        <v>778</v>
      </c>
      <c r="B781">
        <v>1</v>
      </c>
    </row>
    <row r="782" spans="1:2" x14ac:dyDescent="0.3">
      <c r="A782" s="2">
        <v>779</v>
      </c>
      <c r="B782">
        <v>1</v>
      </c>
    </row>
    <row r="783" spans="1:2" x14ac:dyDescent="0.3">
      <c r="A783" s="2">
        <v>780</v>
      </c>
      <c r="B783">
        <v>1</v>
      </c>
    </row>
    <row r="784" spans="1:2" x14ac:dyDescent="0.3">
      <c r="A784" s="2">
        <v>781</v>
      </c>
      <c r="B784">
        <v>2</v>
      </c>
    </row>
    <row r="785" spans="1:2" x14ac:dyDescent="0.3">
      <c r="A785" s="2">
        <v>782</v>
      </c>
      <c r="B785">
        <v>2</v>
      </c>
    </row>
    <row r="786" spans="1:2" x14ac:dyDescent="0.3">
      <c r="A786" s="2">
        <v>783</v>
      </c>
      <c r="B786">
        <v>2</v>
      </c>
    </row>
    <row r="787" spans="1:2" x14ac:dyDescent="0.3">
      <c r="A787" s="2">
        <v>784</v>
      </c>
      <c r="B787">
        <v>2</v>
      </c>
    </row>
    <row r="788" spans="1:2" x14ac:dyDescent="0.3">
      <c r="A788" s="2">
        <v>785</v>
      </c>
      <c r="B788">
        <v>2</v>
      </c>
    </row>
    <row r="789" spans="1:2" x14ac:dyDescent="0.3">
      <c r="A789" s="2">
        <v>786</v>
      </c>
      <c r="B789">
        <v>2</v>
      </c>
    </row>
    <row r="790" spans="1:2" x14ac:dyDescent="0.3">
      <c r="A790" s="2">
        <v>787</v>
      </c>
      <c r="B790">
        <v>2</v>
      </c>
    </row>
    <row r="791" spans="1:2" x14ac:dyDescent="0.3">
      <c r="A791" s="2">
        <v>788</v>
      </c>
      <c r="B791">
        <v>2</v>
      </c>
    </row>
    <row r="792" spans="1:2" x14ac:dyDescent="0.3">
      <c r="A792" s="2">
        <v>789</v>
      </c>
      <c r="B792">
        <v>2</v>
      </c>
    </row>
    <row r="793" spans="1:2" x14ac:dyDescent="0.3">
      <c r="A793" s="2">
        <v>790</v>
      </c>
      <c r="B793">
        <v>2</v>
      </c>
    </row>
    <row r="794" spans="1:2" x14ac:dyDescent="0.3">
      <c r="A794" s="2">
        <v>791</v>
      </c>
      <c r="B794">
        <v>2</v>
      </c>
    </row>
    <row r="795" spans="1:2" x14ac:dyDescent="0.3">
      <c r="A795" s="2">
        <v>792</v>
      </c>
      <c r="B795">
        <v>2</v>
      </c>
    </row>
    <row r="796" spans="1:2" x14ac:dyDescent="0.3">
      <c r="A796" s="2">
        <v>793</v>
      </c>
      <c r="B796">
        <v>2</v>
      </c>
    </row>
    <row r="797" spans="1:2" x14ac:dyDescent="0.3">
      <c r="A797" s="2">
        <v>794</v>
      </c>
      <c r="B797">
        <v>2</v>
      </c>
    </row>
    <row r="798" spans="1:2" x14ac:dyDescent="0.3">
      <c r="A798" s="2">
        <v>795</v>
      </c>
      <c r="B798">
        <v>2</v>
      </c>
    </row>
    <row r="799" spans="1:2" x14ac:dyDescent="0.3">
      <c r="A799" s="2">
        <v>796</v>
      </c>
      <c r="B799">
        <v>2</v>
      </c>
    </row>
    <row r="800" spans="1:2" x14ac:dyDescent="0.3">
      <c r="A800" s="2">
        <v>797</v>
      </c>
      <c r="B800">
        <v>2</v>
      </c>
    </row>
    <row r="801" spans="1:2" x14ac:dyDescent="0.3">
      <c r="A801" s="2">
        <v>798</v>
      </c>
      <c r="B801">
        <v>2</v>
      </c>
    </row>
    <row r="802" spans="1:2" x14ac:dyDescent="0.3">
      <c r="A802" s="2">
        <v>799</v>
      </c>
      <c r="B802">
        <v>2</v>
      </c>
    </row>
    <row r="803" spans="1:2" x14ac:dyDescent="0.3">
      <c r="A803" s="2">
        <v>800</v>
      </c>
      <c r="B803">
        <v>2</v>
      </c>
    </row>
    <row r="804" spans="1:2" x14ac:dyDescent="0.3">
      <c r="A804" s="2">
        <v>801</v>
      </c>
      <c r="B804">
        <v>2</v>
      </c>
    </row>
    <row r="805" spans="1:2" x14ac:dyDescent="0.3">
      <c r="A805" s="2">
        <v>802</v>
      </c>
      <c r="B805">
        <v>2</v>
      </c>
    </row>
    <row r="806" spans="1:2" x14ac:dyDescent="0.3">
      <c r="A806" s="2">
        <v>803</v>
      </c>
      <c r="B806">
        <v>2</v>
      </c>
    </row>
    <row r="807" spans="1:2" x14ac:dyDescent="0.3">
      <c r="A807" s="2">
        <v>804</v>
      </c>
      <c r="B807">
        <v>2</v>
      </c>
    </row>
    <row r="808" spans="1:2" x14ac:dyDescent="0.3">
      <c r="A808" s="2">
        <v>805</v>
      </c>
      <c r="B808">
        <v>2</v>
      </c>
    </row>
    <row r="809" spans="1:2" x14ac:dyDescent="0.3">
      <c r="A809" s="2">
        <v>806</v>
      </c>
      <c r="B809">
        <v>2</v>
      </c>
    </row>
    <row r="810" spans="1:2" x14ac:dyDescent="0.3">
      <c r="A810" s="2">
        <v>807</v>
      </c>
      <c r="B810">
        <v>2</v>
      </c>
    </row>
    <row r="811" spans="1:2" x14ac:dyDescent="0.3">
      <c r="A811" s="2">
        <v>808</v>
      </c>
      <c r="B811">
        <v>2</v>
      </c>
    </row>
    <row r="812" spans="1:2" x14ac:dyDescent="0.3">
      <c r="A812" s="2">
        <v>809</v>
      </c>
      <c r="B812">
        <v>2</v>
      </c>
    </row>
    <row r="813" spans="1:2" x14ac:dyDescent="0.3">
      <c r="A813" s="2">
        <v>810</v>
      </c>
      <c r="B813">
        <v>2</v>
      </c>
    </row>
    <row r="814" spans="1:2" x14ac:dyDescent="0.3">
      <c r="A814" s="2">
        <v>811</v>
      </c>
      <c r="B814">
        <v>2</v>
      </c>
    </row>
    <row r="815" spans="1:2" x14ac:dyDescent="0.3">
      <c r="A815" s="2">
        <v>812</v>
      </c>
      <c r="B815">
        <v>2</v>
      </c>
    </row>
    <row r="816" spans="1:2" x14ac:dyDescent="0.3">
      <c r="A816" s="2">
        <v>813</v>
      </c>
      <c r="B816">
        <v>2</v>
      </c>
    </row>
    <row r="817" spans="1:2" x14ac:dyDescent="0.3">
      <c r="A817" s="2">
        <v>814</v>
      </c>
      <c r="B817">
        <v>2</v>
      </c>
    </row>
    <row r="818" spans="1:2" x14ac:dyDescent="0.3">
      <c r="A818" s="2">
        <v>815</v>
      </c>
      <c r="B818">
        <v>2</v>
      </c>
    </row>
    <row r="819" spans="1:2" x14ac:dyDescent="0.3">
      <c r="A819" s="2">
        <v>816</v>
      </c>
      <c r="B819">
        <v>2</v>
      </c>
    </row>
    <row r="820" spans="1:2" x14ac:dyDescent="0.3">
      <c r="A820" s="2">
        <v>817</v>
      </c>
      <c r="B820">
        <v>2</v>
      </c>
    </row>
    <row r="821" spans="1:2" x14ac:dyDescent="0.3">
      <c r="A821" s="2">
        <v>818</v>
      </c>
      <c r="B821">
        <v>2</v>
      </c>
    </row>
    <row r="822" spans="1:2" x14ac:dyDescent="0.3">
      <c r="A822" s="2">
        <v>819</v>
      </c>
      <c r="B822">
        <v>2</v>
      </c>
    </row>
    <row r="823" spans="1:2" x14ac:dyDescent="0.3">
      <c r="A823" s="2">
        <v>820</v>
      </c>
      <c r="B823">
        <v>2</v>
      </c>
    </row>
    <row r="824" spans="1:2" x14ac:dyDescent="0.3">
      <c r="A824" s="2">
        <v>821</v>
      </c>
      <c r="B824">
        <v>2</v>
      </c>
    </row>
    <row r="825" spans="1:2" x14ac:dyDescent="0.3">
      <c r="A825" s="2">
        <v>822</v>
      </c>
      <c r="B825">
        <v>2</v>
      </c>
    </row>
    <row r="826" spans="1:2" x14ac:dyDescent="0.3">
      <c r="A826" s="2">
        <v>823</v>
      </c>
      <c r="B826">
        <v>2</v>
      </c>
    </row>
    <row r="827" spans="1:2" x14ac:dyDescent="0.3">
      <c r="A827" s="2">
        <v>824</v>
      </c>
      <c r="B827">
        <v>2</v>
      </c>
    </row>
    <row r="828" spans="1:2" x14ac:dyDescent="0.3">
      <c r="A828" s="2">
        <v>825</v>
      </c>
      <c r="B828">
        <v>2</v>
      </c>
    </row>
    <row r="829" spans="1:2" x14ac:dyDescent="0.3">
      <c r="A829" s="2">
        <v>826</v>
      </c>
      <c r="B829">
        <v>2</v>
      </c>
    </row>
    <row r="830" spans="1:2" x14ac:dyDescent="0.3">
      <c r="A830" s="2">
        <v>827</v>
      </c>
      <c r="B830">
        <v>2</v>
      </c>
    </row>
    <row r="831" spans="1:2" x14ac:dyDescent="0.3">
      <c r="A831" s="2">
        <v>828</v>
      </c>
      <c r="B831">
        <v>2</v>
      </c>
    </row>
    <row r="832" spans="1:2" x14ac:dyDescent="0.3">
      <c r="A832" s="2">
        <v>829</v>
      </c>
      <c r="B832">
        <v>2</v>
      </c>
    </row>
    <row r="833" spans="1:2" x14ac:dyDescent="0.3">
      <c r="A833" s="2">
        <v>830</v>
      </c>
      <c r="B833">
        <v>2</v>
      </c>
    </row>
    <row r="834" spans="1:2" x14ac:dyDescent="0.3">
      <c r="A834" s="2">
        <v>831</v>
      </c>
      <c r="B834">
        <v>2</v>
      </c>
    </row>
    <row r="835" spans="1:2" x14ac:dyDescent="0.3">
      <c r="A835" s="2">
        <v>832</v>
      </c>
      <c r="B835">
        <v>2</v>
      </c>
    </row>
    <row r="836" spans="1:2" x14ac:dyDescent="0.3">
      <c r="A836" s="2">
        <v>833</v>
      </c>
      <c r="B836">
        <v>2</v>
      </c>
    </row>
    <row r="837" spans="1:2" x14ac:dyDescent="0.3">
      <c r="A837" s="2">
        <v>834</v>
      </c>
      <c r="B837">
        <v>2</v>
      </c>
    </row>
    <row r="838" spans="1:2" x14ac:dyDescent="0.3">
      <c r="A838" s="2">
        <v>835</v>
      </c>
      <c r="B838">
        <v>2</v>
      </c>
    </row>
    <row r="839" spans="1:2" x14ac:dyDescent="0.3">
      <c r="A839" s="2">
        <v>836</v>
      </c>
      <c r="B839">
        <v>2</v>
      </c>
    </row>
    <row r="840" spans="1:2" x14ac:dyDescent="0.3">
      <c r="A840" s="2">
        <v>837</v>
      </c>
      <c r="B840">
        <v>2</v>
      </c>
    </row>
    <row r="841" spans="1:2" x14ac:dyDescent="0.3">
      <c r="A841" s="2">
        <v>838</v>
      </c>
      <c r="B841">
        <v>2</v>
      </c>
    </row>
    <row r="842" spans="1:2" x14ac:dyDescent="0.3">
      <c r="A842" s="2">
        <v>839</v>
      </c>
      <c r="B842">
        <v>2</v>
      </c>
    </row>
    <row r="843" spans="1:2" x14ac:dyDescent="0.3">
      <c r="A843" s="2">
        <v>840</v>
      </c>
      <c r="B843">
        <v>2</v>
      </c>
    </row>
    <row r="844" spans="1:2" x14ac:dyDescent="0.3">
      <c r="A844" s="2">
        <v>841</v>
      </c>
      <c r="B844">
        <v>2</v>
      </c>
    </row>
    <row r="845" spans="1:2" x14ac:dyDescent="0.3">
      <c r="A845" s="2">
        <v>842</v>
      </c>
      <c r="B845">
        <v>2</v>
      </c>
    </row>
    <row r="846" spans="1:2" x14ac:dyDescent="0.3">
      <c r="A846" s="2">
        <v>843</v>
      </c>
      <c r="B846">
        <v>2</v>
      </c>
    </row>
    <row r="847" spans="1:2" x14ac:dyDescent="0.3">
      <c r="A847" s="2">
        <v>844</v>
      </c>
      <c r="B847">
        <v>2</v>
      </c>
    </row>
    <row r="848" spans="1:2" x14ac:dyDescent="0.3">
      <c r="A848" s="2">
        <v>845</v>
      </c>
      <c r="B848">
        <v>2</v>
      </c>
    </row>
    <row r="849" spans="1:2" x14ac:dyDescent="0.3">
      <c r="A849" s="2">
        <v>846</v>
      </c>
      <c r="B849">
        <v>2</v>
      </c>
    </row>
    <row r="850" spans="1:2" x14ac:dyDescent="0.3">
      <c r="A850" s="2">
        <v>847</v>
      </c>
      <c r="B850">
        <v>2</v>
      </c>
    </row>
    <row r="851" spans="1:2" x14ac:dyDescent="0.3">
      <c r="A851" s="2">
        <v>848</v>
      </c>
      <c r="B851">
        <v>2</v>
      </c>
    </row>
    <row r="852" spans="1:2" x14ac:dyDescent="0.3">
      <c r="A852" s="2">
        <v>849</v>
      </c>
      <c r="B852">
        <v>2</v>
      </c>
    </row>
    <row r="853" spans="1:2" x14ac:dyDescent="0.3">
      <c r="A853" s="2">
        <v>850</v>
      </c>
      <c r="B853">
        <v>2</v>
      </c>
    </row>
    <row r="854" spans="1:2" x14ac:dyDescent="0.3">
      <c r="A854" s="2">
        <v>851</v>
      </c>
      <c r="B854">
        <v>2</v>
      </c>
    </row>
    <row r="855" spans="1:2" x14ac:dyDescent="0.3">
      <c r="A855" s="2">
        <v>852</v>
      </c>
      <c r="B855">
        <v>2</v>
      </c>
    </row>
    <row r="856" spans="1:2" x14ac:dyDescent="0.3">
      <c r="A856" s="2">
        <v>853</v>
      </c>
      <c r="B856">
        <v>2</v>
      </c>
    </row>
    <row r="857" spans="1:2" x14ac:dyDescent="0.3">
      <c r="A857" s="2">
        <v>854</v>
      </c>
      <c r="B857">
        <v>2</v>
      </c>
    </row>
    <row r="858" spans="1:2" x14ac:dyDescent="0.3">
      <c r="A858" s="2">
        <v>855</v>
      </c>
      <c r="B858">
        <v>2</v>
      </c>
    </row>
    <row r="859" spans="1:2" x14ac:dyDescent="0.3">
      <c r="A859" s="2">
        <v>856</v>
      </c>
      <c r="B859">
        <v>2</v>
      </c>
    </row>
    <row r="860" spans="1:2" x14ac:dyDescent="0.3">
      <c r="A860" s="2">
        <v>857</v>
      </c>
      <c r="B860">
        <v>2</v>
      </c>
    </row>
    <row r="861" spans="1:2" x14ac:dyDescent="0.3">
      <c r="A861" s="2">
        <v>858</v>
      </c>
      <c r="B861">
        <v>2</v>
      </c>
    </row>
    <row r="862" spans="1:2" x14ac:dyDescent="0.3">
      <c r="A862" s="2">
        <v>859</v>
      </c>
      <c r="B862">
        <v>2</v>
      </c>
    </row>
    <row r="863" spans="1:2" x14ac:dyDescent="0.3">
      <c r="A863" s="2">
        <v>860</v>
      </c>
      <c r="B863">
        <v>2</v>
      </c>
    </row>
    <row r="864" spans="1:2" x14ac:dyDescent="0.3">
      <c r="A864" s="2">
        <v>861</v>
      </c>
      <c r="B864">
        <v>2</v>
      </c>
    </row>
    <row r="865" spans="1:2" x14ac:dyDescent="0.3">
      <c r="A865" s="2">
        <v>862</v>
      </c>
      <c r="B865">
        <v>2</v>
      </c>
    </row>
    <row r="866" spans="1:2" x14ac:dyDescent="0.3">
      <c r="A866" s="2">
        <v>863</v>
      </c>
      <c r="B866">
        <v>2</v>
      </c>
    </row>
    <row r="867" spans="1:2" x14ac:dyDescent="0.3">
      <c r="A867" s="2">
        <v>864</v>
      </c>
      <c r="B867">
        <v>2</v>
      </c>
    </row>
    <row r="868" spans="1:2" x14ac:dyDescent="0.3">
      <c r="A868" s="2">
        <v>865</v>
      </c>
      <c r="B868">
        <v>2</v>
      </c>
    </row>
    <row r="869" spans="1:2" x14ac:dyDescent="0.3">
      <c r="A869" s="2">
        <v>866</v>
      </c>
      <c r="B869">
        <v>2</v>
      </c>
    </row>
    <row r="870" spans="1:2" x14ac:dyDescent="0.3">
      <c r="A870" s="2">
        <v>867</v>
      </c>
      <c r="B870">
        <v>2</v>
      </c>
    </row>
    <row r="871" spans="1:2" x14ac:dyDescent="0.3">
      <c r="A871" s="2">
        <v>868</v>
      </c>
      <c r="B871">
        <v>2</v>
      </c>
    </row>
    <row r="872" spans="1:2" x14ac:dyDescent="0.3">
      <c r="A872" s="2">
        <v>869</v>
      </c>
      <c r="B872">
        <v>2</v>
      </c>
    </row>
    <row r="873" spans="1:2" x14ac:dyDescent="0.3">
      <c r="A873" s="2">
        <v>870</v>
      </c>
      <c r="B873">
        <v>2</v>
      </c>
    </row>
    <row r="874" spans="1:2" x14ac:dyDescent="0.3">
      <c r="A874" s="2">
        <v>871</v>
      </c>
      <c r="B874">
        <v>2</v>
      </c>
    </row>
    <row r="875" spans="1:2" x14ac:dyDescent="0.3">
      <c r="A875" s="2">
        <v>872</v>
      </c>
      <c r="B875">
        <v>2</v>
      </c>
    </row>
    <row r="876" spans="1:2" x14ac:dyDescent="0.3">
      <c r="A876" s="2">
        <v>873</v>
      </c>
      <c r="B876">
        <v>2</v>
      </c>
    </row>
    <row r="877" spans="1:2" x14ac:dyDescent="0.3">
      <c r="A877" s="2">
        <v>874</v>
      </c>
      <c r="B877">
        <v>2</v>
      </c>
    </row>
    <row r="878" spans="1:2" x14ac:dyDescent="0.3">
      <c r="A878" s="2">
        <v>875</v>
      </c>
      <c r="B878">
        <v>2</v>
      </c>
    </row>
    <row r="879" spans="1:2" x14ac:dyDescent="0.3">
      <c r="A879" s="2">
        <v>876</v>
      </c>
      <c r="B879">
        <v>2</v>
      </c>
    </row>
    <row r="880" spans="1:2" x14ac:dyDescent="0.3">
      <c r="A880" s="2">
        <v>877</v>
      </c>
      <c r="B880">
        <v>2</v>
      </c>
    </row>
    <row r="881" spans="1:2" x14ac:dyDescent="0.3">
      <c r="A881" s="2">
        <v>878</v>
      </c>
      <c r="B881">
        <v>2</v>
      </c>
    </row>
    <row r="882" spans="1:2" x14ac:dyDescent="0.3">
      <c r="A882" s="2">
        <v>879</v>
      </c>
      <c r="B882">
        <v>2</v>
      </c>
    </row>
    <row r="883" spans="1:2" x14ac:dyDescent="0.3">
      <c r="A883" s="2">
        <v>880</v>
      </c>
      <c r="B883">
        <v>2</v>
      </c>
    </row>
    <row r="884" spans="1:2" x14ac:dyDescent="0.3">
      <c r="A884" s="2">
        <v>881</v>
      </c>
      <c r="B884">
        <v>2</v>
      </c>
    </row>
    <row r="885" spans="1:2" x14ac:dyDescent="0.3">
      <c r="A885" s="2">
        <v>882</v>
      </c>
      <c r="B885">
        <v>2</v>
      </c>
    </row>
    <row r="886" spans="1:2" x14ac:dyDescent="0.3">
      <c r="A886" s="2">
        <v>883</v>
      </c>
      <c r="B886">
        <v>2</v>
      </c>
    </row>
    <row r="887" spans="1:2" x14ac:dyDescent="0.3">
      <c r="A887" s="2">
        <v>884</v>
      </c>
      <c r="B887">
        <v>2</v>
      </c>
    </row>
    <row r="888" spans="1:2" x14ac:dyDescent="0.3">
      <c r="A888" s="2">
        <v>885</v>
      </c>
      <c r="B888">
        <v>2</v>
      </c>
    </row>
    <row r="889" spans="1:2" x14ac:dyDescent="0.3">
      <c r="A889" s="2">
        <v>886</v>
      </c>
      <c r="B889">
        <v>2</v>
      </c>
    </row>
    <row r="890" spans="1:2" x14ac:dyDescent="0.3">
      <c r="A890" s="2">
        <v>887</v>
      </c>
      <c r="B890">
        <v>2</v>
      </c>
    </row>
    <row r="891" spans="1:2" x14ac:dyDescent="0.3">
      <c r="A891" s="2">
        <v>888</v>
      </c>
      <c r="B891">
        <v>2</v>
      </c>
    </row>
    <row r="892" spans="1:2" x14ac:dyDescent="0.3">
      <c r="A892" s="2">
        <v>889</v>
      </c>
      <c r="B892">
        <v>2</v>
      </c>
    </row>
    <row r="893" spans="1:2" x14ac:dyDescent="0.3">
      <c r="A893" s="2">
        <v>890</v>
      </c>
      <c r="B893">
        <v>2</v>
      </c>
    </row>
    <row r="894" spans="1:2" x14ac:dyDescent="0.3">
      <c r="A894" s="2">
        <v>891</v>
      </c>
      <c r="B894">
        <v>2</v>
      </c>
    </row>
    <row r="895" spans="1:2" x14ac:dyDescent="0.3">
      <c r="A895" s="2">
        <v>892</v>
      </c>
      <c r="B895">
        <v>2</v>
      </c>
    </row>
    <row r="896" spans="1:2" x14ac:dyDescent="0.3">
      <c r="A896" s="2">
        <v>893</v>
      </c>
      <c r="B896">
        <v>2</v>
      </c>
    </row>
    <row r="897" spans="1:2" x14ac:dyDescent="0.3">
      <c r="A897" s="2">
        <v>894</v>
      </c>
      <c r="B897">
        <v>2</v>
      </c>
    </row>
    <row r="898" spans="1:2" x14ac:dyDescent="0.3">
      <c r="A898" s="2">
        <v>895</v>
      </c>
      <c r="B898">
        <v>2</v>
      </c>
    </row>
    <row r="899" spans="1:2" x14ac:dyDescent="0.3">
      <c r="A899" s="2">
        <v>896</v>
      </c>
      <c r="B899">
        <v>2</v>
      </c>
    </row>
    <row r="900" spans="1:2" x14ac:dyDescent="0.3">
      <c r="A900" s="2">
        <v>897</v>
      </c>
      <c r="B900">
        <v>2</v>
      </c>
    </row>
    <row r="901" spans="1:2" x14ac:dyDescent="0.3">
      <c r="A901" s="2">
        <v>898</v>
      </c>
      <c r="B901">
        <v>2</v>
      </c>
    </row>
    <row r="902" spans="1:2" x14ac:dyDescent="0.3">
      <c r="A902" s="2">
        <v>899</v>
      </c>
      <c r="B902">
        <v>2</v>
      </c>
    </row>
    <row r="903" spans="1:2" x14ac:dyDescent="0.3">
      <c r="A903" s="2">
        <v>900</v>
      </c>
      <c r="B903">
        <v>2</v>
      </c>
    </row>
    <row r="904" spans="1:2" x14ac:dyDescent="0.3">
      <c r="A904" s="2">
        <v>901</v>
      </c>
      <c r="B904">
        <v>2</v>
      </c>
    </row>
    <row r="905" spans="1:2" x14ac:dyDescent="0.3">
      <c r="A905" s="2">
        <v>902</v>
      </c>
      <c r="B905">
        <v>2</v>
      </c>
    </row>
    <row r="906" spans="1:2" x14ac:dyDescent="0.3">
      <c r="A906" s="2">
        <v>903</v>
      </c>
      <c r="B906">
        <v>2</v>
      </c>
    </row>
    <row r="907" spans="1:2" x14ac:dyDescent="0.3">
      <c r="A907" s="2">
        <v>904</v>
      </c>
      <c r="B907">
        <v>2</v>
      </c>
    </row>
    <row r="908" spans="1:2" x14ac:dyDescent="0.3">
      <c r="A908" s="2">
        <v>905</v>
      </c>
      <c r="B908">
        <v>2</v>
      </c>
    </row>
    <row r="909" spans="1:2" x14ac:dyDescent="0.3">
      <c r="A909" s="2">
        <v>906</v>
      </c>
      <c r="B909">
        <v>2</v>
      </c>
    </row>
    <row r="910" spans="1:2" x14ac:dyDescent="0.3">
      <c r="A910" s="2">
        <v>907</v>
      </c>
      <c r="B910">
        <v>2</v>
      </c>
    </row>
    <row r="911" spans="1:2" x14ac:dyDescent="0.3">
      <c r="A911" s="2">
        <v>908</v>
      </c>
      <c r="B911">
        <v>2</v>
      </c>
    </row>
    <row r="912" spans="1:2" x14ac:dyDescent="0.3">
      <c r="A912" s="2">
        <v>909</v>
      </c>
      <c r="B912">
        <v>2</v>
      </c>
    </row>
    <row r="913" spans="1:2" x14ac:dyDescent="0.3">
      <c r="A913" s="2">
        <v>910</v>
      </c>
      <c r="B913">
        <v>2</v>
      </c>
    </row>
    <row r="914" spans="1:2" x14ac:dyDescent="0.3">
      <c r="A914" s="2">
        <v>911</v>
      </c>
      <c r="B914">
        <v>2</v>
      </c>
    </row>
    <row r="915" spans="1:2" x14ac:dyDescent="0.3">
      <c r="A915" s="2">
        <v>912</v>
      </c>
      <c r="B915">
        <v>2</v>
      </c>
    </row>
    <row r="916" spans="1:2" x14ac:dyDescent="0.3">
      <c r="A916" s="2">
        <v>913</v>
      </c>
      <c r="B916">
        <v>2</v>
      </c>
    </row>
    <row r="917" spans="1:2" x14ac:dyDescent="0.3">
      <c r="A917" s="2">
        <v>914</v>
      </c>
      <c r="B917">
        <v>2</v>
      </c>
    </row>
    <row r="918" spans="1:2" x14ac:dyDescent="0.3">
      <c r="A918" s="2">
        <v>915</v>
      </c>
      <c r="B918">
        <v>2</v>
      </c>
    </row>
    <row r="919" spans="1:2" x14ac:dyDescent="0.3">
      <c r="A919" s="2">
        <v>916</v>
      </c>
      <c r="B919">
        <v>2</v>
      </c>
    </row>
    <row r="920" spans="1:2" x14ac:dyDescent="0.3">
      <c r="A920" s="2">
        <v>917</v>
      </c>
      <c r="B920">
        <v>2</v>
      </c>
    </row>
    <row r="921" spans="1:2" x14ac:dyDescent="0.3">
      <c r="A921" s="2">
        <v>918</v>
      </c>
      <c r="B921">
        <v>2</v>
      </c>
    </row>
    <row r="922" spans="1:2" x14ac:dyDescent="0.3">
      <c r="A922" s="2">
        <v>919</v>
      </c>
      <c r="B922">
        <v>2</v>
      </c>
    </row>
    <row r="923" spans="1:2" x14ac:dyDescent="0.3">
      <c r="A923" s="2">
        <v>920</v>
      </c>
      <c r="B923">
        <v>2</v>
      </c>
    </row>
    <row r="924" spans="1:2" x14ac:dyDescent="0.3">
      <c r="A924" s="2">
        <v>921</v>
      </c>
      <c r="B924">
        <v>2</v>
      </c>
    </row>
    <row r="925" spans="1:2" x14ac:dyDescent="0.3">
      <c r="A925" s="2">
        <v>922</v>
      </c>
      <c r="B925">
        <v>2</v>
      </c>
    </row>
    <row r="926" spans="1:2" x14ac:dyDescent="0.3">
      <c r="A926" s="2">
        <v>923</v>
      </c>
      <c r="B926">
        <v>2</v>
      </c>
    </row>
    <row r="927" spans="1:2" x14ac:dyDescent="0.3">
      <c r="A927" s="2">
        <v>924</v>
      </c>
      <c r="B927">
        <v>2</v>
      </c>
    </row>
    <row r="928" spans="1:2" x14ac:dyDescent="0.3">
      <c r="A928" s="2">
        <v>925</v>
      </c>
      <c r="B928">
        <v>2</v>
      </c>
    </row>
    <row r="929" spans="1:2" x14ac:dyDescent="0.3">
      <c r="A929" s="2">
        <v>926</v>
      </c>
      <c r="B929">
        <v>2</v>
      </c>
    </row>
    <row r="930" spans="1:2" x14ac:dyDescent="0.3">
      <c r="A930" s="2">
        <v>927</v>
      </c>
      <c r="B930">
        <v>2</v>
      </c>
    </row>
    <row r="931" spans="1:2" x14ac:dyDescent="0.3">
      <c r="A931" s="2">
        <v>928</v>
      </c>
      <c r="B931">
        <v>2</v>
      </c>
    </row>
    <row r="932" spans="1:2" x14ac:dyDescent="0.3">
      <c r="A932" s="2">
        <v>929</v>
      </c>
      <c r="B932">
        <v>2</v>
      </c>
    </row>
    <row r="933" spans="1:2" x14ac:dyDescent="0.3">
      <c r="A933" s="2">
        <v>930</v>
      </c>
      <c r="B933">
        <v>2</v>
      </c>
    </row>
    <row r="934" spans="1:2" x14ac:dyDescent="0.3">
      <c r="A934" s="2">
        <v>931</v>
      </c>
      <c r="B934">
        <v>2</v>
      </c>
    </row>
    <row r="935" spans="1:2" x14ac:dyDescent="0.3">
      <c r="A935" s="2">
        <v>932</v>
      </c>
      <c r="B935">
        <v>2</v>
      </c>
    </row>
    <row r="936" spans="1:2" x14ac:dyDescent="0.3">
      <c r="A936" s="2">
        <v>933</v>
      </c>
      <c r="B936">
        <v>2</v>
      </c>
    </row>
    <row r="937" spans="1:2" x14ac:dyDescent="0.3">
      <c r="A937" s="2">
        <v>934</v>
      </c>
      <c r="B937">
        <v>2</v>
      </c>
    </row>
    <row r="938" spans="1:2" x14ac:dyDescent="0.3">
      <c r="A938" s="2">
        <v>935</v>
      </c>
      <c r="B938">
        <v>2</v>
      </c>
    </row>
    <row r="939" spans="1:2" x14ac:dyDescent="0.3">
      <c r="A939" s="2">
        <v>936</v>
      </c>
      <c r="B939">
        <v>2</v>
      </c>
    </row>
    <row r="940" spans="1:2" x14ac:dyDescent="0.3">
      <c r="A940" s="2">
        <v>937</v>
      </c>
      <c r="B940">
        <v>2</v>
      </c>
    </row>
    <row r="941" spans="1:2" x14ac:dyDescent="0.3">
      <c r="A941" s="2">
        <v>938</v>
      </c>
      <c r="B941">
        <v>2</v>
      </c>
    </row>
    <row r="942" spans="1:2" x14ac:dyDescent="0.3">
      <c r="A942" s="2">
        <v>939</v>
      </c>
      <c r="B942">
        <v>2</v>
      </c>
    </row>
    <row r="943" spans="1:2" x14ac:dyDescent="0.3">
      <c r="A943" s="2">
        <v>940</v>
      </c>
      <c r="B943">
        <v>2</v>
      </c>
    </row>
    <row r="944" spans="1:2" x14ac:dyDescent="0.3">
      <c r="A944" s="2">
        <v>941</v>
      </c>
      <c r="B944">
        <v>2</v>
      </c>
    </row>
    <row r="945" spans="1:2" x14ac:dyDescent="0.3">
      <c r="A945" s="2">
        <v>942</v>
      </c>
      <c r="B945">
        <v>2</v>
      </c>
    </row>
    <row r="946" spans="1:2" x14ac:dyDescent="0.3">
      <c r="A946" s="2">
        <v>943</v>
      </c>
      <c r="B946">
        <v>2</v>
      </c>
    </row>
    <row r="947" spans="1:2" x14ac:dyDescent="0.3">
      <c r="A947" s="2">
        <v>944</v>
      </c>
      <c r="B947">
        <v>2</v>
      </c>
    </row>
    <row r="948" spans="1:2" x14ac:dyDescent="0.3">
      <c r="A948" s="2">
        <v>945</v>
      </c>
      <c r="B948">
        <v>2</v>
      </c>
    </row>
    <row r="949" spans="1:2" x14ac:dyDescent="0.3">
      <c r="A949" s="2">
        <v>946</v>
      </c>
      <c r="B949">
        <v>2</v>
      </c>
    </row>
    <row r="950" spans="1:2" x14ac:dyDescent="0.3">
      <c r="A950" s="2">
        <v>947</v>
      </c>
      <c r="B950">
        <v>2</v>
      </c>
    </row>
    <row r="951" spans="1:2" x14ac:dyDescent="0.3">
      <c r="A951" s="2">
        <v>948</v>
      </c>
      <c r="B951">
        <v>2</v>
      </c>
    </row>
    <row r="952" spans="1:2" x14ac:dyDescent="0.3">
      <c r="A952" s="2">
        <v>949</v>
      </c>
      <c r="B952">
        <v>2</v>
      </c>
    </row>
    <row r="953" spans="1:2" x14ac:dyDescent="0.3">
      <c r="A953" s="2">
        <v>950</v>
      </c>
      <c r="B953">
        <v>2</v>
      </c>
    </row>
    <row r="954" spans="1:2" x14ac:dyDescent="0.3">
      <c r="A954" s="2">
        <v>951</v>
      </c>
      <c r="B954">
        <v>2</v>
      </c>
    </row>
    <row r="955" spans="1:2" x14ac:dyDescent="0.3">
      <c r="A955" s="2">
        <v>952</v>
      </c>
      <c r="B955">
        <v>2</v>
      </c>
    </row>
    <row r="956" spans="1:2" x14ac:dyDescent="0.3">
      <c r="A956" s="2">
        <v>953</v>
      </c>
      <c r="B956">
        <v>2</v>
      </c>
    </row>
    <row r="957" spans="1:2" x14ac:dyDescent="0.3">
      <c r="A957" s="2">
        <v>954</v>
      </c>
      <c r="B957">
        <v>2</v>
      </c>
    </row>
    <row r="958" spans="1:2" x14ac:dyDescent="0.3">
      <c r="A958" s="2">
        <v>955</v>
      </c>
      <c r="B958">
        <v>2</v>
      </c>
    </row>
    <row r="959" spans="1:2" x14ac:dyDescent="0.3">
      <c r="A959" s="2">
        <v>956</v>
      </c>
      <c r="B959">
        <v>2</v>
      </c>
    </row>
    <row r="960" spans="1:2" x14ac:dyDescent="0.3">
      <c r="A960" s="2">
        <v>957</v>
      </c>
      <c r="B960">
        <v>2</v>
      </c>
    </row>
    <row r="961" spans="1:2" x14ac:dyDescent="0.3">
      <c r="A961" s="2">
        <v>958</v>
      </c>
      <c r="B961">
        <v>2</v>
      </c>
    </row>
    <row r="962" spans="1:2" x14ac:dyDescent="0.3">
      <c r="A962" s="2">
        <v>959</v>
      </c>
      <c r="B962">
        <v>2</v>
      </c>
    </row>
    <row r="963" spans="1:2" x14ac:dyDescent="0.3">
      <c r="A963" s="2">
        <v>960</v>
      </c>
      <c r="B963">
        <v>2</v>
      </c>
    </row>
    <row r="964" spans="1:2" x14ac:dyDescent="0.3">
      <c r="A964" s="2">
        <v>961</v>
      </c>
      <c r="B964">
        <v>2</v>
      </c>
    </row>
    <row r="965" spans="1:2" x14ac:dyDescent="0.3">
      <c r="A965" s="2">
        <v>962</v>
      </c>
      <c r="B965">
        <v>2</v>
      </c>
    </row>
    <row r="966" spans="1:2" x14ac:dyDescent="0.3">
      <c r="A966" s="2">
        <v>963</v>
      </c>
      <c r="B966">
        <v>2</v>
      </c>
    </row>
    <row r="967" spans="1:2" x14ac:dyDescent="0.3">
      <c r="A967" s="2">
        <v>964</v>
      </c>
      <c r="B967">
        <v>2</v>
      </c>
    </row>
    <row r="968" spans="1:2" x14ac:dyDescent="0.3">
      <c r="A968" s="2">
        <v>965</v>
      </c>
      <c r="B968">
        <v>2</v>
      </c>
    </row>
    <row r="969" spans="1:2" x14ac:dyDescent="0.3">
      <c r="A969" s="2">
        <v>966</v>
      </c>
      <c r="B969">
        <v>2</v>
      </c>
    </row>
    <row r="970" spans="1:2" x14ac:dyDescent="0.3">
      <c r="A970" s="2">
        <v>967</v>
      </c>
      <c r="B970">
        <v>2</v>
      </c>
    </row>
    <row r="971" spans="1:2" x14ac:dyDescent="0.3">
      <c r="A971" s="2">
        <v>968</v>
      </c>
      <c r="B971">
        <v>2</v>
      </c>
    </row>
    <row r="972" spans="1:2" x14ac:dyDescent="0.3">
      <c r="A972" s="2">
        <v>969</v>
      </c>
      <c r="B972">
        <v>2</v>
      </c>
    </row>
    <row r="973" spans="1:2" x14ac:dyDescent="0.3">
      <c r="A973" s="2">
        <v>970</v>
      </c>
      <c r="B973">
        <v>2</v>
      </c>
    </row>
    <row r="974" spans="1:2" x14ac:dyDescent="0.3">
      <c r="A974" s="2">
        <v>971</v>
      </c>
      <c r="B974">
        <v>2</v>
      </c>
    </row>
    <row r="975" spans="1:2" x14ac:dyDescent="0.3">
      <c r="A975" s="2">
        <v>972</v>
      </c>
      <c r="B975">
        <v>2</v>
      </c>
    </row>
    <row r="976" spans="1:2" x14ac:dyDescent="0.3">
      <c r="A976" s="2">
        <v>973</v>
      </c>
      <c r="B976">
        <v>2</v>
      </c>
    </row>
    <row r="977" spans="1:2" x14ac:dyDescent="0.3">
      <c r="A977" s="2">
        <v>974</v>
      </c>
      <c r="B977">
        <v>2</v>
      </c>
    </row>
    <row r="978" spans="1:2" x14ac:dyDescent="0.3">
      <c r="A978" s="2">
        <v>975</v>
      </c>
      <c r="B978">
        <v>2</v>
      </c>
    </row>
    <row r="979" spans="1:2" x14ac:dyDescent="0.3">
      <c r="A979" s="2">
        <v>976</v>
      </c>
      <c r="B979">
        <v>2</v>
      </c>
    </row>
    <row r="980" spans="1:2" x14ac:dyDescent="0.3">
      <c r="A980" s="2">
        <v>977</v>
      </c>
      <c r="B980">
        <v>2</v>
      </c>
    </row>
    <row r="981" spans="1:2" x14ac:dyDescent="0.3">
      <c r="A981" s="2">
        <v>978</v>
      </c>
      <c r="B981">
        <v>2</v>
      </c>
    </row>
    <row r="982" spans="1:2" x14ac:dyDescent="0.3">
      <c r="A982" s="2">
        <v>979</v>
      </c>
      <c r="B982">
        <v>2</v>
      </c>
    </row>
    <row r="983" spans="1:2" x14ac:dyDescent="0.3">
      <c r="A983" s="2">
        <v>980</v>
      </c>
      <c r="B983">
        <v>2</v>
      </c>
    </row>
    <row r="984" spans="1:2" x14ac:dyDescent="0.3">
      <c r="A984" s="2">
        <v>981</v>
      </c>
      <c r="B984">
        <v>2</v>
      </c>
    </row>
    <row r="985" spans="1:2" x14ac:dyDescent="0.3">
      <c r="A985" s="2">
        <v>982</v>
      </c>
      <c r="B985">
        <v>2</v>
      </c>
    </row>
    <row r="986" spans="1:2" x14ac:dyDescent="0.3">
      <c r="A986" s="2">
        <v>983</v>
      </c>
      <c r="B986">
        <v>2</v>
      </c>
    </row>
    <row r="987" spans="1:2" x14ac:dyDescent="0.3">
      <c r="A987" s="2">
        <v>984</v>
      </c>
      <c r="B987">
        <v>2</v>
      </c>
    </row>
    <row r="988" spans="1:2" x14ac:dyDescent="0.3">
      <c r="A988" s="2">
        <v>985</v>
      </c>
      <c r="B988">
        <v>2</v>
      </c>
    </row>
    <row r="989" spans="1:2" x14ac:dyDescent="0.3">
      <c r="A989" s="2">
        <v>986</v>
      </c>
      <c r="B989">
        <v>2</v>
      </c>
    </row>
    <row r="990" spans="1:2" x14ac:dyDescent="0.3">
      <c r="A990" s="2">
        <v>987</v>
      </c>
      <c r="B990">
        <v>2</v>
      </c>
    </row>
    <row r="991" spans="1:2" x14ac:dyDescent="0.3">
      <c r="A991" s="2">
        <v>988</v>
      </c>
      <c r="B991">
        <v>2</v>
      </c>
    </row>
    <row r="992" spans="1:2" x14ac:dyDescent="0.3">
      <c r="A992" s="2">
        <v>989</v>
      </c>
      <c r="B992">
        <v>2</v>
      </c>
    </row>
    <row r="993" spans="1:2" x14ac:dyDescent="0.3">
      <c r="A993" s="2">
        <v>990</v>
      </c>
      <c r="B993">
        <v>2</v>
      </c>
    </row>
    <row r="994" spans="1:2" x14ac:dyDescent="0.3">
      <c r="A994" s="2">
        <v>991</v>
      </c>
      <c r="B994">
        <v>2</v>
      </c>
    </row>
    <row r="995" spans="1:2" x14ac:dyDescent="0.3">
      <c r="A995" s="2">
        <v>992</v>
      </c>
      <c r="B995">
        <v>2</v>
      </c>
    </row>
    <row r="996" spans="1:2" x14ac:dyDescent="0.3">
      <c r="A996" s="2">
        <v>993</v>
      </c>
      <c r="B996">
        <v>2</v>
      </c>
    </row>
    <row r="997" spans="1:2" x14ac:dyDescent="0.3">
      <c r="A997" s="2">
        <v>994</v>
      </c>
      <c r="B997">
        <v>2</v>
      </c>
    </row>
    <row r="998" spans="1:2" x14ac:dyDescent="0.3">
      <c r="A998" s="2">
        <v>995</v>
      </c>
      <c r="B998">
        <v>2</v>
      </c>
    </row>
    <row r="999" spans="1:2" x14ac:dyDescent="0.3">
      <c r="A999" s="2">
        <v>996</v>
      </c>
      <c r="B999">
        <v>2</v>
      </c>
    </row>
    <row r="1000" spans="1:2" x14ac:dyDescent="0.3">
      <c r="A1000" s="2">
        <v>997</v>
      </c>
      <c r="B1000">
        <v>2</v>
      </c>
    </row>
    <row r="1001" spans="1:2" x14ac:dyDescent="0.3">
      <c r="A1001" s="2">
        <v>998</v>
      </c>
      <c r="B1001">
        <v>2</v>
      </c>
    </row>
    <row r="1002" spans="1:2" x14ac:dyDescent="0.3">
      <c r="A1002" s="2">
        <v>999</v>
      </c>
      <c r="B1002">
        <v>2</v>
      </c>
    </row>
    <row r="1003" spans="1:2" x14ac:dyDescent="0.3">
      <c r="A1003" s="2">
        <v>1000</v>
      </c>
      <c r="B1003">
        <v>2</v>
      </c>
    </row>
    <row r="1004" spans="1:2" x14ac:dyDescent="0.3">
      <c r="A1004" s="2">
        <v>1001</v>
      </c>
      <c r="B1004">
        <v>2</v>
      </c>
    </row>
    <row r="1005" spans="1:2" x14ac:dyDescent="0.3">
      <c r="A1005" s="2">
        <v>1002</v>
      </c>
      <c r="B1005">
        <v>2</v>
      </c>
    </row>
    <row r="1006" spans="1:2" x14ac:dyDescent="0.3">
      <c r="A1006" s="2">
        <v>1003</v>
      </c>
      <c r="B1006">
        <v>2</v>
      </c>
    </row>
    <row r="1007" spans="1:2" x14ac:dyDescent="0.3">
      <c r="A1007" s="2">
        <v>1004</v>
      </c>
      <c r="B1007">
        <v>2</v>
      </c>
    </row>
    <row r="1008" spans="1:2" x14ac:dyDescent="0.3">
      <c r="A1008" s="2">
        <v>1005</v>
      </c>
      <c r="B1008">
        <v>2</v>
      </c>
    </row>
    <row r="1009" spans="1:2" x14ac:dyDescent="0.3">
      <c r="A1009" s="2">
        <v>1006</v>
      </c>
      <c r="B1009">
        <v>2</v>
      </c>
    </row>
    <row r="1010" spans="1:2" x14ac:dyDescent="0.3">
      <c r="A1010" s="2">
        <v>1007</v>
      </c>
      <c r="B1010">
        <v>2</v>
      </c>
    </row>
    <row r="1011" spans="1:2" x14ac:dyDescent="0.3">
      <c r="A1011" s="2">
        <v>1008</v>
      </c>
      <c r="B1011">
        <v>2</v>
      </c>
    </row>
    <row r="1012" spans="1:2" x14ac:dyDescent="0.3">
      <c r="A1012" s="2">
        <v>1009</v>
      </c>
      <c r="B1012">
        <v>2</v>
      </c>
    </row>
    <row r="1013" spans="1:2" x14ac:dyDescent="0.3">
      <c r="A1013" s="2">
        <v>1010</v>
      </c>
      <c r="B1013">
        <v>2</v>
      </c>
    </row>
    <row r="1014" spans="1:2" x14ac:dyDescent="0.3">
      <c r="A1014" s="2">
        <v>1011</v>
      </c>
      <c r="B1014">
        <v>2</v>
      </c>
    </row>
    <row r="1015" spans="1:2" x14ac:dyDescent="0.3">
      <c r="A1015" s="2">
        <v>1012</v>
      </c>
      <c r="B1015">
        <v>2</v>
      </c>
    </row>
    <row r="1016" spans="1:2" x14ac:dyDescent="0.3">
      <c r="A1016" s="2">
        <v>1013</v>
      </c>
      <c r="B1016">
        <v>2</v>
      </c>
    </row>
    <row r="1017" spans="1:2" x14ac:dyDescent="0.3">
      <c r="A1017" s="2">
        <v>1014</v>
      </c>
      <c r="B1017">
        <v>2</v>
      </c>
    </row>
    <row r="1018" spans="1:2" x14ac:dyDescent="0.3">
      <c r="A1018" s="2">
        <v>1015</v>
      </c>
      <c r="B1018">
        <v>2</v>
      </c>
    </row>
    <row r="1019" spans="1:2" x14ac:dyDescent="0.3">
      <c r="A1019" s="2">
        <v>1016</v>
      </c>
      <c r="B1019">
        <v>2</v>
      </c>
    </row>
    <row r="1020" spans="1:2" x14ac:dyDescent="0.3">
      <c r="A1020" s="2">
        <v>1017</v>
      </c>
      <c r="B1020">
        <v>2</v>
      </c>
    </row>
    <row r="1021" spans="1:2" x14ac:dyDescent="0.3">
      <c r="A1021" s="2">
        <v>1018</v>
      </c>
      <c r="B1021">
        <v>2</v>
      </c>
    </row>
    <row r="1022" spans="1:2" x14ac:dyDescent="0.3">
      <c r="A1022" s="2">
        <v>1019</v>
      </c>
      <c r="B1022">
        <v>2</v>
      </c>
    </row>
    <row r="1023" spans="1:2" x14ac:dyDescent="0.3">
      <c r="A1023" s="2">
        <v>1020</v>
      </c>
      <c r="B1023">
        <v>2</v>
      </c>
    </row>
    <row r="1024" spans="1:2" x14ac:dyDescent="0.3">
      <c r="A1024" s="2">
        <v>1021</v>
      </c>
      <c r="B1024">
        <v>3</v>
      </c>
    </row>
    <row r="1025" spans="1:2" x14ac:dyDescent="0.3">
      <c r="A1025" s="2">
        <v>1022</v>
      </c>
      <c r="B1025">
        <v>3</v>
      </c>
    </row>
    <row r="1026" spans="1:2" x14ac:dyDescent="0.3">
      <c r="A1026" s="2">
        <v>1023</v>
      </c>
      <c r="B1026">
        <v>3</v>
      </c>
    </row>
    <row r="1027" spans="1:2" x14ac:dyDescent="0.3">
      <c r="A1027" s="2">
        <v>1024</v>
      </c>
      <c r="B1027">
        <v>4</v>
      </c>
    </row>
    <row r="1028" spans="1:2" x14ac:dyDescent="0.3">
      <c r="A1028" s="2">
        <v>1025</v>
      </c>
      <c r="B1028">
        <v>4</v>
      </c>
    </row>
    <row r="1029" spans="1:2" x14ac:dyDescent="0.3">
      <c r="A1029" s="2">
        <v>1026</v>
      </c>
      <c r="B1029">
        <v>3</v>
      </c>
    </row>
    <row r="1030" spans="1:2" x14ac:dyDescent="0.3">
      <c r="A1030" s="2">
        <v>1027</v>
      </c>
      <c r="B1030">
        <v>3</v>
      </c>
    </row>
    <row r="1031" spans="1:2" x14ac:dyDescent="0.3">
      <c r="A1031" s="2">
        <v>1028</v>
      </c>
      <c r="B1031">
        <v>3</v>
      </c>
    </row>
    <row r="1032" spans="1:2" x14ac:dyDescent="0.3">
      <c r="A1032" s="2">
        <v>1029</v>
      </c>
      <c r="B1032">
        <v>4</v>
      </c>
    </row>
    <row r="1033" spans="1:2" x14ac:dyDescent="0.3">
      <c r="A1033" s="2">
        <v>1030</v>
      </c>
      <c r="B1033">
        <v>4</v>
      </c>
    </row>
    <row r="1034" spans="1:2" x14ac:dyDescent="0.3">
      <c r="A1034" s="2">
        <v>1031</v>
      </c>
      <c r="B1034">
        <v>4</v>
      </c>
    </row>
    <row r="1035" spans="1:2" x14ac:dyDescent="0.3">
      <c r="A1035" s="2">
        <v>1032</v>
      </c>
      <c r="B1035">
        <v>3</v>
      </c>
    </row>
    <row r="1036" spans="1:2" x14ac:dyDescent="0.3">
      <c r="A1036" s="2">
        <v>1033</v>
      </c>
      <c r="B1036">
        <v>4</v>
      </c>
    </row>
    <row r="1037" spans="1:2" x14ac:dyDescent="0.3">
      <c r="A1037" s="2">
        <v>1034</v>
      </c>
      <c r="B1037">
        <v>3</v>
      </c>
    </row>
    <row r="1038" spans="1:2" x14ac:dyDescent="0.3">
      <c r="A1038" s="2">
        <v>1035</v>
      </c>
      <c r="B1038">
        <v>3</v>
      </c>
    </row>
    <row r="1039" spans="1:2" x14ac:dyDescent="0.3">
      <c r="A1039" s="2">
        <v>1036</v>
      </c>
      <c r="B1039">
        <v>3</v>
      </c>
    </row>
    <row r="1040" spans="1:2" x14ac:dyDescent="0.3">
      <c r="A1040" s="2">
        <v>1037</v>
      </c>
      <c r="B1040">
        <v>3</v>
      </c>
    </row>
    <row r="1041" spans="1:2" x14ac:dyDescent="0.3">
      <c r="A1041" s="2">
        <v>1038</v>
      </c>
      <c r="B1041">
        <v>3</v>
      </c>
    </row>
    <row r="1042" spans="1:2" x14ac:dyDescent="0.3">
      <c r="A1042" s="2">
        <v>1039</v>
      </c>
      <c r="B1042">
        <v>4</v>
      </c>
    </row>
    <row r="1043" spans="1:2" x14ac:dyDescent="0.3">
      <c r="A1043" s="2">
        <v>1040</v>
      </c>
      <c r="B1043">
        <v>4</v>
      </c>
    </row>
    <row r="1044" spans="1:2" x14ac:dyDescent="0.3">
      <c r="A1044" s="2">
        <v>1041</v>
      </c>
      <c r="B1044">
        <v>4</v>
      </c>
    </row>
    <row r="1045" spans="1:2" x14ac:dyDescent="0.3">
      <c r="A1045" s="2">
        <v>1042</v>
      </c>
      <c r="B1045">
        <v>4</v>
      </c>
    </row>
    <row r="1046" spans="1:2" x14ac:dyDescent="0.3">
      <c r="A1046" s="2">
        <v>1043</v>
      </c>
      <c r="B1046">
        <v>3</v>
      </c>
    </row>
    <row r="1047" spans="1:2" x14ac:dyDescent="0.3">
      <c r="A1047" s="2">
        <v>1044</v>
      </c>
      <c r="B1047">
        <v>4</v>
      </c>
    </row>
    <row r="1048" spans="1:2" x14ac:dyDescent="0.3">
      <c r="A1048" s="2">
        <v>1045</v>
      </c>
      <c r="B1048">
        <v>4</v>
      </c>
    </row>
    <row r="1049" spans="1:2" x14ac:dyDescent="0.3">
      <c r="A1049" s="2">
        <v>1046</v>
      </c>
      <c r="B1049">
        <v>3</v>
      </c>
    </row>
    <row r="1050" spans="1:2" x14ac:dyDescent="0.3">
      <c r="A1050" s="2">
        <v>1047</v>
      </c>
      <c r="B1050">
        <v>4</v>
      </c>
    </row>
    <row r="1051" spans="1:2" x14ac:dyDescent="0.3">
      <c r="A1051" s="2">
        <v>1048</v>
      </c>
      <c r="B1051">
        <v>4</v>
      </c>
    </row>
    <row r="1052" spans="1:2" x14ac:dyDescent="0.3">
      <c r="A1052" s="2">
        <v>1049</v>
      </c>
      <c r="B1052">
        <v>4</v>
      </c>
    </row>
    <row r="1053" spans="1:2" x14ac:dyDescent="0.3">
      <c r="A1053" s="2">
        <v>1050</v>
      </c>
      <c r="B1053">
        <v>3</v>
      </c>
    </row>
    <row r="1054" spans="1:2" x14ac:dyDescent="0.3">
      <c r="A1054" s="2">
        <v>1051</v>
      </c>
      <c r="B1054">
        <v>4</v>
      </c>
    </row>
    <row r="1055" spans="1:2" x14ac:dyDescent="0.3">
      <c r="A1055" s="2">
        <v>1052</v>
      </c>
      <c r="B1055">
        <v>3</v>
      </c>
    </row>
    <row r="1056" spans="1:2" x14ac:dyDescent="0.3">
      <c r="A1056" s="2">
        <v>1053</v>
      </c>
      <c r="B1056">
        <v>4</v>
      </c>
    </row>
    <row r="1057" spans="1:2" x14ac:dyDescent="0.3">
      <c r="A1057" s="2">
        <v>1054</v>
      </c>
      <c r="B1057">
        <v>4</v>
      </c>
    </row>
    <row r="1058" spans="1:2" x14ac:dyDescent="0.3">
      <c r="A1058" s="2">
        <v>1055</v>
      </c>
      <c r="B1058">
        <v>4</v>
      </c>
    </row>
    <row r="1059" spans="1:2" x14ac:dyDescent="0.3">
      <c r="A1059" s="2">
        <v>1056</v>
      </c>
      <c r="B1059">
        <v>4</v>
      </c>
    </row>
    <row r="1060" spans="1:2" x14ac:dyDescent="0.3">
      <c r="A1060" s="2">
        <v>1057</v>
      </c>
      <c r="B1060">
        <v>3</v>
      </c>
    </row>
    <row r="1061" spans="1:2" x14ac:dyDescent="0.3">
      <c r="A1061" s="2">
        <v>1058</v>
      </c>
      <c r="B1061">
        <v>3</v>
      </c>
    </row>
    <row r="1062" spans="1:2" x14ac:dyDescent="0.3">
      <c r="A1062" s="2">
        <v>1059</v>
      </c>
      <c r="B1062">
        <v>3</v>
      </c>
    </row>
    <row r="1063" spans="1:2" x14ac:dyDescent="0.3">
      <c r="A1063" s="2">
        <v>1060</v>
      </c>
      <c r="B1063">
        <v>3</v>
      </c>
    </row>
    <row r="1064" spans="1:2" x14ac:dyDescent="0.3">
      <c r="A1064" s="2">
        <v>1061</v>
      </c>
      <c r="B1064">
        <v>4</v>
      </c>
    </row>
    <row r="1065" spans="1:2" x14ac:dyDescent="0.3">
      <c r="A1065" s="2">
        <v>1062</v>
      </c>
      <c r="B1065">
        <v>4</v>
      </c>
    </row>
    <row r="1066" spans="1:2" x14ac:dyDescent="0.3">
      <c r="A1066" s="2">
        <v>1063</v>
      </c>
      <c r="B1066">
        <v>4</v>
      </c>
    </row>
    <row r="1067" spans="1:2" x14ac:dyDescent="0.3">
      <c r="A1067" s="2">
        <v>1064</v>
      </c>
      <c r="B1067">
        <v>4</v>
      </c>
    </row>
    <row r="1068" spans="1:2" x14ac:dyDescent="0.3">
      <c r="A1068" s="2">
        <v>1065</v>
      </c>
      <c r="B1068">
        <v>3</v>
      </c>
    </row>
    <row r="1069" spans="1:2" x14ac:dyDescent="0.3">
      <c r="A1069" s="2">
        <v>1066</v>
      </c>
      <c r="B1069">
        <v>3</v>
      </c>
    </row>
    <row r="1070" spans="1:2" x14ac:dyDescent="0.3">
      <c r="A1070" s="2">
        <v>1067</v>
      </c>
      <c r="B1070">
        <v>4</v>
      </c>
    </row>
    <row r="1071" spans="1:2" x14ac:dyDescent="0.3">
      <c r="A1071" s="2">
        <v>1068</v>
      </c>
      <c r="B1071">
        <v>4</v>
      </c>
    </row>
    <row r="1072" spans="1:2" x14ac:dyDescent="0.3">
      <c r="A1072" s="2">
        <v>1069</v>
      </c>
      <c r="B1072">
        <v>3</v>
      </c>
    </row>
    <row r="1073" spans="1:2" x14ac:dyDescent="0.3">
      <c r="A1073" s="2">
        <v>1070</v>
      </c>
      <c r="B1073">
        <v>4</v>
      </c>
    </row>
    <row r="1074" spans="1:2" x14ac:dyDescent="0.3">
      <c r="A1074" s="2">
        <v>1071</v>
      </c>
      <c r="B1074">
        <v>4</v>
      </c>
    </row>
    <row r="1075" spans="1:2" x14ac:dyDescent="0.3">
      <c r="A1075" s="2">
        <v>1072</v>
      </c>
      <c r="B1075">
        <v>4</v>
      </c>
    </row>
    <row r="1076" spans="1:2" x14ac:dyDescent="0.3">
      <c r="A1076" s="2">
        <v>1073</v>
      </c>
      <c r="B1076">
        <v>3</v>
      </c>
    </row>
    <row r="1077" spans="1:2" x14ac:dyDescent="0.3">
      <c r="A1077" s="2">
        <v>1074</v>
      </c>
      <c r="B1077">
        <v>3</v>
      </c>
    </row>
    <row r="1078" spans="1:2" x14ac:dyDescent="0.3">
      <c r="A1078" s="2">
        <v>1075</v>
      </c>
      <c r="B1078">
        <v>4</v>
      </c>
    </row>
    <row r="1079" spans="1:2" x14ac:dyDescent="0.3">
      <c r="A1079" s="2">
        <v>1076</v>
      </c>
      <c r="B1079">
        <v>3</v>
      </c>
    </row>
    <row r="1080" spans="1:2" x14ac:dyDescent="0.3">
      <c r="A1080" s="2">
        <v>1077</v>
      </c>
      <c r="B1080">
        <v>3</v>
      </c>
    </row>
    <row r="1081" spans="1:2" x14ac:dyDescent="0.3">
      <c r="A1081" s="2">
        <v>1078</v>
      </c>
      <c r="B1081">
        <v>4</v>
      </c>
    </row>
    <row r="1082" spans="1:2" x14ac:dyDescent="0.3">
      <c r="A1082" s="2">
        <v>1079</v>
      </c>
      <c r="B1082">
        <v>4</v>
      </c>
    </row>
    <row r="1083" spans="1:2" x14ac:dyDescent="0.3">
      <c r="A1083" s="2">
        <v>1080</v>
      </c>
      <c r="B1083">
        <v>4</v>
      </c>
    </row>
    <row r="1084" spans="1:2" x14ac:dyDescent="0.3">
      <c r="A1084" s="2">
        <v>1081</v>
      </c>
      <c r="B1084">
        <v>3</v>
      </c>
    </row>
    <row r="1085" spans="1:2" x14ac:dyDescent="0.3">
      <c r="A1085" s="2">
        <v>1082</v>
      </c>
      <c r="B1085">
        <v>4</v>
      </c>
    </row>
    <row r="1086" spans="1:2" x14ac:dyDescent="0.3">
      <c r="A1086" s="2">
        <v>1083</v>
      </c>
      <c r="B1086">
        <v>3</v>
      </c>
    </row>
    <row r="1087" spans="1:2" x14ac:dyDescent="0.3">
      <c r="A1087" s="2">
        <v>1084</v>
      </c>
      <c r="B1087">
        <v>4</v>
      </c>
    </row>
    <row r="1088" spans="1:2" x14ac:dyDescent="0.3">
      <c r="A1088" s="2">
        <v>1085</v>
      </c>
      <c r="B1088">
        <v>4</v>
      </c>
    </row>
    <row r="1089" spans="1:2" x14ac:dyDescent="0.3">
      <c r="A1089" s="2">
        <v>1086</v>
      </c>
      <c r="B1089">
        <v>4</v>
      </c>
    </row>
    <row r="1090" spans="1:2" x14ac:dyDescent="0.3">
      <c r="A1090" s="2">
        <v>1087</v>
      </c>
      <c r="B1090">
        <v>4</v>
      </c>
    </row>
    <row r="1091" spans="1:2" x14ac:dyDescent="0.3">
      <c r="A1091" s="2">
        <v>1088</v>
      </c>
      <c r="B1091">
        <v>4</v>
      </c>
    </row>
    <row r="1092" spans="1:2" x14ac:dyDescent="0.3">
      <c r="A1092" s="2">
        <v>1089</v>
      </c>
      <c r="B1092">
        <v>3</v>
      </c>
    </row>
    <row r="1093" spans="1:2" x14ac:dyDescent="0.3">
      <c r="A1093" s="2">
        <v>1090</v>
      </c>
      <c r="B1093">
        <v>3</v>
      </c>
    </row>
    <row r="1094" spans="1:2" x14ac:dyDescent="0.3">
      <c r="A1094" s="2">
        <v>1091</v>
      </c>
      <c r="B1094">
        <v>4</v>
      </c>
    </row>
    <row r="1095" spans="1:2" x14ac:dyDescent="0.3">
      <c r="A1095" s="2">
        <v>1092</v>
      </c>
      <c r="B1095">
        <v>3</v>
      </c>
    </row>
    <row r="1096" spans="1:2" x14ac:dyDescent="0.3">
      <c r="A1096" s="2">
        <v>1093</v>
      </c>
      <c r="B1096">
        <v>4</v>
      </c>
    </row>
    <row r="1097" spans="1:2" x14ac:dyDescent="0.3">
      <c r="A1097" s="2">
        <v>1094</v>
      </c>
      <c r="B1097">
        <v>4</v>
      </c>
    </row>
    <row r="1098" spans="1:2" x14ac:dyDescent="0.3">
      <c r="A1098" s="2">
        <v>1095</v>
      </c>
      <c r="B1098">
        <v>4</v>
      </c>
    </row>
    <row r="1099" spans="1:2" x14ac:dyDescent="0.3">
      <c r="A1099" s="2">
        <v>1096</v>
      </c>
      <c r="B1099">
        <v>4</v>
      </c>
    </row>
    <row r="1100" spans="1:2" x14ac:dyDescent="0.3">
      <c r="A1100" s="2">
        <v>1097</v>
      </c>
      <c r="B1100">
        <v>3</v>
      </c>
    </row>
    <row r="1101" spans="1:2" x14ac:dyDescent="0.3">
      <c r="A1101" s="2">
        <v>1098</v>
      </c>
      <c r="B1101">
        <v>3</v>
      </c>
    </row>
    <row r="1102" spans="1:2" x14ac:dyDescent="0.3">
      <c r="A1102" s="2">
        <v>1099</v>
      </c>
      <c r="B1102">
        <v>3</v>
      </c>
    </row>
    <row r="1103" spans="1:2" x14ac:dyDescent="0.3">
      <c r="A1103" s="2">
        <v>1100</v>
      </c>
      <c r="B1103">
        <v>4</v>
      </c>
    </row>
    <row r="1104" spans="1:2" x14ac:dyDescent="0.3">
      <c r="A1104" s="2">
        <v>1101</v>
      </c>
      <c r="B1104">
        <v>3</v>
      </c>
    </row>
    <row r="1105" spans="1:2" x14ac:dyDescent="0.3">
      <c r="A1105" s="2">
        <v>1102</v>
      </c>
      <c r="B1105">
        <v>3</v>
      </c>
    </row>
    <row r="1106" spans="1:2" x14ac:dyDescent="0.3">
      <c r="A1106" s="2">
        <v>1103</v>
      </c>
      <c r="B1106">
        <v>4</v>
      </c>
    </row>
    <row r="1107" spans="1:2" x14ac:dyDescent="0.3">
      <c r="A1107" s="2">
        <v>1104</v>
      </c>
      <c r="B1107">
        <v>3</v>
      </c>
    </row>
    <row r="1108" spans="1:2" x14ac:dyDescent="0.3">
      <c r="A1108" s="2">
        <v>1105</v>
      </c>
      <c r="B1108">
        <v>4</v>
      </c>
    </row>
    <row r="1109" spans="1:2" x14ac:dyDescent="0.3">
      <c r="A1109" s="2">
        <v>1106</v>
      </c>
      <c r="B1109">
        <v>4</v>
      </c>
    </row>
    <row r="1110" spans="1:2" x14ac:dyDescent="0.3">
      <c r="A1110" s="2">
        <v>1107</v>
      </c>
      <c r="B1110">
        <v>3</v>
      </c>
    </row>
    <row r="1111" spans="1:2" x14ac:dyDescent="0.3">
      <c r="A1111" s="2">
        <v>1108</v>
      </c>
      <c r="B1111">
        <v>3</v>
      </c>
    </row>
    <row r="1112" spans="1:2" x14ac:dyDescent="0.3">
      <c r="A1112" s="2">
        <v>1109</v>
      </c>
      <c r="B1112">
        <v>3</v>
      </c>
    </row>
    <row r="1113" spans="1:2" x14ac:dyDescent="0.3">
      <c r="A1113" s="2">
        <v>1110</v>
      </c>
      <c r="B1113">
        <v>3</v>
      </c>
    </row>
    <row r="1114" spans="1:2" x14ac:dyDescent="0.3">
      <c r="A1114" s="2">
        <v>1111</v>
      </c>
      <c r="B1114">
        <v>3</v>
      </c>
    </row>
    <row r="1115" spans="1:2" x14ac:dyDescent="0.3">
      <c r="A1115" s="2">
        <v>1112</v>
      </c>
      <c r="B1115">
        <v>4</v>
      </c>
    </row>
    <row r="1116" spans="1:2" x14ac:dyDescent="0.3">
      <c r="A1116" s="2">
        <v>1113</v>
      </c>
      <c r="B1116">
        <v>4</v>
      </c>
    </row>
    <row r="1117" spans="1:2" x14ac:dyDescent="0.3">
      <c r="A1117" s="2">
        <v>1114</v>
      </c>
      <c r="B1117">
        <v>4</v>
      </c>
    </row>
    <row r="1118" spans="1:2" x14ac:dyDescent="0.3">
      <c r="A1118" s="2">
        <v>1115</v>
      </c>
      <c r="B1118">
        <v>4</v>
      </c>
    </row>
    <row r="1119" spans="1:2" x14ac:dyDescent="0.3">
      <c r="A1119" s="2">
        <v>1116</v>
      </c>
      <c r="B1119">
        <v>3</v>
      </c>
    </row>
    <row r="1120" spans="1:2" x14ac:dyDescent="0.3">
      <c r="A1120" s="2">
        <v>1117</v>
      </c>
      <c r="B1120">
        <v>4</v>
      </c>
    </row>
    <row r="1121" spans="1:2" x14ac:dyDescent="0.3">
      <c r="A1121" s="2">
        <v>1118</v>
      </c>
      <c r="B1121">
        <v>3</v>
      </c>
    </row>
    <row r="1122" spans="1:2" x14ac:dyDescent="0.3">
      <c r="A1122" s="2">
        <v>1119</v>
      </c>
      <c r="B1122">
        <v>4</v>
      </c>
    </row>
    <row r="1123" spans="1:2" x14ac:dyDescent="0.3">
      <c r="A1123" s="2">
        <v>1120</v>
      </c>
      <c r="B1123">
        <v>4</v>
      </c>
    </row>
    <row r="1124" spans="1:2" x14ac:dyDescent="0.3">
      <c r="A1124" s="2">
        <v>1121</v>
      </c>
      <c r="B1124">
        <v>3</v>
      </c>
    </row>
    <row r="1125" spans="1:2" x14ac:dyDescent="0.3">
      <c r="A1125" s="2">
        <v>1122</v>
      </c>
      <c r="B1125">
        <v>3</v>
      </c>
    </row>
    <row r="1126" spans="1:2" x14ac:dyDescent="0.3">
      <c r="A1126" s="2">
        <v>1123</v>
      </c>
      <c r="B1126">
        <v>4</v>
      </c>
    </row>
    <row r="1127" spans="1:2" x14ac:dyDescent="0.3">
      <c r="A1127" s="2">
        <v>1124</v>
      </c>
      <c r="B1127">
        <v>4</v>
      </c>
    </row>
    <row r="1128" spans="1:2" x14ac:dyDescent="0.3">
      <c r="A1128" s="2">
        <v>1125</v>
      </c>
      <c r="B1128">
        <v>3</v>
      </c>
    </row>
    <row r="1129" spans="1:2" x14ac:dyDescent="0.3">
      <c r="A1129" s="2">
        <v>1126</v>
      </c>
      <c r="B1129">
        <v>4</v>
      </c>
    </row>
    <row r="1130" spans="1:2" x14ac:dyDescent="0.3">
      <c r="A1130" s="2">
        <v>1127</v>
      </c>
      <c r="B1130">
        <v>4</v>
      </c>
    </row>
    <row r="1131" spans="1:2" x14ac:dyDescent="0.3">
      <c r="A1131" s="2">
        <v>1128</v>
      </c>
      <c r="B1131">
        <v>3</v>
      </c>
    </row>
    <row r="1132" spans="1:2" x14ac:dyDescent="0.3">
      <c r="A1132" s="2">
        <v>1129</v>
      </c>
      <c r="B1132">
        <v>3</v>
      </c>
    </row>
    <row r="1133" spans="1:2" x14ac:dyDescent="0.3">
      <c r="A1133" s="2">
        <v>1130</v>
      </c>
      <c r="B1133">
        <v>3</v>
      </c>
    </row>
    <row r="1134" spans="1:2" x14ac:dyDescent="0.3">
      <c r="A1134" s="2">
        <v>1131</v>
      </c>
      <c r="B1134">
        <v>3</v>
      </c>
    </row>
    <row r="1135" spans="1:2" x14ac:dyDescent="0.3">
      <c r="A1135" s="2">
        <v>1132</v>
      </c>
      <c r="B1135">
        <v>3</v>
      </c>
    </row>
    <row r="1136" spans="1:2" x14ac:dyDescent="0.3">
      <c r="A1136" s="2">
        <v>1133</v>
      </c>
      <c r="B1136">
        <v>4</v>
      </c>
    </row>
    <row r="1137" spans="1:2" x14ac:dyDescent="0.3">
      <c r="A1137" s="2">
        <v>1134</v>
      </c>
      <c r="B1137">
        <v>3</v>
      </c>
    </row>
    <row r="1138" spans="1:2" x14ac:dyDescent="0.3">
      <c r="A1138" s="2">
        <v>1135</v>
      </c>
      <c r="B1138">
        <v>4</v>
      </c>
    </row>
    <row r="1139" spans="1:2" x14ac:dyDescent="0.3">
      <c r="A1139" s="2">
        <v>1136</v>
      </c>
      <c r="B1139">
        <v>3</v>
      </c>
    </row>
    <row r="1140" spans="1:2" x14ac:dyDescent="0.3">
      <c r="A1140" s="2">
        <v>1137</v>
      </c>
      <c r="B1140">
        <v>3</v>
      </c>
    </row>
    <row r="1141" spans="1:2" x14ac:dyDescent="0.3">
      <c r="A1141" s="2">
        <v>1138</v>
      </c>
      <c r="B1141">
        <v>4</v>
      </c>
    </row>
    <row r="1142" spans="1:2" x14ac:dyDescent="0.3">
      <c r="A1142" s="2">
        <v>1139</v>
      </c>
      <c r="B1142">
        <v>4</v>
      </c>
    </row>
    <row r="1143" spans="1:2" x14ac:dyDescent="0.3">
      <c r="A1143" s="2">
        <v>1140</v>
      </c>
      <c r="B1143">
        <v>4</v>
      </c>
    </row>
    <row r="1144" spans="1:2" x14ac:dyDescent="0.3">
      <c r="A1144" s="2">
        <v>1141</v>
      </c>
      <c r="B1144">
        <v>6</v>
      </c>
    </row>
    <row r="1145" spans="1:2" x14ac:dyDescent="0.3">
      <c r="A1145" s="2">
        <v>1142</v>
      </c>
      <c r="B1145">
        <v>5</v>
      </c>
    </row>
    <row r="1146" spans="1:2" x14ac:dyDescent="0.3">
      <c r="A1146" s="2">
        <v>1143</v>
      </c>
      <c r="B1146">
        <v>7</v>
      </c>
    </row>
    <row r="1147" spans="1:2" x14ac:dyDescent="0.3">
      <c r="A1147" s="2">
        <v>1144</v>
      </c>
      <c r="B1147">
        <v>6</v>
      </c>
    </row>
    <row r="1148" spans="1:2" x14ac:dyDescent="0.3">
      <c r="A1148" s="2">
        <v>1145</v>
      </c>
      <c r="B1148">
        <v>5</v>
      </c>
    </row>
    <row r="1149" spans="1:2" x14ac:dyDescent="0.3">
      <c r="A1149" s="2">
        <v>1146</v>
      </c>
      <c r="B1149">
        <v>5</v>
      </c>
    </row>
    <row r="1150" spans="1:2" x14ac:dyDescent="0.3">
      <c r="A1150" s="2">
        <v>1147</v>
      </c>
      <c r="B1150">
        <v>8</v>
      </c>
    </row>
    <row r="1151" spans="1:2" x14ac:dyDescent="0.3">
      <c r="A1151" s="2">
        <v>1148</v>
      </c>
      <c r="B1151">
        <v>8</v>
      </c>
    </row>
    <row r="1152" spans="1:2" x14ac:dyDescent="0.3">
      <c r="A1152" s="2">
        <v>1149</v>
      </c>
      <c r="B1152">
        <v>8</v>
      </c>
    </row>
    <row r="1153" spans="1:2" x14ac:dyDescent="0.3">
      <c r="A1153" s="2">
        <v>1150</v>
      </c>
      <c r="B1153">
        <v>5</v>
      </c>
    </row>
    <row r="1154" spans="1:2" x14ac:dyDescent="0.3">
      <c r="A1154" s="2">
        <v>1151</v>
      </c>
      <c r="B1154">
        <v>6</v>
      </c>
    </row>
    <row r="1155" spans="1:2" x14ac:dyDescent="0.3">
      <c r="A1155" s="2">
        <v>1152</v>
      </c>
      <c r="B1155">
        <v>6</v>
      </c>
    </row>
    <row r="1156" spans="1:2" x14ac:dyDescent="0.3">
      <c r="A1156" s="2">
        <v>1153</v>
      </c>
      <c r="B1156">
        <v>6</v>
      </c>
    </row>
    <row r="1157" spans="1:2" x14ac:dyDescent="0.3">
      <c r="A1157" s="2">
        <v>1154</v>
      </c>
      <c r="B1157">
        <v>7</v>
      </c>
    </row>
    <row r="1158" spans="1:2" x14ac:dyDescent="0.3">
      <c r="A1158" s="2">
        <v>1155</v>
      </c>
      <c r="B1158">
        <v>7</v>
      </c>
    </row>
    <row r="1159" spans="1:2" x14ac:dyDescent="0.3">
      <c r="A1159" s="2">
        <v>1156</v>
      </c>
      <c r="B1159">
        <v>8</v>
      </c>
    </row>
    <row r="1160" spans="1:2" x14ac:dyDescent="0.3">
      <c r="A1160" s="2">
        <v>1157</v>
      </c>
      <c r="B1160">
        <v>8</v>
      </c>
    </row>
    <row r="1161" spans="1:2" x14ac:dyDescent="0.3">
      <c r="A1161" s="2">
        <v>1158</v>
      </c>
      <c r="B1161">
        <v>6</v>
      </c>
    </row>
    <row r="1162" spans="1:2" x14ac:dyDescent="0.3">
      <c r="A1162" s="2">
        <v>1159</v>
      </c>
      <c r="B1162">
        <v>8</v>
      </c>
    </row>
    <row r="1163" spans="1:2" x14ac:dyDescent="0.3">
      <c r="A1163" s="2">
        <v>1160</v>
      </c>
      <c r="B1163">
        <v>6</v>
      </c>
    </row>
    <row r="1164" spans="1:2" x14ac:dyDescent="0.3">
      <c r="A1164" s="2">
        <v>1161</v>
      </c>
      <c r="B1164">
        <v>6</v>
      </c>
    </row>
    <row r="1165" spans="1:2" x14ac:dyDescent="0.3">
      <c r="A1165" s="2">
        <v>1162</v>
      </c>
      <c r="B1165">
        <v>7</v>
      </c>
    </row>
    <row r="1166" spans="1:2" x14ac:dyDescent="0.3">
      <c r="A1166" s="2">
        <v>1163</v>
      </c>
      <c r="B1166">
        <v>6</v>
      </c>
    </row>
    <row r="1167" spans="1:2" x14ac:dyDescent="0.3">
      <c r="A1167" s="2">
        <v>1164</v>
      </c>
      <c r="B1167">
        <v>8</v>
      </c>
    </row>
    <row r="1168" spans="1:2" x14ac:dyDescent="0.3">
      <c r="A1168" s="2">
        <v>1165</v>
      </c>
      <c r="B1168">
        <v>6</v>
      </c>
    </row>
    <row r="1169" spans="1:2" x14ac:dyDescent="0.3">
      <c r="A1169" s="2">
        <v>1166</v>
      </c>
      <c r="B1169">
        <v>8</v>
      </c>
    </row>
    <row r="1170" spans="1:2" x14ac:dyDescent="0.3">
      <c r="A1170" s="2">
        <v>1167</v>
      </c>
      <c r="B1170">
        <v>6</v>
      </c>
    </row>
    <row r="1171" spans="1:2" x14ac:dyDescent="0.3">
      <c r="A1171" s="2">
        <v>1168</v>
      </c>
      <c r="B1171">
        <v>5</v>
      </c>
    </row>
    <row r="1172" spans="1:2" x14ac:dyDescent="0.3">
      <c r="A1172" s="2">
        <v>1169</v>
      </c>
      <c r="B1172">
        <v>7</v>
      </c>
    </row>
    <row r="1173" spans="1:2" x14ac:dyDescent="0.3">
      <c r="A1173" s="2">
        <v>1170</v>
      </c>
      <c r="B1173">
        <v>7</v>
      </c>
    </row>
    <row r="1174" spans="1:2" x14ac:dyDescent="0.3">
      <c r="A1174" s="2">
        <v>1171</v>
      </c>
      <c r="B1174">
        <v>6</v>
      </c>
    </row>
    <row r="1175" spans="1:2" x14ac:dyDescent="0.3">
      <c r="A1175" s="2">
        <v>1172</v>
      </c>
      <c r="B1175">
        <v>8</v>
      </c>
    </row>
    <row r="1176" spans="1:2" x14ac:dyDescent="0.3">
      <c r="A1176" s="2">
        <v>1173</v>
      </c>
      <c r="B1176">
        <v>6</v>
      </c>
    </row>
    <row r="1177" spans="1:2" x14ac:dyDescent="0.3">
      <c r="A1177" s="2">
        <v>1174</v>
      </c>
      <c r="B1177">
        <v>7</v>
      </c>
    </row>
    <row r="1178" spans="1:2" x14ac:dyDescent="0.3">
      <c r="A1178" s="2">
        <v>1175</v>
      </c>
      <c r="B1178">
        <v>8</v>
      </c>
    </row>
    <row r="1179" spans="1:2" x14ac:dyDescent="0.3">
      <c r="A1179" s="2">
        <v>1176</v>
      </c>
      <c r="B1179">
        <v>5</v>
      </c>
    </row>
    <row r="1180" spans="1:2" x14ac:dyDescent="0.3">
      <c r="A1180" s="2">
        <v>1177</v>
      </c>
      <c r="B1180">
        <v>5</v>
      </c>
    </row>
    <row r="1181" spans="1:2" x14ac:dyDescent="0.3">
      <c r="A1181" s="2">
        <v>1178</v>
      </c>
      <c r="B1181">
        <v>8</v>
      </c>
    </row>
    <row r="1182" spans="1:2" x14ac:dyDescent="0.3">
      <c r="A1182" s="2">
        <v>1179</v>
      </c>
      <c r="B1182">
        <v>6</v>
      </c>
    </row>
    <row r="1183" spans="1:2" x14ac:dyDescent="0.3">
      <c r="A1183" s="2">
        <v>1180</v>
      </c>
      <c r="B1183">
        <v>7</v>
      </c>
    </row>
    <row r="1184" spans="1:2" x14ac:dyDescent="0.3">
      <c r="A1184" s="2">
        <v>1181</v>
      </c>
      <c r="B1184">
        <v>8</v>
      </c>
    </row>
    <row r="1185" spans="1:2" x14ac:dyDescent="0.3">
      <c r="A1185" s="2">
        <v>1182</v>
      </c>
      <c r="B1185">
        <v>6</v>
      </c>
    </row>
    <row r="1186" spans="1:2" x14ac:dyDescent="0.3">
      <c r="A1186" s="2">
        <v>1183</v>
      </c>
      <c r="B1186">
        <v>8</v>
      </c>
    </row>
    <row r="1187" spans="1:2" x14ac:dyDescent="0.3">
      <c r="A1187" s="2">
        <v>1184</v>
      </c>
      <c r="B1187">
        <v>8</v>
      </c>
    </row>
    <row r="1188" spans="1:2" x14ac:dyDescent="0.3">
      <c r="A1188" s="2">
        <v>1185</v>
      </c>
      <c r="B1188">
        <v>7</v>
      </c>
    </row>
    <row r="1189" spans="1:2" x14ac:dyDescent="0.3">
      <c r="A1189" s="2">
        <v>1186</v>
      </c>
      <c r="B1189">
        <v>5</v>
      </c>
    </row>
    <row r="1190" spans="1:2" x14ac:dyDescent="0.3">
      <c r="A1190" s="2">
        <v>1187</v>
      </c>
      <c r="B1190">
        <v>5</v>
      </c>
    </row>
    <row r="1191" spans="1:2" x14ac:dyDescent="0.3">
      <c r="A1191" s="2">
        <v>1188</v>
      </c>
      <c r="B1191">
        <v>5</v>
      </c>
    </row>
    <row r="1192" spans="1:2" x14ac:dyDescent="0.3">
      <c r="A1192" s="2">
        <v>1189</v>
      </c>
      <c r="B1192">
        <v>5</v>
      </c>
    </row>
    <row r="1193" spans="1:2" x14ac:dyDescent="0.3">
      <c r="A1193" s="2">
        <v>1190</v>
      </c>
      <c r="B1193">
        <v>7</v>
      </c>
    </row>
    <row r="1194" spans="1:2" x14ac:dyDescent="0.3">
      <c r="A1194" s="2">
        <v>1191</v>
      </c>
      <c r="B1194">
        <v>6</v>
      </c>
    </row>
    <row r="1195" spans="1:2" x14ac:dyDescent="0.3">
      <c r="A1195" s="2">
        <v>1192</v>
      </c>
      <c r="B1195">
        <v>8</v>
      </c>
    </row>
    <row r="1196" spans="1:2" x14ac:dyDescent="0.3">
      <c r="A1196" s="2">
        <v>1193</v>
      </c>
      <c r="B1196">
        <v>7</v>
      </c>
    </row>
    <row r="1197" spans="1:2" x14ac:dyDescent="0.3">
      <c r="A1197" s="2">
        <v>1194</v>
      </c>
      <c r="B1197">
        <v>5</v>
      </c>
    </row>
    <row r="1198" spans="1:2" x14ac:dyDescent="0.3">
      <c r="A1198" s="2">
        <v>1195</v>
      </c>
      <c r="B1198">
        <v>5</v>
      </c>
    </row>
    <row r="1199" spans="1:2" x14ac:dyDescent="0.3">
      <c r="A1199" s="2">
        <v>1196</v>
      </c>
      <c r="B1199">
        <v>7</v>
      </c>
    </row>
    <row r="1200" spans="1:2" x14ac:dyDescent="0.3">
      <c r="A1200" s="2">
        <v>1197</v>
      </c>
      <c r="B1200">
        <v>8</v>
      </c>
    </row>
    <row r="1201" spans="1:2" x14ac:dyDescent="0.3">
      <c r="A1201" s="2">
        <v>1198</v>
      </c>
      <c r="B1201">
        <v>7</v>
      </c>
    </row>
    <row r="1202" spans="1:2" x14ac:dyDescent="0.3">
      <c r="A1202" s="2">
        <v>1199</v>
      </c>
      <c r="B1202">
        <v>8</v>
      </c>
    </row>
    <row r="1203" spans="1:2" x14ac:dyDescent="0.3">
      <c r="A1203" s="2">
        <v>1200</v>
      </c>
      <c r="B1203">
        <v>7</v>
      </c>
    </row>
    <row r="1204" spans="1:2" x14ac:dyDescent="0.3">
      <c r="A1204" s="2" t="s">
        <v>2256</v>
      </c>
      <c r="B1204">
        <v>2079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13D9-2EFC-430A-85C5-765CF19241FC}">
  <dimension ref="A3:B1204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" t="s">
        <v>2255</v>
      </c>
      <c r="B3" t="s">
        <v>2257</v>
      </c>
    </row>
    <row r="4" spans="1:2" x14ac:dyDescent="0.3">
      <c r="A4" s="2">
        <v>1178</v>
      </c>
      <c r="B4">
        <v>14657.945</v>
      </c>
    </row>
    <row r="5" spans="1:2" x14ac:dyDescent="0.3">
      <c r="A5" s="2">
        <v>1166</v>
      </c>
      <c r="B5">
        <v>12545.838</v>
      </c>
    </row>
    <row r="6" spans="1:2" x14ac:dyDescent="0.3">
      <c r="A6" s="2">
        <v>1196</v>
      </c>
      <c r="B6">
        <v>11620.191999999999</v>
      </c>
    </row>
    <row r="7" spans="1:2" x14ac:dyDescent="0.3">
      <c r="A7" s="2">
        <v>1156</v>
      </c>
      <c r="B7">
        <v>11393.8505</v>
      </c>
    </row>
    <row r="8" spans="1:2" x14ac:dyDescent="0.3">
      <c r="A8" s="2">
        <v>1170</v>
      </c>
      <c r="B8">
        <v>10726.26</v>
      </c>
    </row>
    <row r="9" spans="1:2" x14ac:dyDescent="0.3">
      <c r="A9" s="2">
        <v>1169</v>
      </c>
      <c r="B9">
        <v>10488.72</v>
      </c>
    </row>
    <row r="10" spans="1:2" x14ac:dyDescent="0.3">
      <c r="A10" s="2">
        <v>1180</v>
      </c>
      <c r="B10">
        <v>9921.2790000000005</v>
      </c>
    </row>
    <row r="11" spans="1:2" x14ac:dyDescent="0.3">
      <c r="A11" s="2">
        <v>1182</v>
      </c>
      <c r="B11">
        <v>9317.8354999999992</v>
      </c>
    </row>
    <row r="12" spans="1:2" x14ac:dyDescent="0.3">
      <c r="A12" s="2">
        <v>1193</v>
      </c>
      <c r="B12">
        <v>9314.692500000001</v>
      </c>
    </row>
    <row r="13" spans="1:2" x14ac:dyDescent="0.3">
      <c r="A13" s="2">
        <v>1148</v>
      </c>
      <c r="B13">
        <v>9235.0735000000004</v>
      </c>
    </row>
    <row r="14" spans="1:2" x14ac:dyDescent="0.3">
      <c r="A14" s="2">
        <v>1185</v>
      </c>
      <c r="B14">
        <v>9093.514000000001</v>
      </c>
    </row>
    <row r="15" spans="1:2" x14ac:dyDescent="0.3">
      <c r="A15" s="2">
        <v>1189</v>
      </c>
      <c r="B15">
        <v>8943.9840000000004</v>
      </c>
    </row>
    <row r="16" spans="1:2" x14ac:dyDescent="0.3">
      <c r="A16" s="2">
        <v>1165</v>
      </c>
      <c r="B16">
        <v>8917.4950000000008</v>
      </c>
    </row>
    <row r="17" spans="1:2" x14ac:dyDescent="0.3">
      <c r="A17" s="2">
        <v>1143</v>
      </c>
      <c r="B17">
        <v>8813.2900000000009</v>
      </c>
    </row>
    <row r="18" spans="1:2" x14ac:dyDescent="0.3">
      <c r="A18" s="2">
        <v>1195</v>
      </c>
      <c r="B18">
        <v>8407.5674999999992</v>
      </c>
    </row>
    <row r="19" spans="1:2" x14ac:dyDescent="0.3">
      <c r="A19" s="2">
        <v>1190</v>
      </c>
      <c r="B19">
        <v>8348.1165000000001</v>
      </c>
    </row>
    <row r="20" spans="1:2" x14ac:dyDescent="0.3">
      <c r="A20" s="2">
        <v>1183</v>
      </c>
      <c r="B20">
        <v>8320.44</v>
      </c>
    </row>
    <row r="21" spans="1:2" x14ac:dyDescent="0.3">
      <c r="A21" s="2">
        <v>1155</v>
      </c>
      <c r="B21">
        <v>8275.246000000001</v>
      </c>
    </row>
    <row r="22" spans="1:2" x14ac:dyDescent="0.3">
      <c r="A22" s="2">
        <v>1192</v>
      </c>
      <c r="B22">
        <v>8227.3159999999989</v>
      </c>
    </row>
    <row r="23" spans="1:2" x14ac:dyDescent="0.3">
      <c r="A23" s="2">
        <v>1172</v>
      </c>
      <c r="B23">
        <v>7966.9609999999993</v>
      </c>
    </row>
    <row r="24" spans="1:2" x14ac:dyDescent="0.3">
      <c r="A24" s="2">
        <v>1197</v>
      </c>
      <c r="B24">
        <v>7944.4804999999997</v>
      </c>
    </row>
    <row r="25" spans="1:2" x14ac:dyDescent="0.3">
      <c r="A25" s="2">
        <v>1086</v>
      </c>
      <c r="B25">
        <v>7934.7380000000003</v>
      </c>
    </row>
    <row r="26" spans="1:2" x14ac:dyDescent="0.3">
      <c r="A26" s="2">
        <v>1171</v>
      </c>
      <c r="B26">
        <v>7933.389000000001</v>
      </c>
    </row>
    <row r="27" spans="1:2" x14ac:dyDescent="0.3">
      <c r="A27" s="2">
        <v>1147</v>
      </c>
      <c r="B27">
        <v>7855.5529999999999</v>
      </c>
    </row>
    <row r="28" spans="1:2" x14ac:dyDescent="0.3">
      <c r="A28" s="2">
        <v>1154</v>
      </c>
      <c r="B28">
        <v>7691.5280000000012</v>
      </c>
    </row>
    <row r="29" spans="1:2" x14ac:dyDescent="0.3">
      <c r="A29" s="2">
        <v>1149</v>
      </c>
      <c r="B29">
        <v>7688.6805000000004</v>
      </c>
    </row>
    <row r="30" spans="1:2" x14ac:dyDescent="0.3">
      <c r="A30" s="2">
        <v>1198</v>
      </c>
      <c r="B30">
        <v>7687.1949999999988</v>
      </c>
    </row>
    <row r="31" spans="1:2" x14ac:dyDescent="0.3">
      <c r="A31" s="2">
        <v>1145</v>
      </c>
      <c r="B31">
        <v>7548.616</v>
      </c>
    </row>
    <row r="32" spans="1:2" x14ac:dyDescent="0.3">
      <c r="A32" s="2">
        <v>1082</v>
      </c>
      <c r="B32">
        <v>7535.4360000000006</v>
      </c>
    </row>
    <row r="33" spans="1:2" x14ac:dyDescent="0.3">
      <c r="A33" s="2">
        <v>1174</v>
      </c>
      <c r="B33">
        <v>7374.31</v>
      </c>
    </row>
    <row r="34" spans="1:2" x14ac:dyDescent="0.3">
      <c r="A34" s="2">
        <v>1199</v>
      </c>
      <c r="B34">
        <v>7364.2665000000006</v>
      </c>
    </row>
    <row r="35" spans="1:2" x14ac:dyDescent="0.3">
      <c r="A35" s="2">
        <v>1191</v>
      </c>
      <c r="B35">
        <v>7269.3990000000003</v>
      </c>
    </row>
    <row r="36" spans="1:2" x14ac:dyDescent="0.3">
      <c r="A36" s="2">
        <v>1167</v>
      </c>
      <c r="B36">
        <v>7267.48</v>
      </c>
    </row>
    <row r="37" spans="1:2" x14ac:dyDescent="0.3">
      <c r="A37" s="2">
        <v>1133</v>
      </c>
      <c r="B37">
        <v>7239.1934999999994</v>
      </c>
    </row>
    <row r="38" spans="1:2" x14ac:dyDescent="0.3">
      <c r="A38" s="2">
        <v>1157</v>
      </c>
      <c r="B38">
        <v>6965.4274999999998</v>
      </c>
    </row>
    <row r="39" spans="1:2" x14ac:dyDescent="0.3">
      <c r="A39" s="2">
        <v>1184</v>
      </c>
      <c r="B39">
        <v>6874.6734999999999</v>
      </c>
    </row>
    <row r="40" spans="1:2" x14ac:dyDescent="0.3">
      <c r="A40" s="2">
        <v>1153</v>
      </c>
      <c r="B40">
        <v>6846.1729999999998</v>
      </c>
    </row>
    <row r="41" spans="1:2" x14ac:dyDescent="0.3">
      <c r="A41" s="2">
        <v>1031</v>
      </c>
      <c r="B41">
        <v>6439.5959999999995</v>
      </c>
    </row>
    <row r="42" spans="1:2" x14ac:dyDescent="0.3">
      <c r="A42" s="2">
        <v>1151</v>
      </c>
      <c r="B42">
        <v>6360.1939999999995</v>
      </c>
    </row>
    <row r="43" spans="1:2" x14ac:dyDescent="0.3">
      <c r="A43" s="2">
        <v>1142</v>
      </c>
      <c r="B43">
        <v>6309.5084999999999</v>
      </c>
    </row>
    <row r="44" spans="1:2" x14ac:dyDescent="0.3">
      <c r="A44" s="2">
        <v>1048</v>
      </c>
      <c r="B44">
        <v>6203.7539999999999</v>
      </c>
    </row>
    <row r="45" spans="1:2" x14ac:dyDescent="0.3">
      <c r="A45" s="2">
        <v>1162</v>
      </c>
      <c r="B45">
        <v>6202.0005000000001</v>
      </c>
    </row>
    <row r="46" spans="1:2" x14ac:dyDescent="0.3">
      <c r="A46" s="2">
        <v>1039</v>
      </c>
      <c r="B46">
        <v>6169.2515000000003</v>
      </c>
    </row>
    <row r="47" spans="1:2" x14ac:dyDescent="0.3">
      <c r="A47" s="2">
        <v>980</v>
      </c>
      <c r="B47">
        <v>6079.8045000000002</v>
      </c>
    </row>
    <row r="48" spans="1:2" x14ac:dyDescent="0.3">
      <c r="A48" s="2">
        <v>1106</v>
      </c>
      <c r="B48">
        <v>6071.2019999999993</v>
      </c>
    </row>
    <row r="49" spans="1:2" x14ac:dyDescent="0.3">
      <c r="A49" s="2">
        <v>1055</v>
      </c>
      <c r="B49">
        <v>6019.4624999999996</v>
      </c>
    </row>
    <row r="50" spans="1:2" x14ac:dyDescent="0.3">
      <c r="A50" s="2">
        <v>1159</v>
      </c>
      <c r="B50">
        <v>6016.4204999999993</v>
      </c>
    </row>
    <row r="51" spans="1:2" x14ac:dyDescent="0.3">
      <c r="A51" s="2">
        <v>1158</v>
      </c>
      <c r="B51">
        <v>5980.7060000000001</v>
      </c>
    </row>
    <row r="52" spans="1:2" x14ac:dyDescent="0.3">
      <c r="A52" s="2">
        <v>1150</v>
      </c>
      <c r="B52">
        <v>5965.4724999999999</v>
      </c>
    </row>
    <row r="53" spans="1:2" x14ac:dyDescent="0.3">
      <c r="A53" s="2">
        <v>1144</v>
      </c>
      <c r="B53">
        <v>5962.1485000000002</v>
      </c>
    </row>
    <row r="54" spans="1:2" x14ac:dyDescent="0.3">
      <c r="A54" s="2">
        <v>1181</v>
      </c>
      <c r="B54">
        <v>5904.3149999999987</v>
      </c>
    </row>
    <row r="55" spans="1:2" x14ac:dyDescent="0.3">
      <c r="A55" s="2">
        <v>1095</v>
      </c>
      <c r="B55">
        <v>5876.1984999999995</v>
      </c>
    </row>
    <row r="56" spans="1:2" x14ac:dyDescent="0.3">
      <c r="A56" s="2">
        <v>1091</v>
      </c>
      <c r="B56">
        <v>5871.8629999999994</v>
      </c>
    </row>
    <row r="57" spans="1:2" x14ac:dyDescent="0.3">
      <c r="A57" s="2">
        <v>908</v>
      </c>
      <c r="B57">
        <v>5847.24</v>
      </c>
    </row>
    <row r="58" spans="1:2" x14ac:dyDescent="0.3">
      <c r="A58" s="2">
        <v>1164</v>
      </c>
      <c r="B58">
        <v>5746.6810000000014</v>
      </c>
    </row>
    <row r="59" spans="1:2" x14ac:dyDescent="0.3">
      <c r="A59" s="2">
        <v>1120</v>
      </c>
      <c r="B59">
        <v>5740.8294999999998</v>
      </c>
    </row>
    <row r="60" spans="1:2" x14ac:dyDescent="0.3">
      <c r="A60" s="2">
        <v>1094</v>
      </c>
      <c r="B60">
        <v>5653.2090000000007</v>
      </c>
    </row>
    <row r="61" spans="1:2" x14ac:dyDescent="0.3">
      <c r="A61" s="2">
        <v>1081</v>
      </c>
      <c r="B61">
        <v>5646.07</v>
      </c>
    </row>
    <row r="62" spans="1:2" x14ac:dyDescent="0.3">
      <c r="A62" s="2">
        <v>1034</v>
      </c>
      <c r="B62">
        <v>5607.7889999999998</v>
      </c>
    </row>
    <row r="63" spans="1:2" x14ac:dyDescent="0.3">
      <c r="A63" s="2">
        <v>1160</v>
      </c>
      <c r="B63">
        <v>5574.8824999999997</v>
      </c>
    </row>
    <row r="64" spans="1:2" x14ac:dyDescent="0.3">
      <c r="A64" s="2">
        <v>1104</v>
      </c>
      <c r="B64">
        <v>5541.44</v>
      </c>
    </row>
    <row r="65" spans="1:2" x14ac:dyDescent="0.3">
      <c r="A65" s="2">
        <v>1023</v>
      </c>
      <c r="B65">
        <v>5500.1220000000003</v>
      </c>
    </row>
    <row r="66" spans="1:2" x14ac:dyDescent="0.3">
      <c r="A66" s="2">
        <v>1186</v>
      </c>
      <c r="B66">
        <v>5499.2160000000003</v>
      </c>
    </row>
    <row r="67" spans="1:2" x14ac:dyDescent="0.3">
      <c r="A67" s="2">
        <v>1139</v>
      </c>
      <c r="B67">
        <v>5457.0129999999999</v>
      </c>
    </row>
    <row r="68" spans="1:2" x14ac:dyDescent="0.3">
      <c r="A68" s="2">
        <v>1020</v>
      </c>
      <c r="B68">
        <v>5395.02</v>
      </c>
    </row>
    <row r="69" spans="1:2" x14ac:dyDescent="0.3">
      <c r="A69" s="2">
        <v>1176</v>
      </c>
      <c r="B69">
        <v>5324.0029999999997</v>
      </c>
    </row>
    <row r="70" spans="1:2" x14ac:dyDescent="0.3">
      <c r="A70" s="2">
        <v>1173</v>
      </c>
      <c r="B70">
        <v>5286.9994999999999</v>
      </c>
    </row>
    <row r="71" spans="1:2" x14ac:dyDescent="0.3">
      <c r="A71" s="2">
        <v>1177</v>
      </c>
      <c r="B71">
        <v>5257.5410000000002</v>
      </c>
    </row>
    <row r="72" spans="1:2" x14ac:dyDescent="0.3">
      <c r="A72" s="2">
        <v>1100</v>
      </c>
      <c r="B72">
        <v>5247.1399999999994</v>
      </c>
    </row>
    <row r="73" spans="1:2" x14ac:dyDescent="0.3">
      <c r="A73" s="2">
        <v>1175</v>
      </c>
      <c r="B73">
        <v>5141.4065000000001</v>
      </c>
    </row>
    <row r="74" spans="1:2" x14ac:dyDescent="0.3">
      <c r="A74" s="2">
        <v>996</v>
      </c>
      <c r="B74">
        <v>5112.8429999999998</v>
      </c>
    </row>
    <row r="75" spans="1:2" x14ac:dyDescent="0.3">
      <c r="A75" s="2">
        <v>1179</v>
      </c>
      <c r="B75">
        <v>5097.058</v>
      </c>
    </row>
    <row r="76" spans="1:2" x14ac:dyDescent="0.3">
      <c r="A76" s="2">
        <v>1137</v>
      </c>
      <c r="B76">
        <v>5082.1365000000005</v>
      </c>
    </row>
    <row r="77" spans="1:2" x14ac:dyDescent="0.3">
      <c r="A77" s="2">
        <v>1116</v>
      </c>
      <c r="B77">
        <v>5072.2534999999998</v>
      </c>
    </row>
    <row r="78" spans="1:2" x14ac:dyDescent="0.3">
      <c r="A78" s="2">
        <v>1070</v>
      </c>
      <c r="B78">
        <v>4992.5765000000001</v>
      </c>
    </row>
    <row r="79" spans="1:2" x14ac:dyDescent="0.3">
      <c r="A79" s="2">
        <v>1126</v>
      </c>
      <c r="B79">
        <v>4987.6665000000003</v>
      </c>
    </row>
    <row r="80" spans="1:2" x14ac:dyDescent="0.3">
      <c r="A80" s="2">
        <v>892</v>
      </c>
      <c r="B80">
        <v>4968.8040000000001</v>
      </c>
    </row>
    <row r="81" spans="1:2" x14ac:dyDescent="0.3">
      <c r="A81" s="2">
        <v>1096</v>
      </c>
      <c r="B81">
        <v>4938.7914999999994</v>
      </c>
    </row>
    <row r="82" spans="1:2" x14ac:dyDescent="0.3">
      <c r="A82" s="2">
        <v>1103</v>
      </c>
      <c r="B82">
        <v>4937.2784999999994</v>
      </c>
    </row>
    <row r="83" spans="1:2" x14ac:dyDescent="0.3">
      <c r="A83" s="2">
        <v>793</v>
      </c>
      <c r="B83">
        <v>4886.8499999999995</v>
      </c>
    </row>
    <row r="84" spans="1:2" x14ac:dyDescent="0.3">
      <c r="A84" s="2">
        <v>1194</v>
      </c>
      <c r="B84">
        <v>4848.4560000000001</v>
      </c>
    </row>
    <row r="85" spans="1:2" x14ac:dyDescent="0.3">
      <c r="A85" s="2">
        <v>1046</v>
      </c>
      <c r="B85">
        <v>4843.0769999999993</v>
      </c>
    </row>
    <row r="86" spans="1:2" x14ac:dyDescent="0.3">
      <c r="A86" s="2">
        <v>1117</v>
      </c>
      <c r="B86">
        <v>4784.1985000000004</v>
      </c>
    </row>
    <row r="87" spans="1:2" x14ac:dyDescent="0.3">
      <c r="A87" s="2">
        <v>811</v>
      </c>
      <c r="B87">
        <v>4748.3310000000001</v>
      </c>
    </row>
    <row r="88" spans="1:2" x14ac:dyDescent="0.3">
      <c r="A88" s="2">
        <v>1188</v>
      </c>
      <c r="B88">
        <v>4741.4709999999995</v>
      </c>
    </row>
    <row r="89" spans="1:2" x14ac:dyDescent="0.3">
      <c r="A89" s="2">
        <v>1056</v>
      </c>
      <c r="B89">
        <v>4718.2615000000005</v>
      </c>
    </row>
    <row r="90" spans="1:2" x14ac:dyDescent="0.3">
      <c r="A90" s="2">
        <v>1051</v>
      </c>
      <c r="B90">
        <v>4709.7900000000009</v>
      </c>
    </row>
    <row r="91" spans="1:2" x14ac:dyDescent="0.3">
      <c r="A91" s="2">
        <v>1114</v>
      </c>
      <c r="B91">
        <v>4697.0540000000001</v>
      </c>
    </row>
    <row r="92" spans="1:2" x14ac:dyDescent="0.3">
      <c r="A92" s="2">
        <v>1021</v>
      </c>
      <c r="B92">
        <v>4635.5889999999999</v>
      </c>
    </row>
    <row r="93" spans="1:2" x14ac:dyDescent="0.3">
      <c r="A93" s="2">
        <v>1061</v>
      </c>
      <c r="B93">
        <v>4609.7615000000005</v>
      </c>
    </row>
    <row r="94" spans="1:2" x14ac:dyDescent="0.3">
      <c r="A94" s="2">
        <v>1078</v>
      </c>
      <c r="B94">
        <v>4605.3990000000003</v>
      </c>
    </row>
    <row r="95" spans="1:2" x14ac:dyDescent="0.3">
      <c r="A95" s="2">
        <v>1163</v>
      </c>
      <c r="B95">
        <v>4588.6580000000004</v>
      </c>
    </row>
    <row r="96" spans="1:2" x14ac:dyDescent="0.3">
      <c r="A96" s="2">
        <v>1042</v>
      </c>
      <c r="B96">
        <v>4578.3029999999999</v>
      </c>
    </row>
    <row r="97" spans="1:2" x14ac:dyDescent="0.3">
      <c r="A97" s="2">
        <v>1036</v>
      </c>
      <c r="B97">
        <v>4559.1859999999997</v>
      </c>
    </row>
    <row r="98" spans="1:2" x14ac:dyDescent="0.3">
      <c r="A98" s="2">
        <v>1087</v>
      </c>
      <c r="B98">
        <v>4557.9085000000005</v>
      </c>
    </row>
    <row r="99" spans="1:2" x14ac:dyDescent="0.3">
      <c r="A99" s="2">
        <v>1054</v>
      </c>
      <c r="B99">
        <v>4543.9670000000006</v>
      </c>
    </row>
    <row r="100" spans="1:2" x14ac:dyDescent="0.3">
      <c r="A100" s="2">
        <v>1068</v>
      </c>
      <c r="B100">
        <v>4521.9645</v>
      </c>
    </row>
    <row r="101" spans="1:2" x14ac:dyDescent="0.3">
      <c r="A101" s="2">
        <v>909</v>
      </c>
      <c r="B101">
        <v>4519.17</v>
      </c>
    </row>
    <row r="102" spans="1:2" x14ac:dyDescent="0.3">
      <c r="A102" s="2">
        <v>1122</v>
      </c>
      <c r="B102">
        <v>4518.2749999999996</v>
      </c>
    </row>
    <row r="103" spans="1:2" x14ac:dyDescent="0.3">
      <c r="A103" s="2">
        <v>1168</v>
      </c>
      <c r="B103">
        <v>4467.6669999999995</v>
      </c>
    </row>
    <row r="104" spans="1:2" x14ac:dyDescent="0.3">
      <c r="A104" s="2">
        <v>1161</v>
      </c>
      <c r="B104">
        <v>4459.3919999999998</v>
      </c>
    </row>
    <row r="105" spans="1:2" x14ac:dyDescent="0.3">
      <c r="A105" s="2">
        <v>837</v>
      </c>
      <c r="B105">
        <v>4444.4520000000002</v>
      </c>
    </row>
    <row r="106" spans="1:2" x14ac:dyDescent="0.3">
      <c r="A106" s="2">
        <v>1059</v>
      </c>
      <c r="B106">
        <v>4443.42</v>
      </c>
    </row>
    <row r="107" spans="1:2" x14ac:dyDescent="0.3">
      <c r="A107" s="2">
        <v>1028</v>
      </c>
      <c r="B107">
        <v>4354.9399999999996</v>
      </c>
    </row>
    <row r="108" spans="1:2" x14ac:dyDescent="0.3">
      <c r="A108" s="2">
        <v>1047</v>
      </c>
      <c r="B108">
        <v>4306.8605000000007</v>
      </c>
    </row>
    <row r="109" spans="1:2" x14ac:dyDescent="0.3">
      <c r="A109" s="2">
        <v>1001</v>
      </c>
      <c r="B109">
        <v>4282.9714999999997</v>
      </c>
    </row>
    <row r="110" spans="1:2" x14ac:dyDescent="0.3">
      <c r="A110" s="2">
        <v>1146</v>
      </c>
      <c r="B110">
        <v>4278.1085000000003</v>
      </c>
    </row>
    <row r="111" spans="1:2" x14ac:dyDescent="0.3">
      <c r="A111" s="2">
        <v>857</v>
      </c>
      <c r="B111">
        <v>4277.2740000000003</v>
      </c>
    </row>
    <row r="112" spans="1:2" x14ac:dyDescent="0.3">
      <c r="A112" s="2">
        <v>984</v>
      </c>
      <c r="B112">
        <v>4275.4054999999998</v>
      </c>
    </row>
    <row r="113" spans="1:2" x14ac:dyDescent="0.3">
      <c r="A113" s="2">
        <v>1135</v>
      </c>
      <c r="B113">
        <v>4248.3355000000001</v>
      </c>
    </row>
    <row r="114" spans="1:2" x14ac:dyDescent="0.3">
      <c r="A114" s="2">
        <v>1119</v>
      </c>
      <c r="B114">
        <v>4214.2920000000004</v>
      </c>
    </row>
    <row r="115" spans="1:2" x14ac:dyDescent="0.3">
      <c r="A115" s="2">
        <v>1088</v>
      </c>
      <c r="B115">
        <v>4206.6529999999993</v>
      </c>
    </row>
    <row r="116" spans="1:2" x14ac:dyDescent="0.3">
      <c r="A116" s="2">
        <v>1187</v>
      </c>
      <c r="B116">
        <v>4184.7349999999997</v>
      </c>
    </row>
    <row r="117" spans="1:2" x14ac:dyDescent="0.3">
      <c r="A117" s="2">
        <v>888</v>
      </c>
      <c r="B117">
        <v>4152.018</v>
      </c>
    </row>
    <row r="118" spans="1:2" x14ac:dyDescent="0.3">
      <c r="A118" s="2">
        <v>854</v>
      </c>
      <c r="B118">
        <v>4133.9440000000004</v>
      </c>
    </row>
    <row r="119" spans="1:2" x14ac:dyDescent="0.3">
      <c r="A119" s="2">
        <v>893</v>
      </c>
      <c r="B119">
        <v>4099.9050000000007</v>
      </c>
    </row>
    <row r="120" spans="1:2" x14ac:dyDescent="0.3">
      <c r="A120" s="2">
        <v>1040</v>
      </c>
      <c r="B120">
        <v>4099.7709999999997</v>
      </c>
    </row>
    <row r="121" spans="1:2" x14ac:dyDescent="0.3">
      <c r="A121" s="2">
        <v>963</v>
      </c>
      <c r="B121">
        <v>4066.2404999999999</v>
      </c>
    </row>
    <row r="122" spans="1:2" x14ac:dyDescent="0.3">
      <c r="A122" s="2">
        <v>1124</v>
      </c>
      <c r="B122">
        <v>4033.0920000000001</v>
      </c>
    </row>
    <row r="123" spans="1:2" x14ac:dyDescent="0.3">
      <c r="A123" s="2">
        <v>1127</v>
      </c>
      <c r="B123">
        <v>4029.797</v>
      </c>
    </row>
    <row r="124" spans="1:2" x14ac:dyDescent="0.3">
      <c r="A124" s="2">
        <v>884</v>
      </c>
      <c r="B124">
        <v>4024.7970000000005</v>
      </c>
    </row>
    <row r="125" spans="1:2" x14ac:dyDescent="0.3">
      <c r="A125" s="2">
        <v>957</v>
      </c>
      <c r="B125">
        <v>4020.9999999999995</v>
      </c>
    </row>
    <row r="126" spans="1:2" x14ac:dyDescent="0.3">
      <c r="A126" s="2">
        <v>841</v>
      </c>
      <c r="B126">
        <v>3972.88</v>
      </c>
    </row>
    <row r="127" spans="1:2" x14ac:dyDescent="0.3">
      <c r="A127" s="2">
        <v>1098</v>
      </c>
      <c r="B127">
        <v>3960.94</v>
      </c>
    </row>
    <row r="128" spans="1:2" x14ac:dyDescent="0.3">
      <c r="A128" s="2">
        <v>1030</v>
      </c>
      <c r="B128">
        <v>3922.7450000000003</v>
      </c>
    </row>
    <row r="129" spans="1:2" x14ac:dyDescent="0.3">
      <c r="A129" s="2">
        <v>1045</v>
      </c>
      <c r="B129">
        <v>3867.5410000000002</v>
      </c>
    </row>
    <row r="130" spans="1:2" x14ac:dyDescent="0.3">
      <c r="A130" s="2">
        <v>1092</v>
      </c>
      <c r="B130">
        <v>3846.5304999999998</v>
      </c>
    </row>
    <row r="131" spans="1:2" x14ac:dyDescent="0.3">
      <c r="A131" s="2">
        <v>839</v>
      </c>
      <c r="B131">
        <v>3845.8829999999998</v>
      </c>
    </row>
    <row r="132" spans="1:2" x14ac:dyDescent="0.3">
      <c r="A132" s="2">
        <v>1108</v>
      </c>
      <c r="B132">
        <v>3789.8864999999996</v>
      </c>
    </row>
    <row r="133" spans="1:2" x14ac:dyDescent="0.3">
      <c r="A133" s="2">
        <v>1152</v>
      </c>
      <c r="B133">
        <v>3752.6480000000001</v>
      </c>
    </row>
    <row r="134" spans="1:2" x14ac:dyDescent="0.3">
      <c r="A134" s="2">
        <v>1141</v>
      </c>
      <c r="B134">
        <v>3742.5969999999993</v>
      </c>
    </row>
    <row r="135" spans="1:2" x14ac:dyDescent="0.3">
      <c r="A135" s="2">
        <v>896</v>
      </c>
      <c r="B135">
        <v>3726.4240000000004</v>
      </c>
    </row>
    <row r="136" spans="1:2" x14ac:dyDescent="0.3">
      <c r="A136" s="2">
        <v>941</v>
      </c>
      <c r="B136">
        <v>3718.4760000000001</v>
      </c>
    </row>
    <row r="137" spans="1:2" x14ac:dyDescent="0.3">
      <c r="A137" s="2">
        <v>1050</v>
      </c>
      <c r="B137">
        <v>3654.4940000000001</v>
      </c>
    </row>
    <row r="138" spans="1:2" x14ac:dyDescent="0.3">
      <c r="A138" s="2">
        <v>823</v>
      </c>
      <c r="B138">
        <v>3645.953</v>
      </c>
    </row>
    <row r="139" spans="1:2" x14ac:dyDescent="0.3">
      <c r="A139" s="2">
        <v>895</v>
      </c>
      <c r="B139">
        <v>3632.127</v>
      </c>
    </row>
    <row r="140" spans="1:2" x14ac:dyDescent="0.3">
      <c r="A140" s="2">
        <v>1025</v>
      </c>
      <c r="B140">
        <v>3631.6109999999999</v>
      </c>
    </row>
    <row r="141" spans="1:2" x14ac:dyDescent="0.3">
      <c r="A141" s="2">
        <v>1041</v>
      </c>
      <c r="B141">
        <v>3628.9344999999994</v>
      </c>
    </row>
    <row r="142" spans="1:2" x14ac:dyDescent="0.3">
      <c r="A142" s="2">
        <v>834</v>
      </c>
      <c r="B142">
        <v>3608.34</v>
      </c>
    </row>
    <row r="143" spans="1:2" x14ac:dyDescent="0.3">
      <c r="A143" s="2">
        <v>1063</v>
      </c>
      <c r="B143">
        <v>3599.5129999999999</v>
      </c>
    </row>
    <row r="144" spans="1:2" x14ac:dyDescent="0.3">
      <c r="A144" s="2">
        <v>1115</v>
      </c>
      <c r="B144">
        <v>3580.9079999999999</v>
      </c>
    </row>
    <row r="145" spans="1:2" x14ac:dyDescent="0.3">
      <c r="A145" s="2">
        <v>973</v>
      </c>
      <c r="B145">
        <v>3576.7219999999998</v>
      </c>
    </row>
    <row r="146" spans="1:2" x14ac:dyDescent="0.3">
      <c r="A146" s="2">
        <v>92</v>
      </c>
      <c r="B146">
        <v>3569.19</v>
      </c>
    </row>
    <row r="147" spans="1:2" x14ac:dyDescent="0.3">
      <c r="A147" s="2">
        <v>1043</v>
      </c>
      <c r="B147">
        <v>3557.1659999999997</v>
      </c>
    </row>
    <row r="148" spans="1:2" x14ac:dyDescent="0.3">
      <c r="A148" s="2">
        <v>1024</v>
      </c>
      <c r="B148">
        <v>3535.8455000000004</v>
      </c>
    </row>
    <row r="149" spans="1:2" x14ac:dyDescent="0.3">
      <c r="A149" s="2">
        <v>1138</v>
      </c>
      <c r="B149">
        <v>3534.7505000000001</v>
      </c>
    </row>
    <row r="150" spans="1:2" x14ac:dyDescent="0.3">
      <c r="A150" s="2">
        <v>1069</v>
      </c>
      <c r="B150">
        <v>3510.7604999999994</v>
      </c>
    </row>
    <row r="151" spans="1:2" x14ac:dyDescent="0.3">
      <c r="A151" s="2">
        <v>784</v>
      </c>
      <c r="B151">
        <v>3491.2935000000002</v>
      </c>
    </row>
    <row r="152" spans="1:2" x14ac:dyDescent="0.3">
      <c r="A152" s="2">
        <v>948</v>
      </c>
      <c r="B152">
        <v>3469.8464999999997</v>
      </c>
    </row>
    <row r="153" spans="1:2" x14ac:dyDescent="0.3">
      <c r="A153" s="2">
        <v>870</v>
      </c>
      <c r="B153">
        <v>3447.9</v>
      </c>
    </row>
    <row r="154" spans="1:2" x14ac:dyDescent="0.3">
      <c r="A154" s="2">
        <v>982</v>
      </c>
      <c r="B154">
        <v>3443.5280000000002</v>
      </c>
    </row>
    <row r="155" spans="1:2" x14ac:dyDescent="0.3">
      <c r="A155" s="2">
        <v>1134</v>
      </c>
      <c r="B155">
        <v>3440.7</v>
      </c>
    </row>
    <row r="156" spans="1:2" x14ac:dyDescent="0.3">
      <c r="A156" s="2">
        <v>871</v>
      </c>
      <c r="B156">
        <v>3431.8140000000003</v>
      </c>
    </row>
    <row r="157" spans="1:2" x14ac:dyDescent="0.3">
      <c r="A157" s="2">
        <v>805</v>
      </c>
      <c r="B157">
        <v>3414.3090000000002</v>
      </c>
    </row>
    <row r="158" spans="1:2" x14ac:dyDescent="0.3">
      <c r="A158" s="2">
        <v>983</v>
      </c>
      <c r="B158">
        <v>3413.0839999999998</v>
      </c>
    </row>
    <row r="159" spans="1:2" x14ac:dyDescent="0.3">
      <c r="A159" s="2">
        <v>976</v>
      </c>
      <c r="B159">
        <v>3410.19</v>
      </c>
    </row>
    <row r="160" spans="1:2" x14ac:dyDescent="0.3">
      <c r="A160" s="2">
        <v>1125</v>
      </c>
      <c r="B160">
        <v>3401.8519999999999</v>
      </c>
    </row>
    <row r="161" spans="1:2" x14ac:dyDescent="0.3">
      <c r="A161" s="2">
        <v>272</v>
      </c>
      <c r="B161">
        <v>3377.5499999999997</v>
      </c>
    </row>
    <row r="162" spans="1:2" x14ac:dyDescent="0.3">
      <c r="A162" s="2">
        <v>159</v>
      </c>
      <c r="B162">
        <v>3372.1200000000003</v>
      </c>
    </row>
    <row r="163" spans="1:2" x14ac:dyDescent="0.3">
      <c r="A163" s="2">
        <v>1074</v>
      </c>
      <c r="B163">
        <v>3368.9065000000005</v>
      </c>
    </row>
    <row r="164" spans="1:2" x14ac:dyDescent="0.3">
      <c r="A164" s="2">
        <v>191</v>
      </c>
      <c r="B164">
        <v>3368.6099999999997</v>
      </c>
    </row>
    <row r="165" spans="1:2" x14ac:dyDescent="0.3">
      <c r="A165" s="2">
        <v>1060</v>
      </c>
      <c r="B165">
        <v>3362.9440000000004</v>
      </c>
    </row>
    <row r="166" spans="1:2" x14ac:dyDescent="0.3">
      <c r="A166" s="2">
        <v>898</v>
      </c>
      <c r="B166">
        <v>3355.74</v>
      </c>
    </row>
    <row r="167" spans="1:2" x14ac:dyDescent="0.3">
      <c r="A167" s="2">
        <v>817</v>
      </c>
      <c r="B167">
        <v>3349.6365000000005</v>
      </c>
    </row>
    <row r="168" spans="1:2" x14ac:dyDescent="0.3">
      <c r="A168" s="2">
        <v>1131</v>
      </c>
      <c r="B168">
        <v>3335.232</v>
      </c>
    </row>
    <row r="169" spans="1:2" x14ac:dyDescent="0.3">
      <c r="A169" s="2">
        <v>994</v>
      </c>
      <c r="B169">
        <v>3321.96</v>
      </c>
    </row>
    <row r="170" spans="1:2" x14ac:dyDescent="0.3">
      <c r="A170" s="2">
        <v>1118</v>
      </c>
      <c r="B170">
        <v>3308.6149999999998</v>
      </c>
    </row>
    <row r="171" spans="1:2" x14ac:dyDescent="0.3">
      <c r="A171" s="2">
        <v>816</v>
      </c>
      <c r="B171">
        <v>3303.0510000000004</v>
      </c>
    </row>
    <row r="172" spans="1:2" x14ac:dyDescent="0.3">
      <c r="A172" s="2">
        <v>950</v>
      </c>
      <c r="B172">
        <v>3299.8865000000001</v>
      </c>
    </row>
    <row r="173" spans="1:2" x14ac:dyDescent="0.3">
      <c r="A173" s="2">
        <v>548</v>
      </c>
      <c r="B173">
        <v>3292.6049999999996</v>
      </c>
    </row>
    <row r="174" spans="1:2" x14ac:dyDescent="0.3">
      <c r="A174" s="2">
        <v>1044</v>
      </c>
      <c r="B174">
        <v>3273.9510000000005</v>
      </c>
    </row>
    <row r="175" spans="1:2" x14ac:dyDescent="0.3">
      <c r="A175" s="2">
        <v>974</v>
      </c>
      <c r="B175">
        <v>3263.2025000000003</v>
      </c>
    </row>
    <row r="176" spans="1:2" x14ac:dyDescent="0.3">
      <c r="A176" s="2">
        <v>866</v>
      </c>
      <c r="B176">
        <v>3256.9600000000005</v>
      </c>
    </row>
    <row r="177" spans="1:2" x14ac:dyDescent="0.3">
      <c r="A177" s="2">
        <v>891</v>
      </c>
      <c r="B177">
        <v>3255.26</v>
      </c>
    </row>
    <row r="178" spans="1:2" x14ac:dyDescent="0.3">
      <c r="A178" s="2">
        <v>945</v>
      </c>
      <c r="B178">
        <v>3246.1019999999999</v>
      </c>
    </row>
    <row r="179" spans="1:2" x14ac:dyDescent="0.3">
      <c r="A179" s="2">
        <v>1093</v>
      </c>
      <c r="B179">
        <v>3232.1280000000002</v>
      </c>
    </row>
    <row r="180" spans="1:2" x14ac:dyDescent="0.3">
      <c r="A180" s="2">
        <v>815</v>
      </c>
      <c r="B180">
        <v>3213.2384999999995</v>
      </c>
    </row>
    <row r="181" spans="1:2" x14ac:dyDescent="0.3">
      <c r="A181" s="2">
        <v>946</v>
      </c>
      <c r="B181">
        <v>3212.2739999999999</v>
      </c>
    </row>
    <row r="182" spans="1:2" x14ac:dyDescent="0.3">
      <c r="A182" s="2">
        <v>387</v>
      </c>
      <c r="B182">
        <v>3212.2710000000002</v>
      </c>
    </row>
    <row r="183" spans="1:2" x14ac:dyDescent="0.3">
      <c r="A183" s="2">
        <v>355</v>
      </c>
      <c r="B183">
        <v>3200.1794999999997</v>
      </c>
    </row>
    <row r="184" spans="1:2" x14ac:dyDescent="0.3">
      <c r="A184" s="2">
        <v>320</v>
      </c>
      <c r="B184">
        <v>3200.1794999999997</v>
      </c>
    </row>
    <row r="185" spans="1:2" x14ac:dyDescent="0.3">
      <c r="A185" s="2">
        <v>110</v>
      </c>
      <c r="B185">
        <v>3200.1794999999997</v>
      </c>
    </row>
    <row r="186" spans="1:2" x14ac:dyDescent="0.3">
      <c r="A186" s="2">
        <v>71</v>
      </c>
      <c r="B186">
        <v>3194.6400000000003</v>
      </c>
    </row>
    <row r="187" spans="1:2" x14ac:dyDescent="0.3">
      <c r="A187" s="2">
        <v>1109</v>
      </c>
      <c r="B187">
        <v>3179.2759999999998</v>
      </c>
    </row>
    <row r="188" spans="1:2" x14ac:dyDescent="0.3">
      <c r="A188" s="2">
        <v>1101</v>
      </c>
      <c r="B188">
        <v>3178.8139999999999</v>
      </c>
    </row>
    <row r="189" spans="1:2" x14ac:dyDescent="0.3">
      <c r="A189" s="2">
        <v>830</v>
      </c>
      <c r="B189">
        <v>3169.9935000000005</v>
      </c>
    </row>
    <row r="190" spans="1:2" x14ac:dyDescent="0.3">
      <c r="A190" s="2">
        <v>1015</v>
      </c>
      <c r="B190">
        <v>3154.2314999999999</v>
      </c>
    </row>
    <row r="191" spans="1:2" x14ac:dyDescent="0.3">
      <c r="A191" s="2">
        <v>842</v>
      </c>
      <c r="B191">
        <v>3134.96</v>
      </c>
    </row>
    <row r="192" spans="1:2" x14ac:dyDescent="0.3">
      <c r="A192" s="2">
        <v>1140</v>
      </c>
      <c r="B192">
        <v>3133.1765</v>
      </c>
    </row>
    <row r="193" spans="1:2" x14ac:dyDescent="0.3">
      <c r="A193" s="2">
        <v>210</v>
      </c>
      <c r="B193">
        <v>3116.31</v>
      </c>
    </row>
    <row r="194" spans="1:2" x14ac:dyDescent="0.3">
      <c r="A194" s="2">
        <v>1200</v>
      </c>
      <c r="B194">
        <v>3115.4669999999996</v>
      </c>
    </row>
    <row r="195" spans="1:2" x14ac:dyDescent="0.3">
      <c r="A195" s="2">
        <v>620</v>
      </c>
      <c r="B195">
        <v>3114</v>
      </c>
    </row>
    <row r="196" spans="1:2" x14ac:dyDescent="0.3">
      <c r="A196" s="2">
        <v>1067</v>
      </c>
      <c r="B196">
        <v>3110.0159999999996</v>
      </c>
    </row>
    <row r="197" spans="1:2" x14ac:dyDescent="0.3">
      <c r="A197" s="2">
        <v>903</v>
      </c>
      <c r="B197">
        <v>3108.1640000000002</v>
      </c>
    </row>
    <row r="198" spans="1:2" x14ac:dyDescent="0.3">
      <c r="A198" s="2">
        <v>316</v>
      </c>
      <c r="B198">
        <v>3102.93</v>
      </c>
    </row>
    <row r="199" spans="1:2" x14ac:dyDescent="0.3">
      <c r="A199" s="2">
        <v>593</v>
      </c>
      <c r="B199">
        <v>3102.93</v>
      </c>
    </row>
    <row r="200" spans="1:2" x14ac:dyDescent="0.3">
      <c r="A200" s="2">
        <v>1107</v>
      </c>
      <c r="B200">
        <v>3097.6934999999999</v>
      </c>
    </row>
    <row r="201" spans="1:2" x14ac:dyDescent="0.3">
      <c r="A201" s="2">
        <v>1064</v>
      </c>
      <c r="B201">
        <v>3086.0879999999997</v>
      </c>
    </row>
    <row r="202" spans="1:2" x14ac:dyDescent="0.3">
      <c r="A202" s="2">
        <v>587</v>
      </c>
      <c r="B202">
        <v>3072.8415</v>
      </c>
    </row>
    <row r="203" spans="1:2" x14ac:dyDescent="0.3">
      <c r="A203" s="2">
        <v>260</v>
      </c>
      <c r="B203">
        <v>3072.8415</v>
      </c>
    </row>
    <row r="204" spans="1:2" x14ac:dyDescent="0.3">
      <c r="A204" s="2">
        <v>370</v>
      </c>
      <c r="B204">
        <v>3059.55</v>
      </c>
    </row>
    <row r="205" spans="1:2" x14ac:dyDescent="0.3">
      <c r="A205" s="2">
        <v>828</v>
      </c>
      <c r="B205">
        <v>3050.6450000000004</v>
      </c>
    </row>
    <row r="206" spans="1:2" x14ac:dyDescent="0.3">
      <c r="A206" s="2">
        <v>939</v>
      </c>
      <c r="B206">
        <v>3050.5335</v>
      </c>
    </row>
    <row r="207" spans="1:2" x14ac:dyDescent="0.3">
      <c r="A207" s="2">
        <v>1084</v>
      </c>
      <c r="B207">
        <v>3050.4960000000001</v>
      </c>
    </row>
    <row r="208" spans="1:2" x14ac:dyDescent="0.3">
      <c r="A208" s="2">
        <v>489</v>
      </c>
      <c r="B208">
        <v>3048.18</v>
      </c>
    </row>
    <row r="209" spans="1:2" x14ac:dyDescent="0.3">
      <c r="A209" s="2">
        <v>877</v>
      </c>
      <c r="B209">
        <v>3047.6839999999997</v>
      </c>
    </row>
    <row r="210" spans="1:2" x14ac:dyDescent="0.3">
      <c r="A210" s="2">
        <v>821</v>
      </c>
      <c r="B210">
        <v>3045.9885000000004</v>
      </c>
    </row>
    <row r="211" spans="1:2" x14ac:dyDescent="0.3">
      <c r="A211" s="2">
        <v>699</v>
      </c>
      <c r="B211">
        <v>3042.7920000000004</v>
      </c>
    </row>
    <row r="212" spans="1:2" x14ac:dyDescent="0.3">
      <c r="A212" s="2">
        <v>91</v>
      </c>
      <c r="B212">
        <v>3042.7920000000004</v>
      </c>
    </row>
    <row r="213" spans="1:2" x14ac:dyDescent="0.3">
      <c r="A213" s="2">
        <v>577</v>
      </c>
      <c r="B213">
        <v>3039.7949999999996</v>
      </c>
    </row>
    <row r="214" spans="1:2" x14ac:dyDescent="0.3">
      <c r="A214" s="2">
        <v>343</v>
      </c>
      <c r="B214">
        <v>3034.95</v>
      </c>
    </row>
    <row r="215" spans="1:2" x14ac:dyDescent="0.3">
      <c r="A215" s="2">
        <v>400</v>
      </c>
      <c r="B215">
        <v>3033.8114999999998</v>
      </c>
    </row>
    <row r="216" spans="1:2" x14ac:dyDescent="0.3">
      <c r="A216" s="2">
        <v>844</v>
      </c>
      <c r="B216">
        <v>3008.9025000000001</v>
      </c>
    </row>
    <row r="217" spans="1:2" x14ac:dyDescent="0.3">
      <c r="A217" s="2">
        <v>1032</v>
      </c>
      <c r="B217">
        <v>2989.1009999999997</v>
      </c>
    </row>
    <row r="218" spans="1:2" x14ac:dyDescent="0.3">
      <c r="A218" s="2">
        <v>1065</v>
      </c>
      <c r="B218">
        <v>2986.9105</v>
      </c>
    </row>
    <row r="219" spans="1:2" x14ac:dyDescent="0.3">
      <c r="A219" s="2">
        <v>477</v>
      </c>
      <c r="B219">
        <v>2976.0299999999997</v>
      </c>
    </row>
    <row r="220" spans="1:2" x14ac:dyDescent="0.3">
      <c r="A220" s="2">
        <v>1113</v>
      </c>
      <c r="B220">
        <v>2960.9250000000002</v>
      </c>
    </row>
    <row r="221" spans="1:2" x14ac:dyDescent="0.3">
      <c r="A221" s="2">
        <v>187</v>
      </c>
      <c r="B221">
        <v>2951.0384999999997</v>
      </c>
    </row>
    <row r="222" spans="1:2" x14ac:dyDescent="0.3">
      <c r="A222" s="2">
        <v>883</v>
      </c>
      <c r="B222">
        <v>2948.35</v>
      </c>
    </row>
    <row r="223" spans="1:2" x14ac:dyDescent="0.3">
      <c r="A223" s="2">
        <v>646</v>
      </c>
      <c r="B223">
        <v>2947.7834999999995</v>
      </c>
    </row>
    <row r="224" spans="1:2" x14ac:dyDescent="0.3">
      <c r="A224" s="2">
        <v>377</v>
      </c>
      <c r="B224">
        <v>2947.7834999999995</v>
      </c>
    </row>
    <row r="225" spans="1:2" x14ac:dyDescent="0.3">
      <c r="A225" s="2">
        <v>466</v>
      </c>
      <c r="B225">
        <v>2947.7834999999995</v>
      </c>
    </row>
    <row r="226" spans="1:2" x14ac:dyDescent="0.3">
      <c r="A226" s="2">
        <v>900</v>
      </c>
      <c r="B226">
        <v>2946.1875</v>
      </c>
    </row>
    <row r="227" spans="1:2" x14ac:dyDescent="0.3">
      <c r="A227" s="2">
        <v>538</v>
      </c>
      <c r="B227">
        <v>2946.0149999999994</v>
      </c>
    </row>
    <row r="228" spans="1:2" x14ac:dyDescent="0.3">
      <c r="A228" s="2">
        <v>1029</v>
      </c>
      <c r="B228">
        <v>2943.1180000000004</v>
      </c>
    </row>
    <row r="229" spans="1:2" x14ac:dyDescent="0.3">
      <c r="A229" s="2">
        <v>997</v>
      </c>
      <c r="B229">
        <v>2941.1099999999997</v>
      </c>
    </row>
    <row r="230" spans="1:2" x14ac:dyDescent="0.3">
      <c r="A230" s="2">
        <v>832</v>
      </c>
      <c r="B230">
        <v>2925.75</v>
      </c>
    </row>
    <row r="231" spans="1:2" x14ac:dyDescent="0.3">
      <c r="A231" s="2">
        <v>682</v>
      </c>
      <c r="B231">
        <v>2923.62</v>
      </c>
    </row>
    <row r="232" spans="1:2" x14ac:dyDescent="0.3">
      <c r="A232" s="2">
        <v>445</v>
      </c>
      <c r="B232">
        <v>2923.62</v>
      </c>
    </row>
    <row r="233" spans="1:2" x14ac:dyDescent="0.3">
      <c r="A233" s="2">
        <v>981</v>
      </c>
      <c r="B233">
        <v>2916.8895000000002</v>
      </c>
    </row>
    <row r="234" spans="1:2" x14ac:dyDescent="0.3">
      <c r="A234" s="2">
        <v>1085</v>
      </c>
      <c r="B234">
        <v>2910.9265</v>
      </c>
    </row>
    <row r="235" spans="1:2" x14ac:dyDescent="0.3">
      <c r="A235" s="2">
        <v>879</v>
      </c>
      <c r="B235">
        <v>2910.5699999999997</v>
      </c>
    </row>
    <row r="236" spans="1:2" x14ac:dyDescent="0.3">
      <c r="A236" s="2">
        <v>672</v>
      </c>
      <c r="B236">
        <v>2906.61</v>
      </c>
    </row>
    <row r="237" spans="1:2" x14ac:dyDescent="0.3">
      <c r="A237" s="2">
        <v>20</v>
      </c>
      <c r="B237">
        <v>2906.61</v>
      </c>
    </row>
    <row r="238" spans="1:2" x14ac:dyDescent="0.3">
      <c r="A238" s="2">
        <v>698</v>
      </c>
      <c r="B238">
        <v>2891.1825000000003</v>
      </c>
    </row>
    <row r="239" spans="1:2" x14ac:dyDescent="0.3">
      <c r="A239" s="2">
        <v>229</v>
      </c>
      <c r="B239">
        <v>2883.2024999999999</v>
      </c>
    </row>
    <row r="240" spans="1:2" x14ac:dyDescent="0.3">
      <c r="A240" s="2">
        <v>1037</v>
      </c>
      <c r="B240">
        <v>2876.7510000000002</v>
      </c>
    </row>
    <row r="241" spans="1:2" x14ac:dyDescent="0.3">
      <c r="A241" s="2">
        <v>504</v>
      </c>
      <c r="B241">
        <v>2876.61</v>
      </c>
    </row>
    <row r="242" spans="1:2" x14ac:dyDescent="0.3">
      <c r="A242" s="2">
        <v>23</v>
      </c>
      <c r="B242">
        <v>2876.61</v>
      </c>
    </row>
    <row r="243" spans="1:2" x14ac:dyDescent="0.3">
      <c r="A243" s="2">
        <v>170</v>
      </c>
      <c r="B243">
        <v>2876.61</v>
      </c>
    </row>
    <row r="244" spans="1:2" x14ac:dyDescent="0.3">
      <c r="A244" s="2">
        <v>266</v>
      </c>
      <c r="B244">
        <v>2870.9174999999996</v>
      </c>
    </row>
    <row r="245" spans="1:2" x14ac:dyDescent="0.3">
      <c r="A245" s="2">
        <v>188</v>
      </c>
      <c r="B245">
        <v>2855.43</v>
      </c>
    </row>
    <row r="246" spans="1:2" x14ac:dyDescent="0.3">
      <c r="A246" s="2">
        <v>922</v>
      </c>
      <c r="B246">
        <v>2846.8009999999995</v>
      </c>
    </row>
    <row r="247" spans="1:2" x14ac:dyDescent="0.3">
      <c r="A247" s="2">
        <v>1072</v>
      </c>
      <c r="B247">
        <v>2844.0179999999996</v>
      </c>
    </row>
    <row r="248" spans="1:2" x14ac:dyDescent="0.3">
      <c r="A248" s="2">
        <v>1017</v>
      </c>
      <c r="B248">
        <v>2843.2449999999999</v>
      </c>
    </row>
    <row r="249" spans="1:2" x14ac:dyDescent="0.3">
      <c r="A249" s="2">
        <v>1099</v>
      </c>
      <c r="B249">
        <v>2835.4350000000004</v>
      </c>
    </row>
    <row r="250" spans="1:2" x14ac:dyDescent="0.3">
      <c r="A250" s="2">
        <v>851</v>
      </c>
      <c r="B250">
        <v>2832.3074999999999</v>
      </c>
    </row>
    <row r="251" spans="1:2" x14ac:dyDescent="0.3">
      <c r="A251" s="2">
        <v>873</v>
      </c>
      <c r="B251">
        <v>2829.5459999999998</v>
      </c>
    </row>
    <row r="252" spans="1:2" x14ac:dyDescent="0.3">
      <c r="A252" s="2">
        <v>912</v>
      </c>
      <c r="B252">
        <v>2829.1125000000002</v>
      </c>
    </row>
    <row r="253" spans="1:2" x14ac:dyDescent="0.3">
      <c r="A253" s="2">
        <v>786</v>
      </c>
      <c r="B253">
        <v>2824.5160000000001</v>
      </c>
    </row>
    <row r="254" spans="1:2" x14ac:dyDescent="0.3">
      <c r="A254" s="2">
        <v>899</v>
      </c>
      <c r="B254">
        <v>2812.41</v>
      </c>
    </row>
    <row r="255" spans="1:2" x14ac:dyDescent="0.3">
      <c r="A255" s="2">
        <v>50</v>
      </c>
      <c r="B255">
        <v>2804.6790000000001</v>
      </c>
    </row>
    <row r="256" spans="1:2" x14ac:dyDescent="0.3">
      <c r="A256" s="2">
        <v>47</v>
      </c>
      <c r="B256">
        <v>2804.6790000000001</v>
      </c>
    </row>
    <row r="257" spans="1:2" x14ac:dyDescent="0.3">
      <c r="A257" s="2">
        <v>419</v>
      </c>
      <c r="B257">
        <v>2802.6</v>
      </c>
    </row>
    <row r="258" spans="1:2" x14ac:dyDescent="0.3">
      <c r="A258" s="2">
        <v>1035</v>
      </c>
      <c r="B258">
        <v>2782.9870000000001</v>
      </c>
    </row>
    <row r="259" spans="1:2" x14ac:dyDescent="0.3">
      <c r="A259" s="2">
        <v>850</v>
      </c>
      <c r="B259">
        <v>2778.1440000000002</v>
      </c>
    </row>
    <row r="260" spans="1:2" x14ac:dyDescent="0.3">
      <c r="A260" s="2">
        <v>481</v>
      </c>
      <c r="B260">
        <v>2777.4480000000003</v>
      </c>
    </row>
    <row r="261" spans="1:2" x14ac:dyDescent="0.3">
      <c r="A261" s="2">
        <v>503</v>
      </c>
      <c r="B261">
        <v>2777.4389999999999</v>
      </c>
    </row>
    <row r="262" spans="1:2" x14ac:dyDescent="0.3">
      <c r="A262" s="2">
        <v>121</v>
      </c>
      <c r="B262">
        <v>2777.4389999999999</v>
      </c>
    </row>
    <row r="263" spans="1:2" x14ac:dyDescent="0.3">
      <c r="A263" s="2">
        <v>722</v>
      </c>
      <c r="B263">
        <v>2772.72</v>
      </c>
    </row>
    <row r="264" spans="1:2" x14ac:dyDescent="0.3">
      <c r="A264" s="2">
        <v>993</v>
      </c>
      <c r="B264">
        <v>2758.26</v>
      </c>
    </row>
    <row r="265" spans="1:2" x14ac:dyDescent="0.3">
      <c r="A265" s="2">
        <v>919</v>
      </c>
      <c r="B265">
        <v>2754.78</v>
      </c>
    </row>
    <row r="266" spans="1:2" x14ac:dyDescent="0.3">
      <c r="A266" s="2">
        <v>911</v>
      </c>
      <c r="B266">
        <v>2751.12</v>
      </c>
    </row>
    <row r="267" spans="1:2" x14ac:dyDescent="0.3">
      <c r="A267" s="2">
        <v>633</v>
      </c>
      <c r="B267">
        <v>2749.3845000000001</v>
      </c>
    </row>
    <row r="268" spans="1:2" x14ac:dyDescent="0.3">
      <c r="A268" s="2">
        <v>737</v>
      </c>
      <c r="B268">
        <v>2749.3845000000001</v>
      </c>
    </row>
    <row r="269" spans="1:2" x14ac:dyDescent="0.3">
      <c r="A269" s="2">
        <v>177</v>
      </c>
      <c r="B269">
        <v>2749.3845000000001</v>
      </c>
    </row>
    <row r="270" spans="1:2" x14ac:dyDescent="0.3">
      <c r="A270" s="2">
        <v>1049</v>
      </c>
      <c r="B270">
        <v>2739.0190000000002</v>
      </c>
    </row>
    <row r="271" spans="1:2" x14ac:dyDescent="0.3">
      <c r="A271" s="2">
        <v>715</v>
      </c>
      <c r="B271">
        <v>2732.7795000000001</v>
      </c>
    </row>
    <row r="272" spans="1:2" x14ac:dyDescent="0.3">
      <c r="A272" s="2">
        <v>249</v>
      </c>
      <c r="B272">
        <v>2731.4549999999999</v>
      </c>
    </row>
    <row r="273" spans="1:2" x14ac:dyDescent="0.3">
      <c r="A273" s="2">
        <v>194</v>
      </c>
      <c r="B273">
        <v>2731.4549999999999</v>
      </c>
    </row>
    <row r="274" spans="1:2" x14ac:dyDescent="0.3">
      <c r="A274" s="2">
        <v>1121</v>
      </c>
      <c r="B274">
        <v>2713.57</v>
      </c>
    </row>
    <row r="275" spans="1:2" x14ac:dyDescent="0.3">
      <c r="A275" s="2">
        <v>119</v>
      </c>
      <c r="B275">
        <v>2712.6584999999995</v>
      </c>
    </row>
    <row r="276" spans="1:2" x14ac:dyDescent="0.3">
      <c r="A276" s="2">
        <v>1111</v>
      </c>
      <c r="B276">
        <v>2708.2640000000001</v>
      </c>
    </row>
    <row r="277" spans="1:2" x14ac:dyDescent="0.3">
      <c r="A277" s="2">
        <v>576</v>
      </c>
      <c r="B277">
        <v>2704.7040000000002</v>
      </c>
    </row>
    <row r="278" spans="1:2" x14ac:dyDescent="0.3">
      <c r="A278" s="2">
        <v>586</v>
      </c>
      <c r="B278">
        <v>2702.37</v>
      </c>
    </row>
    <row r="279" spans="1:2" x14ac:dyDescent="0.3">
      <c r="A279" s="2">
        <v>501</v>
      </c>
      <c r="B279">
        <v>2702.04</v>
      </c>
    </row>
    <row r="280" spans="1:2" x14ac:dyDescent="0.3">
      <c r="A280" s="2">
        <v>611</v>
      </c>
      <c r="B280">
        <v>2687.6639999999998</v>
      </c>
    </row>
    <row r="281" spans="1:2" x14ac:dyDescent="0.3">
      <c r="A281" s="2">
        <v>847</v>
      </c>
      <c r="B281">
        <v>2670.6444999999999</v>
      </c>
    </row>
    <row r="282" spans="1:2" x14ac:dyDescent="0.3">
      <c r="A282" s="2">
        <v>925</v>
      </c>
      <c r="B282">
        <v>2669.7314999999999</v>
      </c>
    </row>
    <row r="283" spans="1:2" x14ac:dyDescent="0.3">
      <c r="A283" s="2">
        <v>979</v>
      </c>
      <c r="B283">
        <v>2666.6889999999999</v>
      </c>
    </row>
    <row r="284" spans="1:2" x14ac:dyDescent="0.3">
      <c r="A284" s="2">
        <v>858</v>
      </c>
      <c r="B284">
        <v>2666.0630000000001</v>
      </c>
    </row>
    <row r="285" spans="1:2" x14ac:dyDescent="0.3">
      <c r="A285" s="2">
        <v>872</v>
      </c>
      <c r="B285">
        <v>2664.09</v>
      </c>
    </row>
    <row r="286" spans="1:2" x14ac:dyDescent="0.3">
      <c r="A286" s="2">
        <v>812</v>
      </c>
      <c r="B286">
        <v>2660.9459999999999</v>
      </c>
    </row>
    <row r="287" spans="1:2" x14ac:dyDescent="0.3">
      <c r="A287" s="2">
        <v>312</v>
      </c>
      <c r="B287">
        <v>2660.3129999999996</v>
      </c>
    </row>
    <row r="288" spans="1:2" x14ac:dyDescent="0.3">
      <c r="A288" s="2">
        <v>868</v>
      </c>
      <c r="B288">
        <v>2657.7520000000004</v>
      </c>
    </row>
    <row r="289" spans="1:2" x14ac:dyDescent="0.3">
      <c r="A289" s="2">
        <v>827</v>
      </c>
      <c r="B289">
        <v>2656.8239999999996</v>
      </c>
    </row>
    <row r="290" spans="1:2" x14ac:dyDescent="0.3">
      <c r="A290" s="2">
        <v>645</v>
      </c>
      <c r="B290">
        <v>2648.8634999999999</v>
      </c>
    </row>
    <row r="291" spans="1:2" x14ac:dyDescent="0.3">
      <c r="A291" s="2">
        <v>374</v>
      </c>
      <c r="B291">
        <v>2648.8634999999999</v>
      </c>
    </row>
    <row r="292" spans="1:2" x14ac:dyDescent="0.3">
      <c r="A292" s="2">
        <v>1019</v>
      </c>
      <c r="B292">
        <v>2642.6410000000001</v>
      </c>
    </row>
    <row r="293" spans="1:2" x14ac:dyDescent="0.3">
      <c r="A293" s="2">
        <v>856</v>
      </c>
      <c r="B293">
        <v>2641.0005000000001</v>
      </c>
    </row>
    <row r="294" spans="1:2" x14ac:dyDescent="0.3">
      <c r="A294" s="2">
        <v>141</v>
      </c>
      <c r="B294">
        <v>2637.4904999999999</v>
      </c>
    </row>
    <row r="295" spans="1:2" x14ac:dyDescent="0.3">
      <c r="A295" s="2">
        <v>1003</v>
      </c>
      <c r="B295">
        <v>2636.085</v>
      </c>
    </row>
    <row r="296" spans="1:2" x14ac:dyDescent="0.3">
      <c r="A296" s="2">
        <v>907</v>
      </c>
      <c r="B296">
        <v>2631.924</v>
      </c>
    </row>
    <row r="297" spans="1:2" x14ac:dyDescent="0.3">
      <c r="A297" s="2">
        <v>417</v>
      </c>
      <c r="B297">
        <v>2631.2579999999998</v>
      </c>
    </row>
    <row r="298" spans="1:2" x14ac:dyDescent="0.3">
      <c r="A298" s="2">
        <v>863</v>
      </c>
      <c r="B298">
        <v>2620.8869999999997</v>
      </c>
    </row>
    <row r="299" spans="1:2" x14ac:dyDescent="0.3">
      <c r="A299" s="2">
        <v>935</v>
      </c>
      <c r="B299">
        <v>2608.0795000000003</v>
      </c>
    </row>
    <row r="300" spans="1:2" x14ac:dyDescent="0.3">
      <c r="A300" s="2">
        <v>278</v>
      </c>
      <c r="B300">
        <v>2600.67</v>
      </c>
    </row>
    <row r="301" spans="1:2" x14ac:dyDescent="0.3">
      <c r="A301" s="2">
        <v>291</v>
      </c>
      <c r="B301">
        <v>2590.953</v>
      </c>
    </row>
    <row r="302" spans="1:2" x14ac:dyDescent="0.3">
      <c r="A302" s="2">
        <v>128</v>
      </c>
      <c r="B302">
        <v>2590.953</v>
      </c>
    </row>
    <row r="303" spans="1:2" x14ac:dyDescent="0.3">
      <c r="A303" s="2">
        <v>748</v>
      </c>
      <c r="B303">
        <v>2588.9490000000001</v>
      </c>
    </row>
    <row r="304" spans="1:2" x14ac:dyDescent="0.3">
      <c r="A304" s="2">
        <v>224</v>
      </c>
      <c r="B304">
        <v>2587.6560000000004</v>
      </c>
    </row>
    <row r="305" spans="1:2" x14ac:dyDescent="0.3">
      <c r="A305" s="2">
        <v>145</v>
      </c>
      <c r="B305">
        <v>2586.8475000000003</v>
      </c>
    </row>
    <row r="306" spans="1:2" x14ac:dyDescent="0.3">
      <c r="A306" s="2">
        <v>864</v>
      </c>
      <c r="B306">
        <v>2581.7699999999995</v>
      </c>
    </row>
    <row r="307" spans="1:2" x14ac:dyDescent="0.3">
      <c r="A307" s="2">
        <v>259</v>
      </c>
      <c r="B307">
        <v>2569.8869999999997</v>
      </c>
    </row>
    <row r="308" spans="1:2" x14ac:dyDescent="0.3">
      <c r="A308" s="2">
        <v>942</v>
      </c>
      <c r="B308">
        <v>2567.3519999999999</v>
      </c>
    </row>
    <row r="309" spans="1:2" x14ac:dyDescent="0.3">
      <c r="A309" s="2">
        <v>947</v>
      </c>
      <c r="B309">
        <v>2557.6664999999998</v>
      </c>
    </row>
    <row r="310" spans="1:2" x14ac:dyDescent="0.3">
      <c r="A310" s="2">
        <v>987</v>
      </c>
      <c r="B310">
        <v>2550.2170000000001</v>
      </c>
    </row>
    <row r="311" spans="1:2" x14ac:dyDescent="0.3">
      <c r="A311" s="2">
        <v>944</v>
      </c>
      <c r="B311">
        <v>2538.9839999999999</v>
      </c>
    </row>
    <row r="312" spans="1:2" x14ac:dyDescent="0.3">
      <c r="A312" s="2">
        <v>790</v>
      </c>
      <c r="B312">
        <v>2532.1019999999999</v>
      </c>
    </row>
    <row r="313" spans="1:2" x14ac:dyDescent="0.3">
      <c r="A313" s="2">
        <v>198</v>
      </c>
      <c r="B313">
        <v>2529.6254999999996</v>
      </c>
    </row>
    <row r="314" spans="1:2" x14ac:dyDescent="0.3">
      <c r="A314" s="2">
        <v>848</v>
      </c>
      <c r="B314">
        <v>2519.5074999999997</v>
      </c>
    </row>
    <row r="315" spans="1:2" x14ac:dyDescent="0.3">
      <c r="A315" s="2">
        <v>1058</v>
      </c>
      <c r="B315">
        <v>2511.0059999999999</v>
      </c>
    </row>
    <row r="316" spans="1:2" x14ac:dyDescent="0.3">
      <c r="A316" s="2">
        <v>1123</v>
      </c>
      <c r="B316">
        <v>2509.7399999999998</v>
      </c>
    </row>
    <row r="317" spans="1:2" x14ac:dyDescent="0.3">
      <c r="A317" s="2">
        <v>904</v>
      </c>
      <c r="B317">
        <v>2507.8784999999998</v>
      </c>
    </row>
    <row r="318" spans="1:2" x14ac:dyDescent="0.3">
      <c r="A318" s="2">
        <v>932</v>
      </c>
      <c r="B318">
        <v>2506.9890000000005</v>
      </c>
    </row>
    <row r="319" spans="1:2" x14ac:dyDescent="0.3">
      <c r="A319" s="2">
        <v>1080</v>
      </c>
      <c r="B319">
        <v>2495.9030000000002</v>
      </c>
    </row>
    <row r="320" spans="1:2" x14ac:dyDescent="0.3">
      <c r="A320" s="2">
        <v>937</v>
      </c>
      <c r="B320">
        <v>2495.3710000000001</v>
      </c>
    </row>
    <row r="321" spans="1:2" x14ac:dyDescent="0.3">
      <c r="A321" s="2">
        <v>279</v>
      </c>
      <c r="B321">
        <v>2493.0480000000002</v>
      </c>
    </row>
    <row r="322" spans="1:2" x14ac:dyDescent="0.3">
      <c r="A322" s="2">
        <v>155</v>
      </c>
      <c r="B322">
        <v>2493.0480000000002</v>
      </c>
    </row>
    <row r="323" spans="1:2" x14ac:dyDescent="0.3">
      <c r="A323" s="2">
        <v>150</v>
      </c>
      <c r="B323">
        <v>2493.0480000000002</v>
      </c>
    </row>
    <row r="324" spans="1:2" x14ac:dyDescent="0.3">
      <c r="A324" s="2">
        <v>915</v>
      </c>
      <c r="B324">
        <v>2491.6089999999999</v>
      </c>
    </row>
    <row r="325" spans="1:2" x14ac:dyDescent="0.3">
      <c r="A325" s="2">
        <v>118</v>
      </c>
      <c r="B325">
        <v>2491.2000000000003</v>
      </c>
    </row>
    <row r="326" spans="1:2" x14ac:dyDescent="0.3">
      <c r="A326" s="2">
        <v>843</v>
      </c>
      <c r="B326">
        <v>2485.9640000000004</v>
      </c>
    </row>
    <row r="327" spans="1:2" x14ac:dyDescent="0.3">
      <c r="A327" s="2">
        <v>431</v>
      </c>
      <c r="B327">
        <v>2482.3440000000001</v>
      </c>
    </row>
    <row r="328" spans="1:2" x14ac:dyDescent="0.3">
      <c r="A328" s="2">
        <v>103</v>
      </c>
      <c r="B328">
        <v>2482.3440000000001</v>
      </c>
    </row>
    <row r="329" spans="1:2" x14ac:dyDescent="0.3">
      <c r="A329" s="2">
        <v>875</v>
      </c>
      <c r="B329">
        <v>2477.4720000000002</v>
      </c>
    </row>
    <row r="330" spans="1:2" x14ac:dyDescent="0.3">
      <c r="A330" s="2">
        <v>288</v>
      </c>
      <c r="B330">
        <v>2470.6365000000001</v>
      </c>
    </row>
    <row r="331" spans="1:2" x14ac:dyDescent="0.3">
      <c r="A331" s="2">
        <v>738</v>
      </c>
      <c r="B331">
        <v>2470.6185</v>
      </c>
    </row>
    <row r="332" spans="1:2" x14ac:dyDescent="0.3">
      <c r="A332" s="2">
        <v>999</v>
      </c>
      <c r="B332">
        <v>2465.616</v>
      </c>
    </row>
    <row r="333" spans="1:2" x14ac:dyDescent="0.3">
      <c r="A333" s="2">
        <v>803</v>
      </c>
      <c r="B333">
        <v>2460.1350000000002</v>
      </c>
    </row>
    <row r="334" spans="1:2" x14ac:dyDescent="0.3">
      <c r="A334" s="2">
        <v>1083</v>
      </c>
      <c r="B334">
        <v>2454.8700000000003</v>
      </c>
    </row>
    <row r="335" spans="1:2" x14ac:dyDescent="0.3">
      <c r="A335" s="2">
        <v>838</v>
      </c>
      <c r="B335">
        <v>2452.683</v>
      </c>
    </row>
    <row r="336" spans="1:2" x14ac:dyDescent="0.3">
      <c r="A336" s="2">
        <v>1026</v>
      </c>
      <c r="B336">
        <v>2452.5320000000002</v>
      </c>
    </row>
    <row r="337" spans="1:2" x14ac:dyDescent="0.3">
      <c r="A337" s="2">
        <v>34</v>
      </c>
      <c r="B337">
        <v>2445.1185</v>
      </c>
    </row>
    <row r="338" spans="1:2" x14ac:dyDescent="0.3">
      <c r="A338" s="2">
        <v>70</v>
      </c>
      <c r="B338">
        <v>2445.1185</v>
      </c>
    </row>
    <row r="339" spans="1:2" x14ac:dyDescent="0.3">
      <c r="A339" s="2">
        <v>913</v>
      </c>
      <c r="B339">
        <v>2439.598</v>
      </c>
    </row>
    <row r="340" spans="1:2" x14ac:dyDescent="0.3">
      <c r="A340" s="2">
        <v>1136</v>
      </c>
      <c r="B340">
        <v>2435.3949999999995</v>
      </c>
    </row>
    <row r="341" spans="1:2" x14ac:dyDescent="0.3">
      <c r="A341" s="2">
        <v>967</v>
      </c>
      <c r="B341">
        <v>2430.08</v>
      </c>
    </row>
    <row r="342" spans="1:2" x14ac:dyDescent="0.3">
      <c r="A342" s="2">
        <v>513</v>
      </c>
      <c r="B342">
        <v>2427.1154999999999</v>
      </c>
    </row>
    <row r="343" spans="1:2" x14ac:dyDescent="0.3">
      <c r="A343" s="2">
        <v>438</v>
      </c>
      <c r="B343">
        <v>2427.1154999999999</v>
      </c>
    </row>
    <row r="344" spans="1:2" x14ac:dyDescent="0.3">
      <c r="A344" s="2">
        <v>1033</v>
      </c>
      <c r="B344">
        <v>2426.8820000000001</v>
      </c>
    </row>
    <row r="345" spans="1:2" x14ac:dyDescent="0.3">
      <c r="A345" s="2">
        <v>845</v>
      </c>
      <c r="B345">
        <v>2426.4665</v>
      </c>
    </row>
    <row r="346" spans="1:2" x14ac:dyDescent="0.3">
      <c r="A346" s="2">
        <v>886</v>
      </c>
      <c r="B346">
        <v>2422.3995</v>
      </c>
    </row>
    <row r="347" spans="1:2" x14ac:dyDescent="0.3">
      <c r="A347" s="2">
        <v>1007</v>
      </c>
      <c r="B347">
        <v>2408.2750000000001</v>
      </c>
    </row>
    <row r="348" spans="1:2" x14ac:dyDescent="0.3">
      <c r="A348" s="2">
        <v>986</v>
      </c>
      <c r="B348">
        <v>2407.0529999999999</v>
      </c>
    </row>
    <row r="349" spans="1:2" x14ac:dyDescent="0.3">
      <c r="A349" s="2">
        <v>1012</v>
      </c>
      <c r="B349">
        <v>2386.8254999999999</v>
      </c>
    </row>
    <row r="350" spans="1:2" x14ac:dyDescent="0.3">
      <c r="A350" s="2">
        <v>453</v>
      </c>
      <c r="B350">
        <v>2380.8240000000001</v>
      </c>
    </row>
    <row r="351" spans="1:2" x14ac:dyDescent="0.3">
      <c r="A351" s="2">
        <v>327</v>
      </c>
      <c r="B351">
        <v>2379.46</v>
      </c>
    </row>
    <row r="352" spans="1:2" x14ac:dyDescent="0.3">
      <c r="A352" s="2">
        <v>745</v>
      </c>
      <c r="B352">
        <v>2366.4</v>
      </c>
    </row>
    <row r="353" spans="1:2" x14ac:dyDescent="0.3">
      <c r="A353" s="2">
        <v>493</v>
      </c>
      <c r="B353">
        <v>2350.11</v>
      </c>
    </row>
    <row r="354" spans="1:2" x14ac:dyDescent="0.3">
      <c r="A354" s="2">
        <v>792</v>
      </c>
      <c r="B354">
        <v>2342.826</v>
      </c>
    </row>
    <row r="355" spans="1:2" x14ac:dyDescent="0.3">
      <c r="A355" s="2">
        <v>674</v>
      </c>
      <c r="B355">
        <v>2340.81</v>
      </c>
    </row>
    <row r="356" spans="1:2" x14ac:dyDescent="0.3">
      <c r="A356" s="2">
        <v>511</v>
      </c>
      <c r="B356">
        <v>2340.81</v>
      </c>
    </row>
    <row r="357" spans="1:2" x14ac:dyDescent="0.3">
      <c r="A357" s="2">
        <v>367</v>
      </c>
      <c r="B357">
        <v>2340.6030000000001</v>
      </c>
    </row>
    <row r="358" spans="1:2" x14ac:dyDescent="0.3">
      <c r="A358" s="2">
        <v>142</v>
      </c>
      <c r="B358">
        <v>2338.8960000000002</v>
      </c>
    </row>
    <row r="359" spans="1:2" x14ac:dyDescent="0.3">
      <c r="A359" s="2">
        <v>859</v>
      </c>
      <c r="B359">
        <v>2334.1099999999997</v>
      </c>
    </row>
    <row r="360" spans="1:2" x14ac:dyDescent="0.3">
      <c r="A360" s="2">
        <v>781</v>
      </c>
      <c r="B360">
        <v>2318.4690000000001</v>
      </c>
    </row>
    <row r="361" spans="1:2" x14ac:dyDescent="0.3">
      <c r="A361" s="2">
        <v>396</v>
      </c>
      <c r="B361">
        <v>2316.96</v>
      </c>
    </row>
    <row r="362" spans="1:2" x14ac:dyDescent="0.3">
      <c r="A362" s="2">
        <v>807</v>
      </c>
      <c r="B362">
        <v>2314.5509999999999</v>
      </c>
    </row>
    <row r="363" spans="1:2" x14ac:dyDescent="0.3">
      <c r="A363" s="2">
        <v>292</v>
      </c>
      <c r="B363">
        <v>2304.09</v>
      </c>
    </row>
    <row r="364" spans="1:2" x14ac:dyDescent="0.3">
      <c r="A364" s="2">
        <v>675</v>
      </c>
      <c r="B364">
        <v>2301.288</v>
      </c>
    </row>
    <row r="365" spans="1:2" x14ac:dyDescent="0.3">
      <c r="A365" s="2">
        <v>852</v>
      </c>
      <c r="B365">
        <v>2300.4939999999997</v>
      </c>
    </row>
    <row r="366" spans="1:2" x14ac:dyDescent="0.3">
      <c r="A366" s="2">
        <v>794</v>
      </c>
      <c r="B366">
        <v>2299.7200000000003</v>
      </c>
    </row>
    <row r="367" spans="1:2" x14ac:dyDescent="0.3">
      <c r="A367" s="2">
        <v>552</v>
      </c>
      <c r="B367">
        <v>2297.0144999999998</v>
      </c>
    </row>
    <row r="368" spans="1:2" x14ac:dyDescent="0.3">
      <c r="A368" s="2">
        <v>914</v>
      </c>
      <c r="B368">
        <v>2294.788</v>
      </c>
    </row>
    <row r="369" spans="1:2" x14ac:dyDescent="0.3">
      <c r="A369" s="2">
        <v>989</v>
      </c>
      <c r="B369">
        <v>2289.4870000000001</v>
      </c>
    </row>
    <row r="370" spans="1:2" x14ac:dyDescent="0.3">
      <c r="A370" s="2">
        <v>953</v>
      </c>
      <c r="B370">
        <v>2285.6414999999997</v>
      </c>
    </row>
    <row r="371" spans="1:2" x14ac:dyDescent="0.3">
      <c r="A371" s="2">
        <v>926</v>
      </c>
      <c r="B371">
        <v>2282.8379999999997</v>
      </c>
    </row>
    <row r="372" spans="1:2" x14ac:dyDescent="0.3">
      <c r="A372" s="2">
        <v>1008</v>
      </c>
      <c r="B372">
        <v>2275.8720000000003</v>
      </c>
    </row>
    <row r="373" spans="1:2" x14ac:dyDescent="0.3">
      <c r="A373" s="2">
        <v>920</v>
      </c>
      <c r="B373">
        <v>2272.1910000000003</v>
      </c>
    </row>
    <row r="374" spans="1:2" x14ac:dyDescent="0.3">
      <c r="A374" s="2">
        <v>298</v>
      </c>
      <c r="B374">
        <v>2263.2959999999998</v>
      </c>
    </row>
    <row r="375" spans="1:2" x14ac:dyDescent="0.3">
      <c r="A375" s="2">
        <v>688</v>
      </c>
      <c r="B375">
        <v>2253.92</v>
      </c>
    </row>
    <row r="376" spans="1:2" x14ac:dyDescent="0.3">
      <c r="A376" s="2">
        <v>732</v>
      </c>
      <c r="B376">
        <v>2251.6999999999998</v>
      </c>
    </row>
    <row r="377" spans="1:2" x14ac:dyDescent="0.3">
      <c r="A377" s="2">
        <v>134</v>
      </c>
      <c r="B377">
        <v>2251.6999999999998</v>
      </c>
    </row>
    <row r="378" spans="1:2" x14ac:dyDescent="0.3">
      <c r="A378" s="2">
        <v>444</v>
      </c>
      <c r="B378">
        <v>2248.08</v>
      </c>
    </row>
    <row r="379" spans="1:2" x14ac:dyDescent="0.3">
      <c r="A379" s="2">
        <v>1022</v>
      </c>
      <c r="B379">
        <v>2246.6260000000002</v>
      </c>
    </row>
    <row r="380" spans="1:2" x14ac:dyDescent="0.3">
      <c r="A380" s="2">
        <v>705</v>
      </c>
      <c r="B380">
        <v>2245.7399999999998</v>
      </c>
    </row>
    <row r="381" spans="1:2" x14ac:dyDescent="0.3">
      <c r="A381" s="2">
        <v>927</v>
      </c>
      <c r="B381">
        <v>2244.5789999999997</v>
      </c>
    </row>
    <row r="382" spans="1:2" x14ac:dyDescent="0.3">
      <c r="A382" s="2">
        <v>425</v>
      </c>
      <c r="B382">
        <v>2232.6044999999999</v>
      </c>
    </row>
    <row r="383" spans="1:2" x14ac:dyDescent="0.3">
      <c r="A383" s="2">
        <v>1097</v>
      </c>
      <c r="B383">
        <v>2227.8829999999998</v>
      </c>
    </row>
    <row r="384" spans="1:2" x14ac:dyDescent="0.3">
      <c r="A384" s="2">
        <v>929</v>
      </c>
      <c r="B384">
        <v>2217.3294999999998</v>
      </c>
    </row>
    <row r="385" spans="1:2" x14ac:dyDescent="0.3">
      <c r="A385" s="2">
        <v>753</v>
      </c>
      <c r="B385">
        <v>2198.8129999999996</v>
      </c>
    </row>
    <row r="386" spans="1:2" x14ac:dyDescent="0.3">
      <c r="A386" s="2">
        <v>441</v>
      </c>
      <c r="B386">
        <v>2198.8129999999996</v>
      </c>
    </row>
    <row r="387" spans="1:2" x14ac:dyDescent="0.3">
      <c r="A387" s="2">
        <v>181</v>
      </c>
      <c r="B387">
        <v>2198.8129999999996</v>
      </c>
    </row>
    <row r="388" spans="1:2" x14ac:dyDescent="0.3">
      <c r="A388" s="2">
        <v>468</v>
      </c>
      <c r="B388">
        <v>2195.0699999999997</v>
      </c>
    </row>
    <row r="389" spans="1:2" x14ac:dyDescent="0.3">
      <c r="A389" s="2">
        <v>880</v>
      </c>
      <c r="B389">
        <v>2185.9679999999998</v>
      </c>
    </row>
    <row r="390" spans="1:2" x14ac:dyDescent="0.3">
      <c r="A390" s="2">
        <v>809</v>
      </c>
      <c r="B390">
        <v>2171.0249999999996</v>
      </c>
    </row>
    <row r="391" spans="1:2" x14ac:dyDescent="0.3">
      <c r="A391" s="2">
        <v>800</v>
      </c>
      <c r="B391">
        <v>2168.4785000000002</v>
      </c>
    </row>
    <row r="392" spans="1:2" x14ac:dyDescent="0.3">
      <c r="A392" s="2">
        <v>455</v>
      </c>
      <c r="B392">
        <v>2168.451</v>
      </c>
    </row>
    <row r="393" spans="1:2" x14ac:dyDescent="0.3">
      <c r="A393" s="2">
        <v>104</v>
      </c>
      <c r="B393">
        <v>2161.8960000000002</v>
      </c>
    </row>
    <row r="394" spans="1:2" x14ac:dyDescent="0.3">
      <c r="A394" s="2">
        <v>345</v>
      </c>
      <c r="B394">
        <v>2157.5700000000002</v>
      </c>
    </row>
    <row r="395" spans="1:2" x14ac:dyDescent="0.3">
      <c r="A395" s="2">
        <v>588</v>
      </c>
      <c r="B395">
        <v>2157.5700000000002</v>
      </c>
    </row>
    <row r="396" spans="1:2" x14ac:dyDescent="0.3">
      <c r="A396" s="2">
        <v>917</v>
      </c>
      <c r="B396">
        <v>2154.2399999999998</v>
      </c>
    </row>
    <row r="397" spans="1:2" x14ac:dyDescent="0.3">
      <c r="A397" s="2">
        <v>1075</v>
      </c>
      <c r="B397">
        <v>2147.9009999999998</v>
      </c>
    </row>
    <row r="398" spans="1:2" x14ac:dyDescent="0.3">
      <c r="A398" s="2">
        <v>964</v>
      </c>
      <c r="B398">
        <v>2145.4609999999998</v>
      </c>
    </row>
    <row r="399" spans="1:2" x14ac:dyDescent="0.3">
      <c r="A399" s="2">
        <v>182</v>
      </c>
      <c r="B399">
        <v>2141.5140000000001</v>
      </c>
    </row>
    <row r="400" spans="1:2" x14ac:dyDescent="0.3">
      <c r="A400" s="2">
        <v>648</v>
      </c>
      <c r="B400">
        <v>2141.2240000000002</v>
      </c>
    </row>
    <row r="401" spans="1:2" x14ac:dyDescent="0.3">
      <c r="A401" s="2">
        <v>76</v>
      </c>
      <c r="B401">
        <v>2141.2240000000002</v>
      </c>
    </row>
    <row r="402" spans="1:2" x14ac:dyDescent="0.3">
      <c r="A402" s="2">
        <v>1057</v>
      </c>
      <c r="B402">
        <v>2133.6224999999999</v>
      </c>
    </row>
    <row r="403" spans="1:2" x14ac:dyDescent="0.3">
      <c r="A403" s="2">
        <v>796</v>
      </c>
      <c r="B403">
        <v>2132.752</v>
      </c>
    </row>
    <row r="404" spans="1:2" x14ac:dyDescent="0.3">
      <c r="A404" s="2">
        <v>746</v>
      </c>
      <c r="B404">
        <v>2117.7495000000004</v>
      </c>
    </row>
    <row r="405" spans="1:2" x14ac:dyDescent="0.3">
      <c r="A405" s="2">
        <v>537</v>
      </c>
      <c r="B405">
        <v>2117.7495000000004</v>
      </c>
    </row>
    <row r="406" spans="1:2" x14ac:dyDescent="0.3">
      <c r="A406" s="2">
        <v>233</v>
      </c>
      <c r="B406">
        <v>2115.0990000000002</v>
      </c>
    </row>
    <row r="407" spans="1:2" x14ac:dyDescent="0.3">
      <c r="A407" s="2">
        <v>317</v>
      </c>
      <c r="B407">
        <v>2112.2910000000002</v>
      </c>
    </row>
    <row r="408" spans="1:2" x14ac:dyDescent="0.3">
      <c r="A408" s="2">
        <v>99</v>
      </c>
      <c r="B408">
        <v>2112.2910000000002</v>
      </c>
    </row>
    <row r="409" spans="1:2" x14ac:dyDescent="0.3">
      <c r="A409" s="2">
        <v>112</v>
      </c>
      <c r="B409">
        <v>2106.7289999999998</v>
      </c>
    </row>
    <row r="410" spans="1:2" x14ac:dyDescent="0.3">
      <c r="A410" s="2">
        <v>970</v>
      </c>
      <c r="B410">
        <v>2102.5495000000001</v>
      </c>
    </row>
    <row r="411" spans="1:2" x14ac:dyDescent="0.3">
      <c r="A411" s="2">
        <v>936</v>
      </c>
      <c r="B411">
        <v>2088.1864999999998</v>
      </c>
    </row>
    <row r="412" spans="1:2" x14ac:dyDescent="0.3">
      <c r="A412" s="2">
        <v>1</v>
      </c>
      <c r="B412">
        <v>2086.8000000000002</v>
      </c>
    </row>
    <row r="413" spans="1:2" x14ac:dyDescent="0.3">
      <c r="A413" s="2">
        <v>514</v>
      </c>
      <c r="B413">
        <v>2086.52</v>
      </c>
    </row>
    <row r="414" spans="1:2" x14ac:dyDescent="0.3">
      <c r="A414" s="2">
        <v>584</v>
      </c>
      <c r="B414">
        <v>2083.0860000000002</v>
      </c>
    </row>
    <row r="415" spans="1:2" x14ac:dyDescent="0.3">
      <c r="A415" s="2">
        <v>289</v>
      </c>
      <c r="B415">
        <v>2080.5360000000001</v>
      </c>
    </row>
    <row r="416" spans="1:2" x14ac:dyDescent="0.3">
      <c r="A416" s="2">
        <v>81</v>
      </c>
      <c r="B416">
        <v>2079.54</v>
      </c>
    </row>
    <row r="417" spans="1:2" x14ac:dyDescent="0.3">
      <c r="A417" s="2">
        <v>567</v>
      </c>
      <c r="B417">
        <v>2076</v>
      </c>
    </row>
    <row r="418" spans="1:2" x14ac:dyDescent="0.3">
      <c r="A418" s="2">
        <v>85</v>
      </c>
      <c r="B418">
        <v>2076</v>
      </c>
    </row>
    <row r="419" spans="1:2" x14ac:dyDescent="0.3">
      <c r="A419" s="2">
        <v>18</v>
      </c>
      <c r="B419">
        <v>2068.62</v>
      </c>
    </row>
    <row r="420" spans="1:2" x14ac:dyDescent="0.3">
      <c r="A420" s="2">
        <v>955</v>
      </c>
      <c r="B420">
        <v>2059.364</v>
      </c>
    </row>
    <row r="421" spans="1:2" x14ac:dyDescent="0.3">
      <c r="A421" s="2">
        <v>799</v>
      </c>
      <c r="B421">
        <v>2054.511</v>
      </c>
    </row>
    <row r="422" spans="1:2" x14ac:dyDescent="0.3">
      <c r="A422" s="2">
        <v>207</v>
      </c>
      <c r="B422">
        <v>2049.6914999999999</v>
      </c>
    </row>
    <row r="423" spans="1:2" x14ac:dyDescent="0.3">
      <c r="A423" s="2">
        <v>625</v>
      </c>
      <c r="B423">
        <v>2047.3439999999998</v>
      </c>
    </row>
    <row r="424" spans="1:2" x14ac:dyDescent="0.3">
      <c r="A424" s="2">
        <v>74</v>
      </c>
      <c r="B424">
        <v>2043.9</v>
      </c>
    </row>
    <row r="425" spans="1:2" x14ac:dyDescent="0.3">
      <c r="A425" s="2">
        <v>808</v>
      </c>
      <c r="B425">
        <v>2041.309</v>
      </c>
    </row>
    <row r="426" spans="1:2" x14ac:dyDescent="0.3">
      <c r="A426" s="2">
        <v>189</v>
      </c>
      <c r="B426">
        <v>2040.6629999999998</v>
      </c>
    </row>
    <row r="427" spans="1:2" x14ac:dyDescent="0.3">
      <c r="A427" s="2">
        <v>540</v>
      </c>
      <c r="B427">
        <v>2039.7</v>
      </c>
    </row>
    <row r="428" spans="1:2" x14ac:dyDescent="0.3">
      <c r="A428" s="2">
        <v>735</v>
      </c>
      <c r="B428">
        <v>2032.12</v>
      </c>
    </row>
    <row r="429" spans="1:2" x14ac:dyDescent="0.3">
      <c r="A429" s="2">
        <v>561</v>
      </c>
      <c r="B429">
        <v>2032.12</v>
      </c>
    </row>
    <row r="430" spans="1:2" x14ac:dyDescent="0.3">
      <c r="A430" s="2">
        <v>226</v>
      </c>
      <c r="B430">
        <v>2028.9</v>
      </c>
    </row>
    <row r="431" spans="1:2" x14ac:dyDescent="0.3">
      <c r="A431" s="2">
        <v>580</v>
      </c>
      <c r="B431">
        <v>2023.3</v>
      </c>
    </row>
    <row r="432" spans="1:2" x14ac:dyDescent="0.3">
      <c r="A432" s="2">
        <v>810</v>
      </c>
      <c r="B432">
        <v>2021.7749999999999</v>
      </c>
    </row>
    <row r="433" spans="1:2" x14ac:dyDescent="0.3">
      <c r="A433" s="2">
        <v>867</v>
      </c>
      <c r="B433">
        <v>2020.9275000000002</v>
      </c>
    </row>
    <row r="434" spans="1:2" x14ac:dyDescent="0.3">
      <c r="A434" s="2">
        <v>882</v>
      </c>
      <c r="B434">
        <v>2018.0220000000002</v>
      </c>
    </row>
    <row r="435" spans="1:2" x14ac:dyDescent="0.3">
      <c r="A435" s="2">
        <v>855</v>
      </c>
      <c r="B435">
        <v>2014.818</v>
      </c>
    </row>
    <row r="436" spans="1:2" x14ac:dyDescent="0.3">
      <c r="A436" s="2">
        <v>706</v>
      </c>
      <c r="B436">
        <v>1993.1760000000004</v>
      </c>
    </row>
    <row r="437" spans="1:2" x14ac:dyDescent="0.3">
      <c r="A437" s="2">
        <v>820</v>
      </c>
      <c r="B437">
        <v>1988.4255000000003</v>
      </c>
    </row>
    <row r="438" spans="1:2" x14ac:dyDescent="0.3">
      <c r="A438" s="2">
        <v>604</v>
      </c>
      <c r="B438">
        <v>1984.02</v>
      </c>
    </row>
    <row r="439" spans="1:2" x14ac:dyDescent="0.3">
      <c r="A439" s="2">
        <v>1128</v>
      </c>
      <c r="B439">
        <v>1983.1990000000001</v>
      </c>
    </row>
    <row r="440" spans="1:2" x14ac:dyDescent="0.3">
      <c r="A440" s="2">
        <v>853</v>
      </c>
      <c r="B440">
        <v>1981.077</v>
      </c>
    </row>
    <row r="441" spans="1:2" x14ac:dyDescent="0.3">
      <c r="A441" s="2">
        <v>1110</v>
      </c>
      <c r="B441">
        <v>1977.6755000000001</v>
      </c>
    </row>
    <row r="442" spans="1:2" x14ac:dyDescent="0.3">
      <c r="A442" s="2">
        <v>652</v>
      </c>
      <c r="B442">
        <v>1975.1069999999997</v>
      </c>
    </row>
    <row r="443" spans="1:2" x14ac:dyDescent="0.3">
      <c r="A443" s="2">
        <v>280</v>
      </c>
      <c r="B443">
        <v>1973.6629999999998</v>
      </c>
    </row>
    <row r="444" spans="1:2" x14ac:dyDescent="0.3">
      <c r="A444" s="2">
        <v>818</v>
      </c>
      <c r="B444">
        <v>1972.7035000000001</v>
      </c>
    </row>
    <row r="445" spans="1:2" x14ac:dyDescent="0.3">
      <c r="A445" s="2">
        <v>3</v>
      </c>
      <c r="B445">
        <v>1972.1999999999998</v>
      </c>
    </row>
    <row r="446" spans="1:2" x14ac:dyDescent="0.3">
      <c r="A446" s="2">
        <v>591</v>
      </c>
      <c r="B446">
        <v>1967.3589999999999</v>
      </c>
    </row>
    <row r="447" spans="1:2" x14ac:dyDescent="0.3">
      <c r="A447" s="2">
        <v>1076</v>
      </c>
      <c r="B447">
        <v>1966.461</v>
      </c>
    </row>
    <row r="448" spans="1:2" x14ac:dyDescent="0.3">
      <c r="A448" s="2">
        <v>402</v>
      </c>
      <c r="B448">
        <v>1965.1889999999999</v>
      </c>
    </row>
    <row r="449" spans="1:2" x14ac:dyDescent="0.3">
      <c r="A449" s="2">
        <v>491</v>
      </c>
      <c r="B449">
        <v>1958.4765</v>
      </c>
    </row>
    <row r="450" spans="1:2" x14ac:dyDescent="0.3">
      <c r="A450" s="2">
        <v>831</v>
      </c>
      <c r="B450">
        <v>1951.5329999999999</v>
      </c>
    </row>
    <row r="451" spans="1:2" x14ac:dyDescent="0.3">
      <c r="A451" s="2">
        <v>532</v>
      </c>
      <c r="B451">
        <v>1949.08</v>
      </c>
    </row>
    <row r="452" spans="1:2" x14ac:dyDescent="0.3">
      <c r="A452" s="2">
        <v>1018</v>
      </c>
      <c r="B452">
        <v>1943.2194999999997</v>
      </c>
    </row>
    <row r="453" spans="1:2" x14ac:dyDescent="0.3">
      <c r="A453" s="2">
        <v>752</v>
      </c>
      <c r="B453">
        <v>1940.193</v>
      </c>
    </row>
    <row r="454" spans="1:2" x14ac:dyDescent="0.3">
      <c r="A454" s="2">
        <v>824</v>
      </c>
      <c r="B454">
        <v>1931.923</v>
      </c>
    </row>
    <row r="455" spans="1:2" x14ac:dyDescent="0.3">
      <c r="A455" s="2">
        <v>437</v>
      </c>
      <c r="B455">
        <v>1930.8</v>
      </c>
    </row>
    <row r="456" spans="1:2" x14ac:dyDescent="0.3">
      <c r="A456" s="2">
        <v>447</v>
      </c>
      <c r="B456">
        <v>1930.5139999999999</v>
      </c>
    </row>
    <row r="457" spans="1:2" x14ac:dyDescent="0.3">
      <c r="A457" s="2">
        <v>628</v>
      </c>
      <c r="B457">
        <v>1930.35</v>
      </c>
    </row>
    <row r="458" spans="1:2" x14ac:dyDescent="0.3">
      <c r="A458" s="2">
        <v>284</v>
      </c>
      <c r="B458">
        <v>1909.848</v>
      </c>
    </row>
    <row r="459" spans="1:2" x14ac:dyDescent="0.3">
      <c r="A459" s="2">
        <v>797</v>
      </c>
      <c r="B459">
        <v>1909.0920000000001</v>
      </c>
    </row>
    <row r="460" spans="1:2" x14ac:dyDescent="0.3">
      <c r="A460" s="2">
        <v>640</v>
      </c>
      <c r="B460">
        <v>1908.8789999999997</v>
      </c>
    </row>
    <row r="461" spans="1:2" x14ac:dyDescent="0.3">
      <c r="A461" s="2">
        <v>339</v>
      </c>
      <c r="B461">
        <v>1908.8789999999997</v>
      </c>
    </row>
    <row r="462" spans="1:2" x14ac:dyDescent="0.3">
      <c r="A462" s="2">
        <v>1062</v>
      </c>
      <c r="B462">
        <v>1906.21</v>
      </c>
    </row>
    <row r="463" spans="1:2" x14ac:dyDescent="0.3">
      <c r="A463" s="2">
        <v>597</v>
      </c>
      <c r="B463">
        <v>1903.62</v>
      </c>
    </row>
    <row r="464" spans="1:2" x14ac:dyDescent="0.3">
      <c r="A464" s="2">
        <v>480</v>
      </c>
      <c r="B464">
        <v>1903.62</v>
      </c>
    </row>
    <row r="465" spans="1:2" x14ac:dyDescent="0.3">
      <c r="A465" s="2">
        <v>488</v>
      </c>
      <c r="B465">
        <v>1903.5680000000002</v>
      </c>
    </row>
    <row r="466" spans="1:2" x14ac:dyDescent="0.3">
      <c r="A466" s="2">
        <v>962</v>
      </c>
      <c r="B466">
        <v>1894.5</v>
      </c>
    </row>
    <row r="467" spans="1:2" x14ac:dyDescent="0.3">
      <c r="A467" s="2">
        <v>1112</v>
      </c>
      <c r="B467">
        <v>1887.578</v>
      </c>
    </row>
    <row r="468" spans="1:2" x14ac:dyDescent="0.3">
      <c r="A468" s="2">
        <v>676</v>
      </c>
      <c r="B468">
        <v>1886.08</v>
      </c>
    </row>
    <row r="469" spans="1:2" x14ac:dyDescent="0.3">
      <c r="A469" s="2">
        <v>516</v>
      </c>
      <c r="B469">
        <v>1886.08</v>
      </c>
    </row>
    <row r="470" spans="1:2" x14ac:dyDescent="0.3">
      <c r="A470" s="2">
        <v>63</v>
      </c>
      <c r="B470">
        <v>1886.08</v>
      </c>
    </row>
    <row r="471" spans="1:2" x14ac:dyDescent="0.3">
      <c r="A471" s="2">
        <v>1089</v>
      </c>
      <c r="B471">
        <v>1881.0920000000001</v>
      </c>
    </row>
    <row r="472" spans="1:2" x14ac:dyDescent="0.3">
      <c r="A472" s="2">
        <v>67</v>
      </c>
      <c r="B472">
        <v>1880.0880000000002</v>
      </c>
    </row>
    <row r="473" spans="1:2" x14ac:dyDescent="0.3">
      <c r="A473" s="2">
        <v>594</v>
      </c>
      <c r="B473">
        <v>1877.5920000000003</v>
      </c>
    </row>
    <row r="474" spans="1:2" x14ac:dyDescent="0.3">
      <c r="A474" s="2">
        <v>130</v>
      </c>
      <c r="B474">
        <v>1877.5920000000003</v>
      </c>
    </row>
    <row r="475" spans="1:2" x14ac:dyDescent="0.3">
      <c r="A475" s="2">
        <v>199</v>
      </c>
      <c r="B475">
        <v>1872.6480000000001</v>
      </c>
    </row>
    <row r="476" spans="1:2" x14ac:dyDescent="0.3">
      <c r="A476" s="2">
        <v>469</v>
      </c>
      <c r="B476">
        <v>1871.154</v>
      </c>
    </row>
    <row r="477" spans="1:2" x14ac:dyDescent="0.3">
      <c r="A477" s="2">
        <v>833</v>
      </c>
      <c r="B477">
        <v>1859.373</v>
      </c>
    </row>
    <row r="478" spans="1:2" x14ac:dyDescent="0.3">
      <c r="A478" s="2">
        <v>791</v>
      </c>
      <c r="B478">
        <v>1853.1405</v>
      </c>
    </row>
    <row r="479" spans="1:2" x14ac:dyDescent="0.3">
      <c r="A479" s="2">
        <v>246</v>
      </c>
      <c r="B479">
        <v>1851.6259999999997</v>
      </c>
    </row>
    <row r="480" spans="1:2" x14ac:dyDescent="0.3">
      <c r="A480" s="2">
        <v>190</v>
      </c>
      <c r="B480">
        <v>1848.48</v>
      </c>
    </row>
    <row r="481" spans="1:2" x14ac:dyDescent="0.3">
      <c r="A481" s="2">
        <v>13</v>
      </c>
      <c r="B481">
        <v>1843.2720000000002</v>
      </c>
    </row>
    <row r="482" spans="1:2" x14ac:dyDescent="0.3">
      <c r="A482" s="2">
        <v>795</v>
      </c>
      <c r="B482">
        <v>1841.2329999999999</v>
      </c>
    </row>
    <row r="483" spans="1:2" x14ac:dyDescent="0.3">
      <c r="A483" s="2">
        <v>555</v>
      </c>
      <c r="B483">
        <v>1839.81</v>
      </c>
    </row>
    <row r="484" spans="1:2" x14ac:dyDescent="0.3">
      <c r="A484" s="2">
        <v>1105</v>
      </c>
      <c r="B484">
        <v>1838.6914999999999</v>
      </c>
    </row>
    <row r="485" spans="1:2" x14ac:dyDescent="0.3">
      <c r="A485" s="2">
        <v>11</v>
      </c>
      <c r="B485">
        <v>1835.73</v>
      </c>
    </row>
    <row r="486" spans="1:2" x14ac:dyDescent="0.3">
      <c r="A486" s="2">
        <v>147</v>
      </c>
      <c r="B486">
        <v>1833.9345000000001</v>
      </c>
    </row>
    <row r="487" spans="1:2" x14ac:dyDescent="0.3">
      <c r="A487" s="2">
        <v>24</v>
      </c>
      <c r="B487">
        <v>1833.9345000000001</v>
      </c>
    </row>
    <row r="488" spans="1:2" x14ac:dyDescent="0.3">
      <c r="A488" s="2">
        <v>826</v>
      </c>
      <c r="B488">
        <v>1831.779</v>
      </c>
    </row>
    <row r="489" spans="1:2" x14ac:dyDescent="0.3">
      <c r="A489" s="2">
        <v>399</v>
      </c>
      <c r="B489">
        <v>1828.9079999999999</v>
      </c>
    </row>
    <row r="490" spans="1:2" x14ac:dyDescent="0.3">
      <c r="A490" s="2">
        <v>241</v>
      </c>
      <c r="B490">
        <v>1826.0640000000001</v>
      </c>
    </row>
    <row r="491" spans="1:2" x14ac:dyDescent="0.3">
      <c r="A491" s="2">
        <v>589</v>
      </c>
      <c r="B491">
        <v>1822.9680000000001</v>
      </c>
    </row>
    <row r="492" spans="1:2" x14ac:dyDescent="0.3">
      <c r="A492" s="2">
        <v>1053</v>
      </c>
      <c r="B492">
        <v>1821.9055000000001</v>
      </c>
    </row>
    <row r="493" spans="1:2" x14ac:dyDescent="0.3">
      <c r="A493" s="2">
        <v>1038</v>
      </c>
      <c r="B493">
        <v>1804.385</v>
      </c>
    </row>
    <row r="494" spans="1:2" x14ac:dyDescent="0.3">
      <c r="A494" s="2">
        <v>1077</v>
      </c>
      <c r="B494">
        <v>1803.2535</v>
      </c>
    </row>
    <row r="495" spans="1:2" x14ac:dyDescent="0.3">
      <c r="A495" s="2">
        <v>550</v>
      </c>
      <c r="B495">
        <v>1801.58</v>
      </c>
    </row>
    <row r="496" spans="1:2" x14ac:dyDescent="0.3">
      <c r="A496" s="2">
        <v>978</v>
      </c>
      <c r="B496">
        <v>1800.809</v>
      </c>
    </row>
    <row r="497" spans="1:2" x14ac:dyDescent="0.3">
      <c r="A497" s="2">
        <v>798</v>
      </c>
      <c r="B497">
        <v>1800.4244999999999</v>
      </c>
    </row>
    <row r="498" spans="1:2" x14ac:dyDescent="0.3">
      <c r="A498" s="2">
        <v>389</v>
      </c>
      <c r="B498">
        <v>1796.5919999999999</v>
      </c>
    </row>
    <row r="499" spans="1:2" x14ac:dyDescent="0.3">
      <c r="A499" s="2">
        <v>905</v>
      </c>
      <c r="B499">
        <v>1790.3000000000002</v>
      </c>
    </row>
    <row r="500" spans="1:2" x14ac:dyDescent="0.3">
      <c r="A500" s="2">
        <v>684</v>
      </c>
      <c r="B500">
        <v>1788.1469999999997</v>
      </c>
    </row>
    <row r="501" spans="1:2" x14ac:dyDescent="0.3">
      <c r="A501" s="2">
        <v>755</v>
      </c>
      <c r="B501">
        <v>1773.7800000000002</v>
      </c>
    </row>
    <row r="502" spans="1:2" x14ac:dyDescent="0.3">
      <c r="A502" s="2">
        <v>48</v>
      </c>
      <c r="B502">
        <v>1773.5419999999999</v>
      </c>
    </row>
    <row r="503" spans="1:2" x14ac:dyDescent="0.3">
      <c r="A503" s="2">
        <v>758</v>
      </c>
      <c r="B503">
        <v>1767.2009999999998</v>
      </c>
    </row>
    <row r="504" spans="1:2" x14ac:dyDescent="0.3">
      <c r="A504" s="2">
        <v>101</v>
      </c>
      <c r="B504">
        <v>1765.9089999999999</v>
      </c>
    </row>
    <row r="505" spans="1:2" x14ac:dyDescent="0.3">
      <c r="A505" s="2">
        <v>96</v>
      </c>
      <c r="B505">
        <v>1765.9089999999999</v>
      </c>
    </row>
    <row r="506" spans="1:2" x14ac:dyDescent="0.3">
      <c r="A506" s="2">
        <v>1000</v>
      </c>
      <c r="B506">
        <v>1761.2849999999999</v>
      </c>
    </row>
    <row r="507" spans="1:2" x14ac:dyDescent="0.3">
      <c r="A507" s="2">
        <v>559</v>
      </c>
      <c r="B507">
        <v>1747.8194999999998</v>
      </c>
    </row>
    <row r="508" spans="1:2" x14ac:dyDescent="0.3">
      <c r="A508" s="2">
        <v>1052</v>
      </c>
      <c r="B508">
        <v>1746.4059999999999</v>
      </c>
    </row>
    <row r="509" spans="1:2" x14ac:dyDescent="0.3">
      <c r="A509" s="2">
        <v>783</v>
      </c>
      <c r="B509">
        <v>1744.5045000000002</v>
      </c>
    </row>
    <row r="510" spans="1:2" x14ac:dyDescent="0.3">
      <c r="A510" s="2">
        <v>195</v>
      </c>
      <c r="B510">
        <v>1733.78</v>
      </c>
    </row>
    <row r="511" spans="1:2" x14ac:dyDescent="0.3">
      <c r="A511" s="2">
        <v>478</v>
      </c>
      <c r="B511">
        <v>1733.7449999999999</v>
      </c>
    </row>
    <row r="512" spans="1:2" x14ac:dyDescent="0.3">
      <c r="A512" s="2">
        <v>518</v>
      </c>
      <c r="B512">
        <v>1733.7449999999999</v>
      </c>
    </row>
    <row r="513" spans="1:2" x14ac:dyDescent="0.3">
      <c r="A513" s="2">
        <v>614</v>
      </c>
      <c r="B513">
        <v>1727.3019999999999</v>
      </c>
    </row>
    <row r="514" spans="1:2" x14ac:dyDescent="0.3">
      <c r="A514" s="2">
        <v>635</v>
      </c>
      <c r="B514">
        <v>1725.9660000000001</v>
      </c>
    </row>
    <row r="515" spans="1:2" x14ac:dyDescent="0.3">
      <c r="A515" s="2">
        <v>569</v>
      </c>
      <c r="B515">
        <v>1725.9660000000001</v>
      </c>
    </row>
    <row r="516" spans="1:2" x14ac:dyDescent="0.3">
      <c r="A516" s="2">
        <v>452</v>
      </c>
      <c r="B516">
        <v>1725.1040000000003</v>
      </c>
    </row>
    <row r="517" spans="1:2" x14ac:dyDescent="0.3">
      <c r="A517" s="2">
        <v>1002</v>
      </c>
      <c r="B517">
        <v>1725.0774999999999</v>
      </c>
    </row>
    <row r="518" spans="1:2" x14ac:dyDescent="0.3">
      <c r="A518" s="2">
        <v>275</v>
      </c>
      <c r="B518">
        <v>1724.5650000000001</v>
      </c>
    </row>
    <row r="519" spans="1:2" x14ac:dyDescent="0.3">
      <c r="A519" s="2">
        <v>654</v>
      </c>
      <c r="B519">
        <v>1722.75</v>
      </c>
    </row>
    <row r="520" spans="1:2" x14ac:dyDescent="0.3">
      <c r="A520" s="2">
        <v>90</v>
      </c>
      <c r="B520">
        <v>1722.75</v>
      </c>
    </row>
    <row r="521" spans="1:2" x14ac:dyDescent="0.3">
      <c r="A521" s="2">
        <v>228</v>
      </c>
      <c r="B521">
        <v>1722.75</v>
      </c>
    </row>
    <row r="522" spans="1:2" x14ac:dyDescent="0.3">
      <c r="A522" s="2">
        <v>89</v>
      </c>
      <c r="B522">
        <v>1722.75</v>
      </c>
    </row>
    <row r="523" spans="1:2" x14ac:dyDescent="0.3">
      <c r="A523" s="2">
        <v>44</v>
      </c>
      <c r="B523">
        <v>1697.472</v>
      </c>
    </row>
    <row r="524" spans="1:2" x14ac:dyDescent="0.3">
      <c r="A524" s="2">
        <v>1071</v>
      </c>
      <c r="B524">
        <v>1669.4655</v>
      </c>
    </row>
    <row r="525" spans="1:2" x14ac:dyDescent="0.3">
      <c r="A525" s="2">
        <v>263</v>
      </c>
      <c r="B525">
        <v>1669.4400000000003</v>
      </c>
    </row>
    <row r="526" spans="1:2" x14ac:dyDescent="0.3">
      <c r="A526" s="2">
        <v>166</v>
      </c>
      <c r="B526">
        <v>1669.2160000000001</v>
      </c>
    </row>
    <row r="527" spans="1:2" x14ac:dyDescent="0.3">
      <c r="A527" s="2">
        <v>219</v>
      </c>
      <c r="B527">
        <v>1664.4299999999998</v>
      </c>
    </row>
    <row r="528" spans="1:2" x14ac:dyDescent="0.3">
      <c r="A528" s="2">
        <v>931</v>
      </c>
      <c r="B528">
        <v>1662.2129999999997</v>
      </c>
    </row>
    <row r="529" spans="1:2" x14ac:dyDescent="0.3">
      <c r="A529" s="2">
        <v>700</v>
      </c>
      <c r="B529">
        <v>1662.0320000000002</v>
      </c>
    </row>
    <row r="530" spans="1:2" x14ac:dyDescent="0.3">
      <c r="A530" s="2">
        <v>475</v>
      </c>
      <c r="B530">
        <v>1662.0320000000002</v>
      </c>
    </row>
    <row r="531" spans="1:2" x14ac:dyDescent="0.3">
      <c r="A531" s="2">
        <v>273</v>
      </c>
      <c r="B531">
        <v>1662.0320000000002</v>
      </c>
    </row>
    <row r="532" spans="1:2" x14ac:dyDescent="0.3">
      <c r="A532" s="2">
        <v>433</v>
      </c>
      <c r="B532">
        <v>1660.98</v>
      </c>
    </row>
    <row r="533" spans="1:2" x14ac:dyDescent="0.3">
      <c r="A533" s="2">
        <v>789</v>
      </c>
      <c r="B533">
        <v>1647.1469999999999</v>
      </c>
    </row>
    <row r="534" spans="1:2" x14ac:dyDescent="0.3">
      <c r="A534" s="2">
        <v>949</v>
      </c>
      <c r="B534">
        <v>1646.4915000000001</v>
      </c>
    </row>
    <row r="535" spans="1:2" x14ac:dyDescent="0.3">
      <c r="A535" s="2">
        <v>930</v>
      </c>
      <c r="B535">
        <v>1643.164</v>
      </c>
    </row>
    <row r="536" spans="1:2" x14ac:dyDescent="0.3">
      <c r="A536" s="2">
        <v>230</v>
      </c>
      <c r="B536">
        <v>1641.1799999999998</v>
      </c>
    </row>
    <row r="537" spans="1:2" x14ac:dyDescent="0.3">
      <c r="A537" s="2">
        <v>965</v>
      </c>
      <c r="B537">
        <v>1635.114</v>
      </c>
    </row>
    <row r="538" spans="1:2" x14ac:dyDescent="0.3">
      <c r="A538" s="2">
        <v>69</v>
      </c>
      <c r="B538">
        <v>1625.6959999999999</v>
      </c>
    </row>
    <row r="539" spans="1:2" x14ac:dyDescent="0.3">
      <c r="A539" s="2">
        <v>35</v>
      </c>
      <c r="B539">
        <v>1625.6959999999999</v>
      </c>
    </row>
    <row r="540" spans="1:2" x14ac:dyDescent="0.3">
      <c r="A540" s="2">
        <v>644</v>
      </c>
      <c r="B540">
        <v>1617.9735000000001</v>
      </c>
    </row>
    <row r="541" spans="1:2" x14ac:dyDescent="0.3">
      <c r="A541" s="2">
        <v>910</v>
      </c>
      <c r="B541">
        <v>1614.9209999999998</v>
      </c>
    </row>
    <row r="542" spans="1:2" x14ac:dyDescent="0.3">
      <c r="A542" s="2">
        <v>992</v>
      </c>
      <c r="B542">
        <v>1608.6475</v>
      </c>
    </row>
    <row r="543" spans="1:2" x14ac:dyDescent="0.3">
      <c r="A543" s="2">
        <v>39</v>
      </c>
      <c r="B543">
        <v>1605.76</v>
      </c>
    </row>
    <row r="544" spans="1:2" x14ac:dyDescent="0.3">
      <c r="A544" s="2">
        <v>315</v>
      </c>
      <c r="B544">
        <v>1603.1679999999999</v>
      </c>
    </row>
    <row r="545" spans="1:2" x14ac:dyDescent="0.3">
      <c r="A545" s="2">
        <v>213</v>
      </c>
      <c r="B545">
        <v>1600.52</v>
      </c>
    </row>
    <row r="546" spans="1:2" x14ac:dyDescent="0.3">
      <c r="A546" s="2">
        <v>876</v>
      </c>
      <c r="B546">
        <v>1598.4414999999999</v>
      </c>
    </row>
    <row r="547" spans="1:2" x14ac:dyDescent="0.3">
      <c r="A547" s="2">
        <v>671</v>
      </c>
      <c r="B547">
        <v>1591.54</v>
      </c>
    </row>
    <row r="548" spans="1:2" x14ac:dyDescent="0.3">
      <c r="A548" s="2">
        <v>1027</v>
      </c>
      <c r="B548">
        <v>1587.2645000000002</v>
      </c>
    </row>
    <row r="549" spans="1:2" x14ac:dyDescent="0.3">
      <c r="A549" s="2">
        <v>208</v>
      </c>
      <c r="B549">
        <v>1587.2160000000001</v>
      </c>
    </row>
    <row r="550" spans="1:2" x14ac:dyDescent="0.3">
      <c r="A550" s="2">
        <v>951</v>
      </c>
      <c r="B550">
        <v>1583.8020000000001</v>
      </c>
    </row>
    <row r="551" spans="1:2" x14ac:dyDescent="0.3">
      <c r="A551" s="2">
        <v>1073</v>
      </c>
      <c r="B551">
        <v>1583.8015</v>
      </c>
    </row>
    <row r="552" spans="1:2" x14ac:dyDescent="0.3">
      <c r="A552" s="2">
        <v>1066</v>
      </c>
      <c r="B552">
        <v>1573.4830000000002</v>
      </c>
    </row>
    <row r="553" spans="1:2" x14ac:dyDescent="0.3">
      <c r="A553" s="2">
        <v>701</v>
      </c>
      <c r="B553">
        <v>1571.94</v>
      </c>
    </row>
    <row r="554" spans="1:2" x14ac:dyDescent="0.3">
      <c r="A554" s="2">
        <v>43</v>
      </c>
      <c r="B554">
        <v>1566.74</v>
      </c>
    </row>
    <row r="555" spans="1:2" x14ac:dyDescent="0.3">
      <c r="A555" s="2">
        <v>690</v>
      </c>
      <c r="B555">
        <v>1563.8384999999998</v>
      </c>
    </row>
    <row r="556" spans="1:2" x14ac:dyDescent="0.3">
      <c r="A556" s="2">
        <v>146</v>
      </c>
      <c r="B556">
        <v>1560.402</v>
      </c>
    </row>
    <row r="557" spans="1:2" x14ac:dyDescent="0.3">
      <c r="A557" s="2">
        <v>840</v>
      </c>
      <c r="B557">
        <v>1554.5419999999999</v>
      </c>
    </row>
    <row r="558" spans="1:2" x14ac:dyDescent="0.3">
      <c r="A558" s="2">
        <v>392</v>
      </c>
      <c r="B558">
        <v>1553.1029999999998</v>
      </c>
    </row>
    <row r="559" spans="1:2" x14ac:dyDescent="0.3">
      <c r="A559" s="2">
        <v>678</v>
      </c>
      <c r="B559">
        <v>1550.192</v>
      </c>
    </row>
    <row r="560" spans="1:2" x14ac:dyDescent="0.3">
      <c r="A560" s="2">
        <v>572</v>
      </c>
      <c r="B560">
        <v>1550.192</v>
      </c>
    </row>
    <row r="561" spans="1:2" x14ac:dyDescent="0.3">
      <c r="A561" s="2">
        <v>519</v>
      </c>
      <c r="B561">
        <v>1550.192</v>
      </c>
    </row>
    <row r="562" spans="1:2" x14ac:dyDescent="0.3">
      <c r="A562" s="2">
        <v>7</v>
      </c>
      <c r="B562">
        <v>1550.192</v>
      </c>
    </row>
    <row r="563" spans="1:2" x14ac:dyDescent="0.3">
      <c r="A563" s="2">
        <v>94</v>
      </c>
      <c r="B563">
        <v>1536.06</v>
      </c>
    </row>
    <row r="564" spans="1:2" x14ac:dyDescent="0.3">
      <c r="A564" s="2">
        <v>1102</v>
      </c>
      <c r="B564">
        <v>1535.6334999999999</v>
      </c>
    </row>
    <row r="565" spans="1:2" x14ac:dyDescent="0.3">
      <c r="A565" s="2">
        <v>294</v>
      </c>
      <c r="B565">
        <v>1532.8170000000002</v>
      </c>
    </row>
    <row r="566" spans="1:2" x14ac:dyDescent="0.3">
      <c r="A566" s="2">
        <v>772</v>
      </c>
      <c r="B566">
        <v>1531.3429999999998</v>
      </c>
    </row>
    <row r="567" spans="1:2" x14ac:dyDescent="0.3">
      <c r="A567" s="2">
        <v>406</v>
      </c>
      <c r="B567">
        <v>1531.3429999999998</v>
      </c>
    </row>
    <row r="568" spans="1:2" x14ac:dyDescent="0.3">
      <c r="A568" s="2">
        <v>938</v>
      </c>
      <c r="B568">
        <v>1527.787</v>
      </c>
    </row>
    <row r="569" spans="1:2" x14ac:dyDescent="0.3">
      <c r="A569" s="2">
        <v>814</v>
      </c>
      <c r="B569">
        <v>1524.096</v>
      </c>
    </row>
    <row r="570" spans="1:2" x14ac:dyDescent="0.3">
      <c r="A570" s="2">
        <v>174</v>
      </c>
      <c r="B570">
        <v>1522.896</v>
      </c>
    </row>
    <row r="571" spans="1:2" x14ac:dyDescent="0.3">
      <c r="A571" s="2">
        <v>203</v>
      </c>
      <c r="B571">
        <v>1522.896</v>
      </c>
    </row>
    <row r="572" spans="1:2" x14ac:dyDescent="0.3">
      <c r="A572" s="2">
        <v>894</v>
      </c>
      <c r="B572">
        <v>1516.806</v>
      </c>
    </row>
    <row r="573" spans="1:2" x14ac:dyDescent="0.3">
      <c r="A573" s="2">
        <v>711</v>
      </c>
      <c r="B573">
        <v>1514.7369999999999</v>
      </c>
    </row>
    <row r="574" spans="1:2" x14ac:dyDescent="0.3">
      <c r="A574" s="2">
        <v>1009</v>
      </c>
      <c r="B574">
        <v>1510.5039999999999</v>
      </c>
    </row>
    <row r="575" spans="1:2" x14ac:dyDescent="0.3">
      <c r="A575" s="2">
        <v>443</v>
      </c>
      <c r="B575">
        <v>1505.808</v>
      </c>
    </row>
    <row r="576" spans="1:2" x14ac:dyDescent="0.3">
      <c r="A576" s="2">
        <v>819</v>
      </c>
      <c r="B576">
        <v>1495.6210000000001</v>
      </c>
    </row>
    <row r="577" spans="1:2" x14ac:dyDescent="0.3">
      <c r="A577" s="2">
        <v>825</v>
      </c>
      <c r="B577">
        <v>1493.5449999999998</v>
      </c>
    </row>
    <row r="578" spans="1:2" x14ac:dyDescent="0.3">
      <c r="A578" s="2">
        <v>498</v>
      </c>
      <c r="B578">
        <v>1493.3430000000001</v>
      </c>
    </row>
    <row r="579" spans="1:2" x14ac:dyDescent="0.3">
      <c r="A579" s="2">
        <v>37</v>
      </c>
      <c r="B579">
        <v>1488.403</v>
      </c>
    </row>
    <row r="580" spans="1:2" x14ac:dyDescent="0.3">
      <c r="A580" s="2">
        <v>829</v>
      </c>
      <c r="B580">
        <v>1487.9315000000001</v>
      </c>
    </row>
    <row r="581" spans="1:2" x14ac:dyDescent="0.3">
      <c r="A581" s="2">
        <v>736</v>
      </c>
      <c r="B581">
        <v>1486.4269999999999</v>
      </c>
    </row>
    <row r="582" spans="1:2" x14ac:dyDescent="0.3">
      <c r="A582" s="2">
        <v>759</v>
      </c>
      <c r="B582">
        <v>1482.5129999999999</v>
      </c>
    </row>
    <row r="583" spans="1:2" x14ac:dyDescent="0.3">
      <c r="A583" s="2">
        <v>960</v>
      </c>
      <c r="B583">
        <v>1476.5520000000001</v>
      </c>
    </row>
    <row r="584" spans="1:2" x14ac:dyDescent="0.3">
      <c r="A584" s="2">
        <v>761</v>
      </c>
      <c r="B584">
        <v>1471.848</v>
      </c>
    </row>
    <row r="585" spans="1:2" x14ac:dyDescent="0.3">
      <c r="A585" s="2">
        <v>546</v>
      </c>
      <c r="B585">
        <v>1464.3374999999999</v>
      </c>
    </row>
    <row r="586" spans="1:2" x14ac:dyDescent="0.3">
      <c r="A586" s="2">
        <v>775</v>
      </c>
      <c r="B586">
        <v>1461.7439999999999</v>
      </c>
    </row>
    <row r="587" spans="1:2" x14ac:dyDescent="0.3">
      <c r="A587" s="2">
        <v>869</v>
      </c>
      <c r="B587">
        <v>1450.3885</v>
      </c>
    </row>
    <row r="588" spans="1:2" x14ac:dyDescent="0.3">
      <c r="A588" s="2">
        <v>782</v>
      </c>
      <c r="B588">
        <v>1449.2350000000001</v>
      </c>
    </row>
    <row r="589" spans="1:2" x14ac:dyDescent="0.3">
      <c r="A589" s="2">
        <v>990</v>
      </c>
      <c r="B589">
        <v>1447.7669999999998</v>
      </c>
    </row>
    <row r="590" spans="1:2" x14ac:dyDescent="0.3">
      <c r="A590" s="2">
        <v>506</v>
      </c>
      <c r="B590">
        <v>1445.634</v>
      </c>
    </row>
    <row r="591" spans="1:2" x14ac:dyDescent="0.3">
      <c r="A591" s="2">
        <v>214</v>
      </c>
      <c r="B591">
        <v>1445.634</v>
      </c>
    </row>
    <row r="592" spans="1:2" x14ac:dyDescent="0.3">
      <c r="A592" s="2">
        <v>849</v>
      </c>
      <c r="B592">
        <v>1442.4845</v>
      </c>
    </row>
    <row r="593" spans="1:2" x14ac:dyDescent="0.3">
      <c r="A593" s="2">
        <v>643</v>
      </c>
      <c r="B593">
        <v>1441.2640000000001</v>
      </c>
    </row>
    <row r="594" spans="1:2" x14ac:dyDescent="0.3">
      <c r="A594" s="2">
        <v>653</v>
      </c>
      <c r="B594">
        <v>1440.4680000000001</v>
      </c>
    </row>
    <row r="595" spans="1:2" x14ac:dyDescent="0.3">
      <c r="A595" s="2">
        <v>251</v>
      </c>
      <c r="B595">
        <v>1438.3</v>
      </c>
    </row>
    <row r="596" spans="1:2" x14ac:dyDescent="0.3">
      <c r="A596" s="2">
        <v>581</v>
      </c>
      <c r="B596">
        <v>1435.0140000000001</v>
      </c>
    </row>
    <row r="597" spans="1:2" x14ac:dyDescent="0.3">
      <c r="A597" s="2">
        <v>975</v>
      </c>
      <c r="B597">
        <v>1433.0325</v>
      </c>
    </row>
    <row r="598" spans="1:2" x14ac:dyDescent="0.3">
      <c r="A598" s="2">
        <v>1005</v>
      </c>
      <c r="B598">
        <v>1432.788</v>
      </c>
    </row>
    <row r="599" spans="1:2" x14ac:dyDescent="0.3">
      <c r="A599" s="2">
        <v>721</v>
      </c>
      <c r="B599">
        <v>1421.922</v>
      </c>
    </row>
    <row r="600" spans="1:2" x14ac:dyDescent="0.3">
      <c r="A600" s="2">
        <v>287</v>
      </c>
      <c r="B600">
        <v>1421.922</v>
      </c>
    </row>
    <row r="601" spans="1:2" x14ac:dyDescent="0.3">
      <c r="A601" s="2">
        <v>1014</v>
      </c>
      <c r="B601">
        <v>1421.75</v>
      </c>
    </row>
    <row r="602" spans="1:2" x14ac:dyDescent="0.3">
      <c r="A602" s="2">
        <v>709</v>
      </c>
      <c r="B602">
        <v>1414.7654999999997</v>
      </c>
    </row>
    <row r="603" spans="1:2" x14ac:dyDescent="0.3">
      <c r="A603" s="2">
        <v>726</v>
      </c>
      <c r="B603">
        <v>1414.7654999999997</v>
      </c>
    </row>
    <row r="604" spans="1:2" x14ac:dyDescent="0.3">
      <c r="A604" s="2">
        <v>668</v>
      </c>
      <c r="B604">
        <v>1414.7654999999997</v>
      </c>
    </row>
    <row r="605" spans="1:2" x14ac:dyDescent="0.3">
      <c r="A605" s="2">
        <v>168</v>
      </c>
      <c r="B605">
        <v>1414.7654999999997</v>
      </c>
    </row>
    <row r="606" spans="1:2" x14ac:dyDescent="0.3">
      <c r="A606" s="2">
        <v>4</v>
      </c>
      <c r="B606">
        <v>1414.7654999999997</v>
      </c>
    </row>
    <row r="607" spans="1:2" x14ac:dyDescent="0.3">
      <c r="A607" s="2">
        <v>328</v>
      </c>
      <c r="B607">
        <v>1411.8330000000001</v>
      </c>
    </row>
    <row r="608" spans="1:2" x14ac:dyDescent="0.3">
      <c r="A608" s="2">
        <v>75</v>
      </c>
      <c r="B608">
        <v>1411.8330000000001</v>
      </c>
    </row>
    <row r="609" spans="1:2" x14ac:dyDescent="0.3">
      <c r="A609" s="2">
        <v>954</v>
      </c>
      <c r="B609">
        <v>1409.13</v>
      </c>
    </row>
    <row r="610" spans="1:2" x14ac:dyDescent="0.3">
      <c r="A610" s="2">
        <v>695</v>
      </c>
      <c r="B610">
        <v>1408.1940000000002</v>
      </c>
    </row>
    <row r="611" spans="1:2" x14ac:dyDescent="0.3">
      <c r="A611" s="2">
        <v>1006</v>
      </c>
      <c r="B611">
        <v>1403.1000000000001</v>
      </c>
    </row>
    <row r="612" spans="1:2" x14ac:dyDescent="0.3">
      <c r="A612" s="2">
        <v>923</v>
      </c>
      <c r="B612">
        <v>1396.5775000000001</v>
      </c>
    </row>
    <row r="613" spans="1:2" x14ac:dyDescent="0.3">
      <c r="A613" s="2">
        <v>885</v>
      </c>
      <c r="B613">
        <v>1396.5390000000002</v>
      </c>
    </row>
    <row r="614" spans="1:2" x14ac:dyDescent="0.3">
      <c r="A614" s="2">
        <v>585</v>
      </c>
      <c r="B614">
        <v>1386.04</v>
      </c>
    </row>
    <row r="615" spans="1:2" x14ac:dyDescent="0.3">
      <c r="A615" s="2">
        <v>281</v>
      </c>
      <c r="B615">
        <v>1386.04</v>
      </c>
    </row>
    <row r="616" spans="1:2" x14ac:dyDescent="0.3">
      <c r="A616" s="2">
        <v>133</v>
      </c>
      <c r="B616">
        <v>1386.04</v>
      </c>
    </row>
    <row r="617" spans="1:2" x14ac:dyDescent="0.3">
      <c r="A617" s="2">
        <v>332</v>
      </c>
      <c r="B617">
        <v>1382.454</v>
      </c>
    </row>
    <row r="618" spans="1:2" x14ac:dyDescent="0.3">
      <c r="A618" s="2">
        <v>741</v>
      </c>
      <c r="B618">
        <v>1378.2</v>
      </c>
    </row>
    <row r="619" spans="1:2" x14ac:dyDescent="0.3">
      <c r="A619" s="2">
        <v>301</v>
      </c>
      <c r="B619">
        <v>1369.548</v>
      </c>
    </row>
    <row r="620" spans="1:2" x14ac:dyDescent="0.3">
      <c r="A620" s="2">
        <v>365</v>
      </c>
      <c r="B620">
        <v>1369.548</v>
      </c>
    </row>
    <row r="621" spans="1:2" x14ac:dyDescent="0.3">
      <c r="A621" s="2">
        <v>801</v>
      </c>
      <c r="B621">
        <v>1367.7940000000001</v>
      </c>
    </row>
    <row r="622" spans="1:2" x14ac:dyDescent="0.3">
      <c r="A622" s="2">
        <v>529</v>
      </c>
      <c r="B622">
        <v>1366.461</v>
      </c>
    </row>
    <row r="623" spans="1:2" x14ac:dyDescent="0.3">
      <c r="A623" s="2">
        <v>66</v>
      </c>
      <c r="B623">
        <v>1364.896</v>
      </c>
    </row>
    <row r="624" spans="1:2" x14ac:dyDescent="0.3">
      <c r="A624" s="2">
        <v>65</v>
      </c>
      <c r="B624">
        <v>1362.5040000000001</v>
      </c>
    </row>
    <row r="625" spans="1:2" x14ac:dyDescent="0.3">
      <c r="A625" s="2">
        <v>196</v>
      </c>
      <c r="B625">
        <v>1362.5040000000001</v>
      </c>
    </row>
    <row r="626" spans="1:2" x14ac:dyDescent="0.3">
      <c r="A626" s="2">
        <v>38</v>
      </c>
      <c r="B626">
        <v>1362.5040000000001</v>
      </c>
    </row>
    <row r="627" spans="1:2" x14ac:dyDescent="0.3">
      <c r="A627" s="2">
        <v>22</v>
      </c>
      <c r="B627">
        <v>1360.442</v>
      </c>
    </row>
    <row r="628" spans="1:2" x14ac:dyDescent="0.3">
      <c r="A628" s="2">
        <v>1079</v>
      </c>
      <c r="B628">
        <v>1359.1589999999999</v>
      </c>
    </row>
    <row r="629" spans="1:2" x14ac:dyDescent="0.3">
      <c r="A629" s="2">
        <v>995</v>
      </c>
      <c r="B629">
        <v>1358.6305</v>
      </c>
    </row>
    <row r="630" spans="1:2" x14ac:dyDescent="0.3">
      <c r="A630" s="2">
        <v>659</v>
      </c>
      <c r="B630">
        <v>1347.0840000000001</v>
      </c>
    </row>
    <row r="631" spans="1:2" x14ac:dyDescent="0.3">
      <c r="A631" s="2">
        <v>235</v>
      </c>
      <c r="B631">
        <v>1347.0840000000001</v>
      </c>
    </row>
    <row r="632" spans="1:2" x14ac:dyDescent="0.3">
      <c r="A632" s="2">
        <v>906</v>
      </c>
      <c r="B632">
        <v>1338.0880000000002</v>
      </c>
    </row>
    <row r="633" spans="1:2" x14ac:dyDescent="0.3">
      <c r="A633" s="2">
        <v>178</v>
      </c>
      <c r="B633">
        <v>1334.8530000000001</v>
      </c>
    </row>
    <row r="634" spans="1:2" x14ac:dyDescent="0.3">
      <c r="A634" s="2">
        <v>499</v>
      </c>
      <c r="B634">
        <v>1329.961</v>
      </c>
    </row>
    <row r="635" spans="1:2" x14ac:dyDescent="0.3">
      <c r="A635" s="2">
        <v>225</v>
      </c>
      <c r="B635">
        <v>1329.961</v>
      </c>
    </row>
    <row r="636" spans="1:2" x14ac:dyDescent="0.3">
      <c r="A636" s="2">
        <v>458</v>
      </c>
      <c r="B636">
        <v>1326.4589999999998</v>
      </c>
    </row>
    <row r="637" spans="1:2" x14ac:dyDescent="0.3">
      <c r="A637" s="2">
        <v>108</v>
      </c>
      <c r="B637">
        <v>1305.6509999999998</v>
      </c>
    </row>
    <row r="638" spans="1:2" x14ac:dyDescent="0.3">
      <c r="A638" s="2">
        <v>61</v>
      </c>
      <c r="B638">
        <v>1305.6509999999998</v>
      </c>
    </row>
    <row r="639" spans="1:2" x14ac:dyDescent="0.3">
      <c r="A639" s="2">
        <v>1132</v>
      </c>
      <c r="B639">
        <v>1298.8365000000001</v>
      </c>
    </row>
    <row r="640" spans="1:2" x14ac:dyDescent="0.3">
      <c r="A640" s="2">
        <v>295</v>
      </c>
      <c r="B640">
        <v>1286.8999999999999</v>
      </c>
    </row>
    <row r="641" spans="1:2" x14ac:dyDescent="0.3">
      <c r="A641" s="2">
        <v>617</v>
      </c>
      <c r="B641">
        <v>1281.81</v>
      </c>
    </row>
    <row r="642" spans="1:2" x14ac:dyDescent="0.3">
      <c r="A642" s="2">
        <v>985</v>
      </c>
      <c r="B642">
        <v>1276.9650000000001</v>
      </c>
    </row>
    <row r="643" spans="1:2" x14ac:dyDescent="0.3">
      <c r="A643" s="2">
        <v>959</v>
      </c>
      <c r="B643">
        <v>1274.864</v>
      </c>
    </row>
    <row r="644" spans="1:2" x14ac:dyDescent="0.3">
      <c r="A644" s="2">
        <v>240</v>
      </c>
      <c r="B644">
        <v>1272.2459999999999</v>
      </c>
    </row>
    <row r="645" spans="1:2" x14ac:dyDescent="0.3">
      <c r="A645" s="2">
        <v>776</v>
      </c>
      <c r="B645">
        <v>1266.5160000000001</v>
      </c>
    </row>
    <row r="646" spans="1:2" x14ac:dyDescent="0.3">
      <c r="A646" s="2">
        <v>571</v>
      </c>
      <c r="B646">
        <v>1266.5160000000001</v>
      </c>
    </row>
    <row r="647" spans="1:2" x14ac:dyDescent="0.3">
      <c r="A647" s="2">
        <v>663</v>
      </c>
      <c r="B647">
        <v>1257.5520000000001</v>
      </c>
    </row>
    <row r="648" spans="1:2" x14ac:dyDescent="0.3">
      <c r="A648" s="2">
        <v>889</v>
      </c>
      <c r="B648">
        <v>1255.79</v>
      </c>
    </row>
    <row r="649" spans="1:2" x14ac:dyDescent="0.3">
      <c r="A649" s="2">
        <v>760</v>
      </c>
      <c r="B649">
        <v>1254.8399999999999</v>
      </c>
    </row>
    <row r="650" spans="1:2" x14ac:dyDescent="0.3">
      <c r="A650" s="2">
        <v>435</v>
      </c>
      <c r="B650">
        <v>1254.8399999999999</v>
      </c>
    </row>
    <row r="651" spans="1:2" x14ac:dyDescent="0.3">
      <c r="A651" s="2">
        <v>384</v>
      </c>
      <c r="B651">
        <v>1251.7280000000001</v>
      </c>
    </row>
    <row r="652" spans="1:2" x14ac:dyDescent="0.3">
      <c r="A652" s="2">
        <v>1010</v>
      </c>
      <c r="B652">
        <v>1244.7749999999999</v>
      </c>
    </row>
    <row r="653" spans="1:2" x14ac:dyDescent="0.3">
      <c r="A653" s="2">
        <v>902</v>
      </c>
      <c r="B653">
        <v>1228.444</v>
      </c>
    </row>
    <row r="654" spans="1:2" x14ac:dyDescent="0.3">
      <c r="A654" s="2">
        <v>697</v>
      </c>
      <c r="B654">
        <v>1222.623</v>
      </c>
    </row>
    <row r="655" spans="1:2" x14ac:dyDescent="0.3">
      <c r="A655" s="2">
        <v>429</v>
      </c>
      <c r="B655">
        <v>1218.1199999999999</v>
      </c>
    </row>
    <row r="656" spans="1:2" x14ac:dyDescent="0.3">
      <c r="A656" s="2">
        <v>723</v>
      </c>
      <c r="B656">
        <v>1217.7194999999999</v>
      </c>
    </row>
    <row r="657" spans="1:2" x14ac:dyDescent="0.3">
      <c r="A657" s="2">
        <v>127</v>
      </c>
      <c r="B657">
        <v>1215.3120000000001</v>
      </c>
    </row>
    <row r="658" spans="1:2" x14ac:dyDescent="0.3">
      <c r="A658" s="2">
        <v>1130</v>
      </c>
      <c r="B658">
        <v>1215.0619999999999</v>
      </c>
    </row>
    <row r="659" spans="1:2" x14ac:dyDescent="0.3">
      <c r="A659" s="2">
        <v>476</v>
      </c>
      <c r="B659">
        <v>1214.5920000000001</v>
      </c>
    </row>
    <row r="660" spans="1:2" x14ac:dyDescent="0.3">
      <c r="A660" s="2">
        <v>113</v>
      </c>
      <c r="B660">
        <v>1214.5920000000001</v>
      </c>
    </row>
    <row r="661" spans="1:2" x14ac:dyDescent="0.3">
      <c r="A661" s="2">
        <v>991</v>
      </c>
      <c r="B661">
        <v>1213.6025</v>
      </c>
    </row>
    <row r="662" spans="1:2" x14ac:dyDescent="0.3">
      <c r="A662" s="2">
        <v>744</v>
      </c>
      <c r="B662">
        <v>1211.2</v>
      </c>
    </row>
    <row r="663" spans="1:2" x14ac:dyDescent="0.3">
      <c r="A663" s="2">
        <v>369</v>
      </c>
      <c r="B663">
        <v>1211.2</v>
      </c>
    </row>
    <row r="664" spans="1:2" x14ac:dyDescent="0.3">
      <c r="A664" s="2">
        <v>129</v>
      </c>
      <c r="B664">
        <v>1198.8809999999999</v>
      </c>
    </row>
    <row r="665" spans="1:2" x14ac:dyDescent="0.3">
      <c r="A665" s="2">
        <v>311</v>
      </c>
      <c r="B665">
        <v>1197.4080000000001</v>
      </c>
    </row>
    <row r="666" spans="1:2" x14ac:dyDescent="0.3">
      <c r="A666" s="2">
        <v>422</v>
      </c>
      <c r="B666">
        <v>1196.154</v>
      </c>
    </row>
    <row r="667" spans="1:2" x14ac:dyDescent="0.3">
      <c r="A667" s="2">
        <v>197</v>
      </c>
      <c r="B667">
        <v>1196.154</v>
      </c>
    </row>
    <row r="668" spans="1:2" x14ac:dyDescent="0.3">
      <c r="A668" s="2">
        <v>59</v>
      </c>
      <c r="B668">
        <v>1192.098</v>
      </c>
    </row>
    <row r="669" spans="1:2" x14ac:dyDescent="0.3">
      <c r="A669" s="2">
        <v>681</v>
      </c>
      <c r="B669">
        <v>1189.73</v>
      </c>
    </row>
    <row r="670" spans="1:2" x14ac:dyDescent="0.3">
      <c r="A670" s="2">
        <v>116</v>
      </c>
      <c r="B670">
        <v>1189.73</v>
      </c>
    </row>
    <row r="671" spans="1:2" x14ac:dyDescent="0.3">
      <c r="A671" s="2">
        <v>952</v>
      </c>
      <c r="B671">
        <v>1188.9285</v>
      </c>
    </row>
    <row r="672" spans="1:2" x14ac:dyDescent="0.3">
      <c r="A672" s="2">
        <v>257</v>
      </c>
      <c r="B672">
        <v>1188.03</v>
      </c>
    </row>
    <row r="673" spans="1:2" x14ac:dyDescent="0.3">
      <c r="A673" s="2">
        <v>779</v>
      </c>
      <c r="B673">
        <v>1183.2</v>
      </c>
    </row>
    <row r="674" spans="1:2" x14ac:dyDescent="0.3">
      <c r="A674" s="2">
        <v>45</v>
      </c>
      <c r="B674">
        <v>1171.23</v>
      </c>
    </row>
    <row r="675" spans="1:2" x14ac:dyDescent="0.3">
      <c r="A675" s="2">
        <v>17</v>
      </c>
      <c r="B675">
        <v>1171.23</v>
      </c>
    </row>
    <row r="676" spans="1:2" x14ac:dyDescent="0.3">
      <c r="A676" s="2">
        <v>336</v>
      </c>
      <c r="B676">
        <v>1165.213</v>
      </c>
    </row>
    <row r="677" spans="1:2" x14ac:dyDescent="0.3">
      <c r="A677" s="2">
        <v>961</v>
      </c>
      <c r="B677">
        <v>1160.7950000000001</v>
      </c>
    </row>
    <row r="678" spans="1:2" x14ac:dyDescent="0.3">
      <c r="A678" s="2">
        <v>487</v>
      </c>
      <c r="B678">
        <v>1157.27</v>
      </c>
    </row>
    <row r="679" spans="1:2" x14ac:dyDescent="0.3">
      <c r="A679" s="2">
        <v>1129</v>
      </c>
      <c r="B679">
        <v>1151.1469999999999</v>
      </c>
    </row>
    <row r="680" spans="1:2" x14ac:dyDescent="0.3">
      <c r="A680" s="2">
        <v>175</v>
      </c>
      <c r="B680">
        <v>1150.7040000000002</v>
      </c>
    </row>
    <row r="681" spans="1:2" x14ac:dyDescent="0.3">
      <c r="A681" s="2">
        <v>806</v>
      </c>
      <c r="B681">
        <v>1146.8685</v>
      </c>
    </row>
    <row r="682" spans="1:2" x14ac:dyDescent="0.3">
      <c r="A682" s="2">
        <v>694</v>
      </c>
      <c r="B682">
        <v>1126.96</v>
      </c>
    </row>
    <row r="683" spans="1:2" x14ac:dyDescent="0.3">
      <c r="A683" s="2">
        <v>93</v>
      </c>
      <c r="B683">
        <v>1126.96</v>
      </c>
    </row>
    <row r="684" spans="1:2" x14ac:dyDescent="0.3">
      <c r="A684" s="2">
        <v>535</v>
      </c>
      <c r="B684">
        <v>1125.7920000000001</v>
      </c>
    </row>
    <row r="685" spans="1:2" x14ac:dyDescent="0.3">
      <c r="A685" s="2">
        <v>335</v>
      </c>
      <c r="B685">
        <v>1120.29</v>
      </c>
    </row>
    <row r="686" spans="1:2" x14ac:dyDescent="0.3">
      <c r="A686" s="2">
        <v>835</v>
      </c>
      <c r="B686">
        <v>1120.1869999999999</v>
      </c>
    </row>
    <row r="687" spans="1:2" x14ac:dyDescent="0.3">
      <c r="A687" s="2">
        <v>998</v>
      </c>
      <c r="B687">
        <v>1120.0360000000001</v>
      </c>
    </row>
    <row r="688" spans="1:2" x14ac:dyDescent="0.3">
      <c r="A688" s="2">
        <v>583</v>
      </c>
      <c r="B688">
        <v>1112.96</v>
      </c>
    </row>
    <row r="689" spans="1:2" x14ac:dyDescent="0.3">
      <c r="A689" s="2">
        <v>234</v>
      </c>
      <c r="B689">
        <v>1112.6685</v>
      </c>
    </row>
    <row r="690" spans="1:2" x14ac:dyDescent="0.3">
      <c r="A690" s="2">
        <v>677</v>
      </c>
      <c r="B690">
        <v>1109.6199999999999</v>
      </c>
    </row>
    <row r="691" spans="1:2" x14ac:dyDescent="0.3">
      <c r="A691" s="2">
        <v>105</v>
      </c>
      <c r="B691">
        <v>1109.6199999999999</v>
      </c>
    </row>
    <row r="692" spans="1:2" x14ac:dyDescent="0.3">
      <c r="A692" s="2">
        <v>135</v>
      </c>
      <c r="B692">
        <v>1103.886</v>
      </c>
    </row>
    <row r="693" spans="1:2" x14ac:dyDescent="0.3">
      <c r="A693" s="2">
        <v>822</v>
      </c>
      <c r="B693">
        <v>1097.962</v>
      </c>
    </row>
    <row r="694" spans="1:2" x14ac:dyDescent="0.3">
      <c r="A694" s="2">
        <v>763</v>
      </c>
      <c r="B694">
        <v>1097.5349999999999</v>
      </c>
    </row>
    <row r="695" spans="1:2" x14ac:dyDescent="0.3">
      <c r="A695" s="2">
        <v>64</v>
      </c>
      <c r="B695">
        <v>1089.5384999999999</v>
      </c>
    </row>
    <row r="696" spans="1:2" x14ac:dyDescent="0.3">
      <c r="A696" s="2">
        <v>928</v>
      </c>
      <c r="B696">
        <v>1079.4085000000002</v>
      </c>
    </row>
    <row r="697" spans="1:2" x14ac:dyDescent="0.3">
      <c r="A697" s="2">
        <v>769</v>
      </c>
      <c r="B697">
        <v>1078.6490000000001</v>
      </c>
    </row>
    <row r="698" spans="1:2" x14ac:dyDescent="0.3">
      <c r="A698" s="2">
        <v>655</v>
      </c>
      <c r="B698">
        <v>1078.19</v>
      </c>
    </row>
    <row r="699" spans="1:2" x14ac:dyDescent="0.3">
      <c r="A699" s="2">
        <v>619</v>
      </c>
      <c r="B699">
        <v>1078.19</v>
      </c>
    </row>
    <row r="700" spans="1:2" x14ac:dyDescent="0.3">
      <c r="A700" s="2">
        <v>484</v>
      </c>
      <c r="B700">
        <v>1078.19</v>
      </c>
    </row>
    <row r="701" spans="1:2" x14ac:dyDescent="0.3">
      <c r="A701" s="2">
        <v>683</v>
      </c>
      <c r="B701">
        <v>1072.683</v>
      </c>
    </row>
    <row r="702" spans="1:2" x14ac:dyDescent="0.3">
      <c r="A702" s="2">
        <v>1016</v>
      </c>
      <c r="B702">
        <v>1071.83</v>
      </c>
    </row>
    <row r="703" spans="1:2" x14ac:dyDescent="0.3">
      <c r="A703" s="2">
        <v>656</v>
      </c>
      <c r="B703">
        <v>1070.6120000000001</v>
      </c>
    </row>
    <row r="704" spans="1:2" x14ac:dyDescent="0.3">
      <c r="A704" s="2">
        <v>473</v>
      </c>
      <c r="B704">
        <v>1066.6139999999998</v>
      </c>
    </row>
    <row r="705" spans="1:2" x14ac:dyDescent="0.3">
      <c r="A705" s="2">
        <v>115</v>
      </c>
      <c r="B705">
        <v>1064.8800000000001</v>
      </c>
    </row>
    <row r="706" spans="1:2" x14ac:dyDescent="0.3">
      <c r="A706" s="2">
        <v>209</v>
      </c>
      <c r="B706">
        <v>1054.1389999999999</v>
      </c>
    </row>
    <row r="707" spans="1:2" x14ac:dyDescent="0.3">
      <c r="A707" s="2">
        <v>442</v>
      </c>
      <c r="B707">
        <v>1047.96</v>
      </c>
    </row>
    <row r="708" spans="1:2" x14ac:dyDescent="0.3">
      <c r="A708" s="2">
        <v>5</v>
      </c>
      <c r="B708">
        <v>1047.96</v>
      </c>
    </row>
    <row r="709" spans="1:2" x14ac:dyDescent="0.3">
      <c r="A709" s="2">
        <v>30</v>
      </c>
      <c r="B709">
        <v>1042.559</v>
      </c>
    </row>
    <row r="710" spans="1:2" x14ac:dyDescent="0.3">
      <c r="A710" s="2">
        <v>171</v>
      </c>
      <c r="B710">
        <v>1041.5430000000001</v>
      </c>
    </row>
    <row r="711" spans="1:2" x14ac:dyDescent="0.3">
      <c r="A711" s="2">
        <v>248</v>
      </c>
      <c r="B711">
        <v>1041.5430000000001</v>
      </c>
    </row>
    <row r="712" spans="1:2" x14ac:dyDescent="0.3">
      <c r="A712" s="2">
        <v>32</v>
      </c>
      <c r="B712">
        <v>1039.77</v>
      </c>
    </row>
    <row r="713" spans="1:2" x14ac:dyDescent="0.3">
      <c r="A713" s="2">
        <v>459</v>
      </c>
      <c r="B713">
        <v>1035.4019999999998</v>
      </c>
    </row>
    <row r="714" spans="1:2" x14ac:dyDescent="0.3">
      <c r="A714" s="2">
        <v>533</v>
      </c>
      <c r="B714">
        <v>1027.71</v>
      </c>
    </row>
    <row r="715" spans="1:2" x14ac:dyDescent="0.3">
      <c r="A715" s="2">
        <v>368</v>
      </c>
      <c r="B715">
        <v>1027.71</v>
      </c>
    </row>
    <row r="716" spans="1:2" x14ac:dyDescent="0.3">
      <c r="A716" s="2">
        <v>788</v>
      </c>
      <c r="B716">
        <v>1025.269</v>
      </c>
    </row>
    <row r="717" spans="1:2" x14ac:dyDescent="0.3">
      <c r="A717" s="2">
        <v>901</v>
      </c>
      <c r="B717">
        <v>1024.768</v>
      </c>
    </row>
    <row r="718" spans="1:2" x14ac:dyDescent="0.3">
      <c r="A718" s="2">
        <v>767</v>
      </c>
      <c r="B718">
        <v>1024.2805000000001</v>
      </c>
    </row>
    <row r="719" spans="1:2" x14ac:dyDescent="0.3">
      <c r="A719" s="2">
        <v>934</v>
      </c>
      <c r="B719">
        <v>1023.1160000000001</v>
      </c>
    </row>
    <row r="720" spans="1:2" x14ac:dyDescent="0.3">
      <c r="A720" s="2">
        <v>692</v>
      </c>
      <c r="B720">
        <v>1021.878</v>
      </c>
    </row>
    <row r="721" spans="1:2" x14ac:dyDescent="0.3">
      <c r="A721" s="2">
        <v>6</v>
      </c>
      <c r="B721">
        <v>1021.878</v>
      </c>
    </row>
    <row r="722" spans="1:2" x14ac:dyDescent="0.3">
      <c r="A722" s="2">
        <v>918</v>
      </c>
      <c r="B722">
        <v>1017.515</v>
      </c>
    </row>
    <row r="723" spans="1:2" x14ac:dyDescent="0.3">
      <c r="A723" s="2">
        <v>467</v>
      </c>
      <c r="B723">
        <v>1016.06</v>
      </c>
    </row>
    <row r="724" spans="1:2" x14ac:dyDescent="0.3">
      <c r="A724" s="2">
        <v>739</v>
      </c>
      <c r="B724">
        <v>1014.45</v>
      </c>
    </row>
    <row r="725" spans="1:2" x14ac:dyDescent="0.3">
      <c r="A725" s="2">
        <v>247</v>
      </c>
      <c r="B725">
        <v>1014.264</v>
      </c>
    </row>
    <row r="726" spans="1:2" x14ac:dyDescent="0.3">
      <c r="A726" s="2">
        <v>21</v>
      </c>
      <c r="B726">
        <v>1013.265</v>
      </c>
    </row>
    <row r="727" spans="1:2" x14ac:dyDescent="0.3">
      <c r="A727" s="2">
        <v>167</v>
      </c>
      <c r="B727">
        <v>1010.583</v>
      </c>
    </row>
    <row r="728" spans="1:2" x14ac:dyDescent="0.3">
      <c r="A728" s="2">
        <v>322</v>
      </c>
      <c r="B728">
        <v>1009.5840000000001</v>
      </c>
    </row>
    <row r="729" spans="1:2" x14ac:dyDescent="0.3">
      <c r="A729" s="2">
        <v>179</v>
      </c>
      <c r="B729">
        <v>1009.5840000000001</v>
      </c>
    </row>
    <row r="730" spans="1:2" x14ac:dyDescent="0.3">
      <c r="A730" s="2">
        <v>16</v>
      </c>
      <c r="B730">
        <v>1008.261</v>
      </c>
    </row>
    <row r="731" spans="1:2" x14ac:dyDescent="0.3">
      <c r="A731" s="2">
        <v>52</v>
      </c>
      <c r="B731">
        <v>1005.72</v>
      </c>
    </row>
    <row r="732" spans="1:2" x14ac:dyDescent="0.3">
      <c r="A732" s="2">
        <v>728</v>
      </c>
      <c r="B732">
        <v>1004.94</v>
      </c>
    </row>
    <row r="733" spans="1:2" x14ac:dyDescent="0.3">
      <c r="A733" s="2">
        <v>117</v>
      </c>
      <c r="B733">
        <v>1004.94</v>
      </c>
    </row>
    <row r="734" spans="1:2" x14ac:dyDescent="0.3">
      <c r="A734" s="2">
        <v>321</v>
      </c>
      <c r="B734">
        <v>1003.83</v>
      </c>
    </row>
    <row r="735" spans="1:2" x14ac:dyDescent="0.3">
      <c r="A735" s="2">
        <v>1013</v>
      </c>
      <c r="B735">
        <v>1003.1955</v>
      </c>
    </row>
    <row r="736" spans="1:2" x14ac:dyDescent="0.3">
      <c r="A736" s="2">
        <v>679</v>
      </c>
      <c r="B736">
        <v>998.6579999999999</v>
      </c>
    </row>
    <row r="737" spans="1:2" x14ac:dyDescent="0.3">
      <c r="A737" s="2">
        <v>125</v>
      </c>
      <c r="B737">
        <v>997.84</v>
      </c>
    </row>
    <row r="738" spans="1:2" x14ac:dyDescent="0.3">
      <c r="A738" s="2">
        <v>215</v>
      </c>
      <c r="B738">
        <v>997.84</v>
      </c>
    </row>
    <row r="739" spans="1:2" x14ac:dyDescent="0.3">
      <c r="A739" s="2">
        <v>605</v>
      </c>
      <c r="B739">
        <v>995.54549999999995</v>
      </c>
    </row>
    <row r="740" spans="1:2" x14ac:dyDescent="0.3">
      <c r="A740" s="2">
        <v>359</v>
      </c>
      <c r="B740">
        <v>991.09699999999998</v>
      </c>
    </row>
    <row r="741" spans="1:2" x14ac:dyDescent="0.3">
      <c r="A741" s="2">
        <v>1090</v>
      </c>
      <c r="B741">
        <v>984.42800000000011</v>
      </c>
    </row>
    <row r="742" spans="1:2" x14ac:dyDescent="0.3">
      <c r="A742" s="2">
        <v>667</v>
      </c>
      <c r="B742">
        <v>983.67949999999996</v>
      </c>
    </row>
    <row r="743" spans="1:2" x14ac:dyDescent="0.3">
      <c r="A743" s="2">
        <v>762</v>
      </c>
      <c r="B743">
        <v>982.59449999999993</v>
      </c>
    </row>
    <row r="744" spans="1:2" x14ac:dyDescent="0.3">
      <c r="A744" s="2">
        <v>632</v>
      </c>
      <c r="B744">
        <v>981.23199999999997</v>
      </c>
    </row>
    <row r="745" spans="1:2" x14ac:dyDescent="0.3">
      <c r="A745" s="2">
        <v>221</v>
      </c>
      <c r="B745">
        <v>976.68</v>
      </c>
    </row>
    <row r="746" spans="1:2" x14ac:dyDescent="0.3">
      <c r="A746" s="2">
        <v>508</v>
      </c>
      <c r="B746">
        <v>974.54</v>
      </c>
    </row>
    <row r="747" spans="1:2" x14ac:dyDescent="0.3">
      <c r="A747" s="2">
        <v>921</v>
      </c>
      <c r="B747">
        <v>970.48199999999997</v>
      </c>
    </row>
    <row r="748" spans="1:2" x14ac:dyDescent="0.3">
      <c r="A748" s="2">
        <v>773</v>
      </c>
      <c r="B748">
        <v>968.85749999999996</v>
      </c>
    </row>
    <row r="749" spans="1:2" x14ac:dyDescent="0.3">
      <c r="A749" s="2">
        <v>610</v>
      </c>
      <c r="B749">
        <v>968.85749999999996</v>
      </c>
    </row>
    <row r="750" spans="1:2" x14ac:dyDescent="0.3">
      <c r="A750" s="2">
        <v>878</v>
      </c>
      <c r="B750">
        <v>968.44799999999998</v>
      </c>
    </row>
    <row r="751" spans="1:2" x14ac:dyDescent="0.3">
      <c r="A751" s="2">
        <v>890</v>
      </c>
      <c r="B751">
        <v>967.72050000000002</v>
      </c>
    </row>
    <row r="752" spans="1:2" x14ac:dyDescent="0.3">
      <c r="A752" s="2">
        <v>1004</v>
      </c>
      <c r="B752">
        <v>966.98700000000008</v>
      </c>
    </row>
    <row r="753" spans="1:2" x14ac:dyDescent="0.3">
      <c r="A753" s="2">
        <v>211</v>
      </c>
      <c r="B753">
        <v>965.25699999999995</v>
      </c>
    </row>
    <row r="754" spans="1:2" x14ac:dyDescent="0.3">
      <c r="A754" s="2">
        <v>60</v>
      </c>
      <c r="B754">
        <v>965.25699999999995</v>
      </c>
    </row>
    <row r="755" spans="1:2" x14ac:dyDescent="0.3">
      <c r="A755" s="2">
        <v>549</v>
      </c>
      <c r="B755">
        <v>961.06749999999988</v>
      </c>
    </row>
    <row r="756" spans="1:2" x14ac:dyDescent="0.3">
      <c r="A756" s="2">
        <v>56</v>
      </c>
      <c r="B756">
        <v>961.06749999999988</v>
      </c>
    </row>
    <row r="757" spans="1:2" x14ac:dyDescent="0.3">
      <c r="A757" s="2">
        <v>670</v>
      </c>
      <c r="B757">
        <v>958.87</v>
      </c>
    </row>
    <row r="758" spans="1:2" x14ac:dyDescent="0.3">
      <c r="A758" s="2">
        <v>592</v>
      </c>
      <c r="B758">
        <v>958.87</v>
      </c>
    </row>
    <row r="759" spans="1:2" x14ac:dyDescent="0.3">
      <c r="A759" s="2">
        <v>358</v>
      </c>
      <c r="B759">
        <v>954.69299999999998</v>
      </c>
    </row>
    <row r="760" spans="1:2" x14ac:dyDescent="0.3">
      <c r="A760" s="2">
        <v>887</v>
      </c>
      <c r="B760">
        <v>954.56550000000004</v>
      </c>
    </row>
    <row r="761" spans="1:2" x14ac:dyDescent="0.3">
      <c r="A761" s="2">
        <v>344</v>
      </c>
      <c r="B761">
        <v>953.63850000000002</v>
      </c>
    </row>
    <row r="762" spans="1:2" x14ac:dyDescent="0.3">
      <c r="A762" s="2">
        <v>58</v>
      </c>
      <c r="B762">
        <v>950.42399999999998</v>
      </c>
    </row>
    <row r="763" spans="1:2" x14ac:dyDescent="0.3">
      <c r="A763" s="2">
        <v>149</v>
      </c>
      <c r="B763">
        <v>949.47</v>
      </c>
    </row>
    <row r="764" spans="1:2" x14ac:dyDescent="0.3">
      <c r="A764" s="2">
        <v>73</v>
      </c>
      <c r="B764">
        <v>947.94799999999998</v>
      </c>
    </row>
    <row r="765" spans="1:2" x14ac:dyDescent="0.3">
      <c r="A765" s="2">
        <v>88</v>
      </c>
      <c r="B765">
        <v>946.56000000000006</v>
      </c>
    </row>
    <row r="766" spans="1:2" x14ac:dyDescent="0.3">
      <c r="A766" s="2">
        <v>637</v>
      </c>
      <c r="B766">
        <v>943.17699999999991</v>
      </c>
    </row>
    <row r="767" spans="1:2" x14ac:dyDescent="0.3">
      <c r="A767" s="2">
        <v>25</v>
      </c>
      <c r="B767">
        <v>943.04</v>
      </c>
    </row>
    <row r="768" spans="1:2" x14ac:dyDescent="0.3">
      <c r="A768" s="2">
        <v>404</v>
      </c>
      <c r="B768">
        <v>938.16</v>
      </c>
    </row>
    <row r="769" spans="1:2" x14ac:dyDescent="0.3">
      <c r="A769" s="2">
        <v>204</v>
      </c>
      <c r="B769">
        <v>938.16</v>
      </c>
    </row>
    <row r="770" spans="1:2" x14ac:dyDescent="0.3">
      <c r="A770" s="2">
        <v>479</v>
      </c>
      <c r="B770">
        <v>930.87900000000002</v>
      </c>
    </row>
    <row r="771" spans="1:2" x14ac:dyDescent="0.3">
      <c r="A771" s="2">
        <v>771</v>
      </c>
      <c r="B771">
        <v>929.37000000000012</v>
      </c>
    </row>
    <row r="772" spans="1:2" x14ac:dyDescent="0.3">
      <c r="A772" s="2">
        <v>408</v>
      </c>
      <c r="B772">
        <v>929.37000000000012</v>
      </c>
    </row>
    <row r="773" spans="1:2" x14ac:dyDescent="0.3">
      <c r="A773" s="2">
        <v>380</v>
      </c>
      <c r="B773">
        <v>927.84599999999989</v>
      </c>
    </row>
    <row r="774" spans="1:2" x14ac:dyDescent="0.3">
      <c r="A774" s="2">
        <v>162</v>
      </c>
      <c r="B774">
        <v>927.84599999999989</v>
      </c>
    </row>
    <row r="775" spans="1:2" x14ac:dyDescent="0.3">
      <c r="A775" s="2">
        <v>153</v>
      </c>
      <c r="B775">
        <v>917.86500000000001</v>
      </c>
    </row>
    <row r="776" spans="1:2" x14ac:dyDescent="0.3">
      <c r="A776" s="2">
        <v>340</v>
      </c>
      <c r="B776">
        <v>916.4615</v>
      </c>
    </row>
    <row r="777" spans="1:2" x14ac:dyDescent="0.3">
      <c r="A777" s="2">
        <v>627</v>
      </c>
      <c r="B777">
        <v>914.45399999999995</v>
      </c>
    </row>
    <row r="778" spans="1:2" x14ac:dyDescent="0.3">
      <c r="A778" s="2">
        <v>568</v>
      </c>
      <c r="B778">
        <v>914.45399999999995</v>
      </c>
    </row>
    <row r="779" spans="1:2" x14ac:dyDescent="0.3">
      <c r="A779" s="2">
        <v>277</v>
      </c>
      <c r="B779">
        <v>910.92649999999992</v>
      </c>
    </row>
    <row r="780" spans="1:2" x14ac:dyDescent="0.3">
      <c r="A780" s="2">
        <v>977</v>
      </c>
      <c r="B780">
        <v>909.54899999999998</v>
      </c>
    </row>
    <row r="781" spans="1:2" x14ac:dyDescent="0.3">
      <c r="A781" s="2">
        <v>846</v>
      </c>
      <c r="B781">
        <v>909.226</v>
      </c>
    </row>
    <row r="782" spans="1:2" x14ac:dyDescent="0.3">
      <c r="A782" s="2">
        <v>268</v>
      </c>
      <c r="B782">
        <v>908.33600000000013</v>
      </c>
    </row>
    <row r="783" spans="1:2" x14ac:dyDescent="0.3">
      <c r="A783" s="2">
        <v>144</v>
      </c>
      <c r="B783">
        <v>904.44600000000003</v>
      </c>
    </row>
    <row r="784" spans="1:2" x14ac:dyDescent="0.3">
      <c r="A784" s="2">
        <v>924</v>
      </c>
      <c r="B784">
        <v>904.43349999999998</v>
      </c>
    </row>
    <row r="785" spans="1:2" x14ac:dyDescent="0.3">
      <c r="A785" s="2">
        <v>916</v>
      </c>
      <c r="B785">
        <v>902.50400000000002</v>
      </c>
    </row>
    <row r="786" spans="1:2" x14ac:dyDescent="0.3">
      <c r="A786" s="2">
        <v>749</v>
      </c>
      <c r="B786">
        <v>900.79</v>
      </c>
    </row>
    <row r="787" spans="1:2" x14ac:dyDescent="0.3">
      <c r="A787" s="2">
        <v>747</v>
      </c>
      <c r="B787">
        <v>900.68</v>
      </c>
    </row>
    <row r="788" spans="1:2" x14ac:dyDescent="0.3">
      <c r="A788" s="2">
        <v>256</v>
      </c>
      <c r="B788">
        <v>900.68</v>
      </c>
    </row>
    <row r="789" spans="1:2" x14ac:dyDescent="0.3">
      <c r="A789" s="2">
        <v>236</v>
      </c>
      <c r="B789">
        <v>900.68</v>
      </c>
    </row>
    <row r="790" spans="1:2" x14ac:dyDescent="0.3">
      <c r="A790" s="2">
        <v>544</v>
      </c>
      <c r="B790">
        <v>898.05600000000004</v>
      </c>
    </row>
    <row r="791" spans="1:2" x14ac:dyDescent="0.3">
      <c r="A791" s="2">
        <v>302</v>
      </c>
      <c r="B791">
        <v>896.23199999999997</v>
      </c>
    </row>
    <row r="792" spans="1:2" x14ac:dyDescent="0.3">
      <c r="A792" s="2">
        <v>409</v>
      </c>
      <c r="B792">
        <v>895.88799999999992</v>
      </c>
    </row>
    <row r="793" spans="1:2" x14ac:dyDescent="0.3">
      <c r="A793" s="2">
        <v>598</v>
      </c>
      <c r="B793">
        <v>892.80899999999997</v>
      </c>
    </row>
    <row r="794" spans="1:2" x14ac:dyDescent="0.3">
      <c r="A794" s="2">
        <v>560</v>
      </c>
      <c r="B794">
        <v>892.80899999999997</v>
      </c>
    </row>
    <row r="795" spans="1:2" x14ac:dyDescent="0.3">
      <c r="A795" s="2">
        <v>496</v>
      </c>
      <c r="B795">
        <v>889.90200000000004</v>
      </c>
    </row>
    <row r="796" spans="1:2" x14ac:dyDescent="0.3">
      <c r="A796" s="2">
        <v>124</v>
      </c>
      <c r="B796">
        <v>882.95449999999994</v>
      </c>
    </row>
    <row r="797" spans="1:2" x14ac:dyDescent="0.3">
      <c r="A797" s="2">
        <v>157</v>
      </c>
      <c r="B797">
        <v>882.3</v>
      </c>
    </row>
    <row r="798" spans="1:2" x14ac:dyDescent="0.3">
      <c r="A798" s="2">
        <v>865</v>
      </c>
      <c r="B798">
        <v>879.87</v>
      </c>
    </row>
    <row r="799" spans="1:2" x14ac:dyDescent="0.3">
      <c r="A799" s="2">
        <v>421</v>
      </c>
      <c r="B799">
        <v>879.01199999999994</v>
      </c>
    </row>
    <row r="800" spans="1:2" x14ac:dyDescent="0.3">
      <c r="A800" s="2">
        <v>242</v>
      </c>
      <c r="B800">
        <v>879.01199999999994</v>
      </c>
    </row>
    <row r="801" spans="1:2" x14ac:dyDescent="0.3">
      <c r="A801" s="2">
        <v>897</v>
      </c>
      <c r="B801">
        <v>875.55099999999993</v>
      </c>
    </row>
    <row r="802" spans="1:2" x14ac:dyDescent="0.3">
      <c r="A802" s="2">
        <v>517</v>
      </c>
      <c r="B802">
        <v>873.55349999999999</v>
      </c>
    </row>
    <row r="803" spans="1:2" x14ac:dyDescent="0.3">
      <c r="A803" s="2">
        <v>97</v>
      </c>
      <c r="B803">
        <v>873.55349999999999</v>
      </c>
    </row>
    <row r="804" spans="1:2" x14ac:dyDescent="0.3">
      <c r="A804" s="2">
        <v>305</v>
      </c>
      <c r="B804">
        <v>871.98300000000006</v>
      </c>
    </row>
    <row r="805" spans="1:2" x14ac:dyDescent="0.3">
      <c r="A805" s="2">
        <v>353</v>
      </c>
      <c r="B805">
        <v>862.55200000000013</v>
      </c>
    </row>
    <row r="806" spans="1:2" x14ac:dyDescent="0.3">
      <c r="A806" s="2">
        <v>666</v>
      </c>
      <c r="B806">
        <v>862.28250000000003</v>
      </c>
    </row>
    <row r="807" spans="1:2" x14ac:dyDescent="0.3">
      <c r="A807" s="2">
        <v>217</v>
      </c>
      <c r="B807">
        <v>862.28250000000003</v>
      </c>
    </row>
    <row r="808" spans="1:2" x14ac:dyDescent="0.3">
      <c r="A808" s="2">
        <v>245</v>
      </c>
      <c r="B808">
        <v>862.28250000000003</v>
      </c>
    </row>
    <row r="809" spans="1:2" x14ac:dyDescent="0.3">
      <c r="A809" s="2">
        <v>381</v>
      </c>
      <c r="B809">
        <v>860.3359999999999</v>
      </c>
    </row>
    <row r="810" spans="1:2" x14ac:dyDescent="0.3">
      <c r="A810" s="2">
        <v>764</v>
      </c>
      <c r="B810">
        <v>859.90249999999992</v>
      </c>
    </row>
    <row r="811" spans="1:2" x14ac:dyDescent="0.3">
      <c r="A811" s="2">
        <v>500</v>
      </c>
      <c r="B811">
        <v>856.62900000000002</v>
      </c>
    </row>
    <row r="812" spans="1:2" x14ac:dyDescent="0.3">
      <c r="A812" s="2">
        <v>415</v>
      </c>
      <c r="B812">
        <v>854.54</v>
      </c>
    </row>
    <row r="813" spans="1:2" x14ac:dyDescent="0.3">
      <c r="A813" s="2">
        <v>958</v>
      </c>
      <c r="B813">
        <v>852.45800000000008</v>
      </c>
    </row>
    <row r="814" spans="1:2" x14ac:dyDescent="0.3">
      <c r="A814" s="2">
        <v>971</v>
      </c>
      <c r="B814">
        <v>850.42600000000004</v>
      </c>
    </row>
    <row r="815" spans="1:2" x14ac:dyDescent="0.3">
      <c r="A815" s="2">
        <v>710</v>
      </c>
      <c r="B815">
        <v>848.16399999999999</v>
      </c>
    </row>
    <row r="816" spans="1:2" x14ac:dyDescent="0.3">
      <c r="A816" s="2">
        <v>564</v>
      </c>
      <c r="B816">
        <v>843.20849999999996</v>
      </c>
    </row>
    <row r="817" spans="1:2" x14ac:dyDescent="0.3">
      <c r="A817" s="2">
        <v>507</v>
      </c>
      <c r="B817">
        <v>843.20849999999996</v>
      </c>
    </row>
    <row r="818" spans="1:2" x14ac:dyDescent="0.3">
      <c r="A818" s="2">
        <v>704</v>
      </c>
      <c r="B818">
        <v>841.32</v>
      </c>
    </row>
    <row r="819" spans="1:2" x14ac:dyDescent="0.3">
      <c r="A819" s="2">
        <v>454</v>
      </c>
      <c r="B819">
        <v>840.46299999999997</v>
      </c>
    </row>
    <row r="820" spans="1:2" x14ac:dyDescent="0.3">
      <c r="A820" s="2">
        <v>813</v>
      </c>
      <c r="B820">
        <v>835.12149999999997</v>
      </c>
    </row>
    <row r="821" spans="1:2" x14ac:dyDescent="0.3">
      <c r="A821" s="2">
        <v>398</v>
      </c>
      <c r="B821">
        <v>834.60800000000006</v>
      </c>
    </row>
    <row r="822" spans="1:2" x14ac:dyDescent="0.3">
      <c r="A822" s="2">
        <v>83</v>
      </c>
      <c r="B822">
        <v>830.40000000000009</v>
      </c>
    </row>
    <row r="823" spans="1:2" x14ac:dyDescent="0.3">
      <c r="A823" s="2">
        <v>528</v>
      </c>
      <c r="B823">
        <v>822.16800000000012</v>
      </c>
    </row>
    <row r="824" spans="1:2" x14ac:dyDescent="0.3">
      <c r="A824" s="2">
        <v>154</v>
      </c>
      <c r="B824">
        <v>822.16800000000012</v>
      </c>
    </row>
    <row r="825" spans="1:2" x14ac:dyDescent="0.3">
      <c r="A825" s="2">
        <v>465</v>
      </c>
      <c r="B825">
        <v>817.83</v>
      </c>
    </row>
    <row r="826" spans="1:2" x14ac:dyDescent="0.3">
      <c r="A826" s="2">
        <v>545</v>
      </c>
      <c r="B826">
        <v>812.84799999999996</v>
      </c>
    </row>
    <row r="827" spans="1:2" x14ac:dyDescent="0.3">
      <c r="A827" s="2">
        <v>361</v>
      </c>
      <c r="B827">
        <v>812.84799999999996</v>
      </c>
    </row>
    <row r="828" spans="1:2" x14ac:dyDescent="0.3">
      <c r="A828" s="2">
        <v>725</v>
      </c>
      <c r="B828">
        <v>811.81299999999987</v>
      </c>
    </row>
    <row r="829" spans="1:2" x14ac:dyDescent="0.3">
      <c r="A829" s="2">
        <v>657</v>
      </c>
      <c r="B829">
        <v>811.81299999999987</v>
      </c>
    </row>
    <row r="830" spans="1:2" x14ac:dyDescent="0.3">
      <c r="A830" s="2">
        <v>497</v>
      </c>
      <c r="B830">
        <v>811.56000000000006</v>
      </c>
    </row>
    <row r="831" spans="1:2" x14ac:dyDescent="0.3">
      <c r="A831" s="2">
        <v>777</v>
      </c>
      <c r="B831">
        <v>809.32</v>
      </c>
    </row>
    <row r="832" spans="1:2" x14ac:dyDescent="0.3">
      <c r="A832" s="2">
        <v>300</v>
      </c>
      <c r="B832">
        <v>809.03849999999989</v>
      </c>
    </row>
    <row r="833" spans="1:2" x14ac:dyDescent="0.3">
      <c r="A833" s="2">
        <v>943</v>
      </c>
      <c r="B833">
        <v>801.96</v>
      </c>
    </row>
    <row r="834" spans="1:2" x14ac:dyDescent="0.3">
      <c r="A834" s="2">
        <v>391</v>
      </c>
      <c r="B834">
        <v>801.58399999999995</v>
      </c>
    </row>
    <row r="835" spans="1:2" x14ac:dyDescent="0.3">
      <c r="A835" s="2">
        <v>940</v>
      </c>
      <c r="B835">
        <v>800.89300000000003</v>
      </c>
    </row>
    <row r="836" spans="1:2" x14ac:dyDescent="0.3">
      <c r="A836" s="2">
        <v>304</v>
      </c>
      <c r="B836">
        <v>800.26</v>
      </c>
    </row>
    <row r="837" spans="1:2" x14ac:dyDescent="0.3">
      <c r="A837" s="2">
        <v>418</v>
      </c>
      <c r="B837">
        <v>798.27200000000005</v>
      </c>
    </row>
    <row r="838" spans="1:2" x14ac:dyDescent="0.3">
      <c r="A838" s="2">
        <v>95</v>
      </c>
      <c r="B838">
        <v>798.27200000000005</v>
      </c>
    </row>
    <row r="839" spans="1:2" x14ac:dyDescent="0.3">
      <c r="A839" s="2">
        <v>111</v>
      </c>
      <c r="B839">
        <v>797.23</v>
      </c>
    </row>
    <row r="840" spans="1:2" x14ac:dyDescent="0.3">
      <c r="A840" s="2">
        <v>774</v>
      </c>
      <c r="B840">
        <v>795.77</v>
      </c>
    </row>
    <row r="841" spans="1:2" x14ac:dyDescent="0.3">
      <c r="A841" s="2">
        <v>448</v>
      </c>
      <c r="B841">
        <v>795.77</v>
      </c>
    </row>
    <row r="842" spans="1:2" x14ac:dyDescent="0.3">
      <c r="A842" s="2">
        <v>102</v>
      </c>
      <c r="B842">
        <v>792.02</v>
      </c>
    </row>
    <row r="843" spans="1:2" x14ac:dyDescent="0.3">
      <c r="A843" s="2">
        <v>36</v>
      </c>
      <c r="B843">
        <v>792.02</v>
      </c>
    </row>
    <row r="844" spans="1:2" x14ac:dyDescent="0.3">
      <c r="A844" s="2">
        <v>536</v>
      </c>
      <c r="B844">
        <v>791.024</v>
      </c>
    </row>
    <row r="845" spans="1:2" x14ac:dyDescent="0.3">
      <c r="A845" s="2">
        <v>664</v>
      </c>
      <c r="B845">
        <v>780.20100000000002</v>
      </c>
    </row>
    <row r="846" spans="1:2" x14ac:dyDescent="0.3">
      <c r="A846" s="2">
        <v>836</v>
      </c>
      <c r="B846">
        <v>776.93849999999998</v>
      </c>
    </row>
    <row r="847" spans="1:2" x14ac:dyDescent="0.3">
      <c r="A847" s="2">
        <v>582</v>
      </c>
      <c r="B847">
        <v>776.93849999999998</v>
      </c>
    </row>
    <row r="848" spans="1:2" x14ac:dyDescent="0.3">
      <c r="A848" s="2">
        <v>630</v>
      </c>
      <c r="B848">
        <v>775.096</v>
      </c>
    </row>
    <row r="849" spans="1:2" x14ac:dyDescent="0.3">
      <c r="A849" s="2">
        <v>82</v>
      </c>
      <c r="B849">
        <v>774.24</v>
      </c>
    </row>
    <row r="850" spans="1:2" x14ac:dyDescent="0.3">
      <c r="A850" s="2">
        <v>557</v>
      </c>
      <c r="B850">
        <v>769.08600000000001</v>
      </c>
    </row>
    <row r="851" spans="1:2" x14ac:dyDescent="0.3">
      <c r="A851" s="2">
        <v>449</v>
      </c>
      <c r="B851">
        <v>769.08600000000001</v>
      </c>
    </row>
    <row r="852" spans="1:2" x14ac:dyDescent="0.3">
      <c r="A852" s="2">
        <v>285</v>
      </c>
      <c r="B852">
        <v>769.08600000000001</v>
      </c>
    </row>
    <row r="853" spans="1:2" x14ac:dyDescent="0.3">
      <c r="A853" s="2">
        <v>296</v>
      </c>
      <c r="B853">
        <v>768.27</v>
      </c>
    </row>
    <row r="854" spans="1:2" x14ac:dyDescent="0.3">
      <c r="A854" s="2">
        <v>474</v>
      </c>
      <c r="B854">
        <v>768.03</v>
      </c>
    </row>
    <row r="855" spans="1:2" x14ac:dyDescent="0.3">
      <c r="A855" s="2">
        <v>86</v>
      </c>
      <c r="B855">
        <v>767.096</v>
      </c>
    </row>
    <row r="856" spans="1:2" x14ac:dyDescent="0.3">
      <c r="A856" s="2">
        <v>802</v>
      </c>
      <c r="B856">
        <v>764.30200000000013</v>
      </c>
    </row>
    <row r="857" spans="1:2" x14ac:dyDescent="0.3">
      <c r="A857" s="2">
        <v>956</v>
      </c>
      <c r="B857">
        <v>763.88850000000002</v>
      </c>
    </row>
    <row r="858" spans="1:2" x14ac:dyDescent="0.3">
      <c r="A858" s="2">
        <v>430</v>
      </c>
      <c r="B858">
        <v>762.73599999999999</v>
      </c>
    </row>
    <row r="859" spans="1:2" x14ac:dyDescent="0.3">
      <c r="A859" s="2">
        <v>464</v>
      </c>
      <c r="B859">
        <v>762.73599999999999</v>
      </c>
    </row>
    <row r="860" spans="1:2" x14ac:dyDescent="0.3">
      <c r="A860" s="2">
        <v>574</v>
      </c>
      <c r="B860">
        <v>760.86</v>
      </c>
    </row>
    <row r="861" spans="1:2" x14ac:dyDescent="0.3">
      <c r="A861" s="2">
        <v>31</v>
      </c>
      <c r="B861">
        <v>759.57600000000002</v>
      </c>
    </row>
    <row r="862" spans="1:2" x14ac:dyDescent="0.3">
      <c r="A862" s="2">
        <v>785</v>
      </c>
      <c r="B862">
        <v>758.68200000000002</v>
      </c>
    </row>
    <row r="863" spans="1:2" x14ac:dyDescent="0.3">
      <c r="A863" s="2">
        <v>434</v>
      </c>
      <c r="B863">
        <v>757.36849999999993</v>
      </c>
    </row>
    <row r="864" spans="1:2" x14ac:dyDescent="0.3">
      <c r="A864" s="2">
        <v>613</v>
      </c>
      <c r="B864">
        <v>755.98149999999998</v>
      </c>
    </row>
    <row r="865" spans="1:2" x14ac:dyDescent="0.3">
      <c r="A865" s="2">
        <v>200</v>
      </c>
      <c r="B865">
        <v>754.43200000000002</v>
      </c>
    </row>
    <row r="866" spans="1:2" x14ac:dyDescent="0.3">
      <c r="A866" s="2">
        <v>600</v>
      </c>
      <c r="B866">
        <v>750.52800000000002</v>
      </c>
    </row>
    <row r="867" spans="1:2" x14ac:dyDescent="0.3">
      <c r="A867" s="2">
        <v>527</v>
      </c>
      <c r="B867">
        <v>750.52800000000002</v>
      </c>
    </row>
    <row r="868" spans="1:2" x14ac:dyDescent="0.3">
      <c r="A868" s="2">
        <v>685</v>
      </c>
      <c r="B868">
        <v>749.46450000000004</v>
      </c>
    </row>
    <row r="869" spans="1:2" x14ac:dyDescent="0.3">
      <c r="A869" s="2">
        <v>173</v>
      </c>
      <c r="B869">
        <v>749.46450000000004</v>
      </c>
    </row>
    <row r="870" spans="1:2" x14ac:dyDescent="0.3">
      <c r="A870" s="2">
        <v>290</v>
      </c>
      <c r="B870">
        <v>747.44100000000003</v>
      </c>
    </row>
    <row r="871" spans="1:2" x14ac:dyDescent="0.3">
      <c r="A871" s="2">
        <v>412</v>
      </c>
      <c r="B871">
        <v>746.86</v>
      </c>
    </row>
    <row r="872" spans="1:2" x14ac:dyDescent="0.3">
      <c r="A872" s="2">
        <v>212</v>
      </c>
      <c r="B872">
        <v>746.86</v>
      </c>
    </row>
    <row r="873" spans="1:2" x14ac:dyDescent="0.3">
      <c r="A873" s="2">
        <v>428</v>
      </c>
      <c r="B873">
        <v>743.49600000000009</v>
      </c>
    </row>
    <row r="874" spans="1:2" x14ac:dyDescent="0.3">
      <c r="A874" s="2">
        <v>14</v>
      </c>
      <c r="B874">
        <v>743.21349999999995</v>
      </c>
    </row>
    <row r="875" spans="1:2" x14ac:dyDescent="0.3">
      <c r="A875" s="2">
        <v>596</v>
      </c>
      <c r="B875">
        <v>741.25649999999996</v>
      </c>
    </row>
    <row r="876" spans="1:2" x14ac:dyDescent="0.3">
      <c r="A876" s="2">
        <v>461</v>
      </c>
      <c r="B876">
        <v>741.25649999999996</v>
      </c>
    </row>
    <row r="877" spans="1:2" x14ac:dyDescent="0.3">
      <c r="A877" s="2">
        <v>373</v>
      </c>
      <c r="B877">
        <v>741.25649999999996</v>
      </c>
    </row>
    <row r="878" spans="1:2" x14ac:dyDescent="0.3">
      <c r="A878" s="2">
        <v>252</v>
      </c>
      <c r="B878">
        <v>741.25649999999996</v>
      </c>
    </row>
    <row r="879" spans="1:2" x14ac:dyDescent="0.3">
      <c r="A879" s="2">
        <v>881</v>
      </c>
      <c r="B879">
        <v>737.72400000000005</v>
      </c>
    </row>
    <row r="880" spans="1:2" x14ac:dyDescent="0.3">
      <c r="A880" s="2">
        <v>563</v>
      </c>
      <c r="B880">
        <v>736.85649999999998</v>
      </c>
    </row>
    <row r="881" spans="1:2" x14ac:dyDescent="0.3">
      <c r="A881" s="2">
        <v>274</v>
      </c>
      <c r="B881">
        <v>736.85649999999998</v>
      </c>
    </row>
    <row r="882" spans="1:2" x14ac:dyDescent="0.3">
      <c r="A882" s="2">
        <v>227</v>
      </c>
      <c r="B882">
        <v>736.29750000000001</v>
      </c>
    </row>
    <row r="883" spans="1:2" x14ac:dyDescent="0.3">
      <c r="A883" s="2">
        <v>382</v>
      </c>
      <c r="B883">
        <v>729.85649999999998</v>
      </c>
    </row>
    <row r="884" spans="1:2" x14ac:dyDescent="0.3">
      <c r="A884" s="2">
        <v>457</v>
      </c>
      <c r="B884">
        <v>729.85649999999998</v>
      </c>
    </row>
    <row r="885" spans="1:2" x14ac:dyDescent="0.3">
      <c r="A885" s="2">
        <v>472</v>
      </c>
      <c r="B885">
        <v>729.85649999999998</v>
      </c>
    </row>
    <row r="886" spans="1:2" x14ac:dyDescent="0.3">
      <c r="A886" s="2">
        <v>231</v>
      </c>
      <c r="B886">
        <v>729.62849999999992</v>
      </c>
    </row>
    <row r="887" spans="1:2" x14ac:dyDescent="0.3">
      <c r="A887" s="2">
        <v>662</v>
      </c>
      <c r="B887">
        <v>726.35899999999992</v>
      </c>
    </row>
    <row r="888" spans="1:2" x14ac:dyDescent="0.3">
      <c r="A888" s="2">
        <v>307</v>
      </c>
      <c r="B888">
        <v>726.35899999999992</v>
      </c>
    </row>
    <row r="889" spans="1:2" x14ac:dyDescent="0.3">
      <c r="A889" s="2">
        <v>693</v>
      </c>
      <c r="B889">
        <v>722.59199999999998</v>
      </c>
    </row>
    <row r="890" spans="1:2" x14ac:dyDescent="0.3">
      <c r="A890" s="2">
        <v>250</v>
      </c>
      <c r="B890">
        <v>720.23400000000004</v>
      </c>
    </row>
    <row r="891" spans="1:2" x14ac:dyDescent="0.3">
      <c r="A891" s="2">
        <v>966</v>
      </c>
      <c r="B891">
        <v>715.25799999999992</v>
      </c>
    </row>
    <row r="892" spans="1:2" x14ac:dyDescent="0.3">
      <c r="A892" s="2">
        <v>708</v>
      </c>
      <c r="B892">
        <v>712.81799999999998</v>
      </c>
    </row>
    <row r="893" spans="1:2" x14ac:dyDescent="0.3">
      <c r="A893" s="2">
        <v>205</v>
      </c>
      <c r="B893">
        <v>712.81799999999998</v>
      </c>
    </row>
    <row r="894" spans="1:2" x14ac:dyDescent="0.3">
      <c r="A894" s="2">
        <v>337</v>
      </c>
      <c r="B894">
        <v>712.44</v>
      </c>
    </row>
    <row r="895" spans="1:2" x14ac:dyDescent="0.3">
      <c r="A895" s="2">
        <v>303</v>
      </c>
      <c r="B895">
        <v>712.44</v>
      </c>
    </row>
    <row r="896" spans="1:2" x14ac:dyDescent="0.3">
      <c r="A896" s="2">
        <v>730</v>
      </c>
      <c r="B896">
        <v>709.51699999999994</v>
      </c>
    </row>
    <row r="897" spans="1:2" x14ac:dyDescent="0.3">
      <c r="A897" s="2">
        <v>512</v>
      </c>
      <c r="B897">
        <v>709.51699999999994</v>
      </c>
    </row>
    <row r="898" spans="1:2" x14ac:dyDescent="0.3">
      <c r="A898" s="2">
        <v>12</v>
      </c>
      <c r="B898">
        <v>705.91650000000004</v>
      </c>
    </row>
    <row r="899" spans="1:2" x14ac:dyDescent="0.3">
      <c r="A899" s="2">
        <v>46</v>
      </c>
      <c r="B899">
        <v>705.91650000000004</v>
      </c>
    </row>
    <row r="900" spans="1:2" x14ac:dyDescent="0.3">
      <c r="A900" s="2">
        <v>192</v>
      </c>
      <c r="B900">
        <v>705.91650000000004</v>
      </c>
    </row>
    <row r="901" spans="1:2" x14ac:dyDescent="0.3">
      <c r="A901" s="2">
        <v>575</v>
      </c>
      <c r="B901">
        <v>702.24300000000005</v>
      </c>
    </row>
    <row r="902" spans="1:2" x14ac:dyDescent="0.3">
      <c r="A902" s="2">
        <v>356</v>
      </c>
      <c r="B902">
        <v>696.81600000000003</v>
      </c>
    </row>
    <row r="903" spans="1:2" x14ac:dyDescent="0.3">
      <c r="A903" s="2">
        <v>554</v>
      </c>
      <c r="B903">
        <v>695.6</v>
      </c>
    </row>
    <row r="904" spans="1:2" x14ac:dyDescent="0.3">
      <c r="A904" s="2">
        <v>68</v>
      </c>
      <c r="B904">
        <v>693.51200000000006</v>
      </c>
    </row>
    <row r="905" spans="1:2" x14ac:dyDescent="0.3">
      <c r="A905" s="2">
        <v>624</v>
      </c>
      <c r="B905">
        <v>693.02</v>
      </c>
    </row>
    <row r="906" spans="1:2" x14ac:dyDescent="0.3">
      <c r="A906" s="2">
        <v>631</v>
      </c>
      <c r="B906">
        <v>693.02</v>
      </c>
    </row>
    <row r="907" spans="1:2" x14ac:dyDescent="0.3">
      <c r="A907" s="2">
        <v>348</v>
      </c>
      <c r="B907">
        <v>693.02</v>
      </c>
    </row>
    <row r="908" spans="1:2" x14ac:dyDescent="0.3">
      <c r="A908" s="2">
        <v>218</v>
      </c>
      <c r="B908">
        <v>693.02</v>
      </c>
    </row>
    <row r="909" spans="1:2" x14ac:dyDescent="0.3">
      <c r="A909" s="2">
        <v>490</v>
      </c>
      <c r="B909">
        <v>691.44299999999998</v>
      </c>
    </row>
    <row r="910" spans="1:2" x14ac:dyDescent="0.3">
      <c r="A910" s="2">
        <v>54</v>
      </c>
      <c r="B910">
        <v>691.44299999999998</v>
      </c>
    </row>
    <row r="911" spans="1:2" x14ac:dyDescent="0.3">
      <c r="A911" s="2">
        <v>283</v>
      </c>
      <c r="B911">
        <v>691.44299999999998</v>
      </c>
    </row>
    <row r="912" spans="1:2" x14ac:dyDescent="0.3">
      <c r="A912" s="2">
        <v>1011</v>
      </c>
      <c r="B912">
        <v>688.91149999999993</v>
      </c>
    </row>
    <row r="913" spans="1:2" x14ac:dyDescent="0.3">
      <c r="A913" s="2">
        <v>691</v>
      </c>
      <c r="B913">
        <v>683.63200000000006</v>
      </c>
    </row>
    <row r="914" spans="1:2" x14ac:dyDescent="0.3">
      <c r="A914" s="2">
        <v>329</v>
      </c>
      <c r="B914">
        <v>683.61300000000006</v>
      </c>
    </row>
    <row r="915" spans="1:2" x14ac:dyDescent="0.3">
      <c r="A915" s="2">
        <v>450</v>
      </c>
      <c r="B915">
        <v>682.44799999999998</v>
      </c>
    </row>
    <row r="916" spans="1:2" x14ac:dyDescent="0.3">
      <c r="A916" s="2">
        <v>972</v>
      </c>
      <c r="B916">
        <v>682.43100000000004</v>
      </c>
    </row>
    <row r="917" spans="1:2" x14ac:dyDescent="0.3">
      <c r="A917" s="2">
        <v>530</v>
      </c>
      <c r="B917">
        <v>681.30000000000007</v>
      </c>
    </row>
    <row r="918" spans="1:2" x14ac:dyDescent="0.3">
      <c r="A918" s="2">
        <v>193</v>
      </c>
      <c r="B918">
        <v>681.30000000000007</v>
      </c>
    </row>
    <row r="919" spans="1:2" x14ac:dyDescent="0.3">
      <c r="A919" s="2">
        <v>933</v>
      </c>
      <c r="B919">
        <v>678.26850000000002</v>
      </c>
    </row>
    <row r="920" spans="1:2" x14ac:dyDescent="0.3">
      <c r="A920" s="2">
        <v>606</v>
      </c>
      <c r="B920">
        <v>676.40449999999998</v>
      </c>
    </row>
    <row r="921" spans="1:2" x14ac:dyDescent="0.3">
      <c r="A921" s="2">
        <v>27</v>
      </c>
      <c r="B921">
        <v>676.40449999999998</v>
      </c>
    </row>
    <row r="922" spans="1:2" x14ac:dyDescent="0.3">
      <c r="A922" s="2">
        <v>573</v>
      </c>
      <c r="B922">
        <v>673.21699999999998</v>
      </c>
    </row>
    <row r="923" spans="1:2" x14ac:dyDescent="0.3">
      <c r="A923" s="2">
        <v>276</v>
      </c>
      <c r="B923">
        <v>673.21699999999998</v>
      </c>
    </row>
    <row r="924" spans="1:2" x14ac:dyDescent="0.3">
      <c r="A924" s="2">
        <v>395</v>
      </c>
      <c r="B924">
        <v>670.57350000000008</v>
      </c>
    </row>
    <row r="925" spans="1:2" x14ac:dyDescent="0.3">
      <c r="A925" s="2">
        <v>137</v>
      </c>
      <c r="B925">
        <v>670.57350000000008</v>
      </c>
    </row>
    <row r="926" spans="1:2" x14ac:dyDescent="0.3">
      <c r="A926" s="2">
        <v>485</v>
      </c>
      <c r="B926">
        <v>669.96</v>
      </c>
    </row>
    <row r="927" spans="1:2" x14ac:dyDescent="0.3">
      <c r="A927" s="2">
        <v>616</v>
      </c>
      <c r="B927">
        <v>669.22</v>
      </c>
    </row>
    <row r="928" spans="1:2" x14ac:dyDescent="0.3">
      <c r="A928" s="2">
        <v>542</v>
      </c>
      <c r="B928">
        <v>665.86450000000002</v>
      </c>
    </row>
    <row r="929" spans="1:2" x14ac:dyDescent="0.3">
      <c r="A929" s="2">
        <v>531</v>
      </c>
      <c r="B929">
        <v>665.86450000000002</v>
      </c>
    </row>
    <row r="930" spans="1:2" x14ac:dyDescent="0.3">
      <c r="A930" s="2">
        <v>123</v>
      </c>
      <c r="B930">
        <v>664.98050000000001</v>
      </c>
    </row>
    <row r="931" spans="1:2" x14ac:dyDescent="0.3">
      <c r="A931" s="2">
        <v>331</v>
      </c>
      <c r="B931">
        <v>664.39200000000005</v>
      </c>
    </row>
    <row r="932" spans="1:2" x14ac:dyDescent="0.3">
      <c r="A932" s="2">
        <v>346</v>
      </c>
      <c r="B932">
        <v>664.36350000000004</v>
      </c>
    </row>
    <row r="933" spans="1:2" x14ac:dyDescent="0.3">
      <c r="A933" s="2">
        <v>122</v>
      </c>
      <c r="B933">
        <v>664.36350000000004</v>
      </c>
    </row>
    <row r="934" spans="1:2" x14ac:dyDescent="0.3">
      <c r="A934" s="2">
        <v>414</v>
      </c>
      <c r="B934">
        <v>663.697</v>
      </c>
    </row>
    <row r="935" spans="1:2" x14ac:dyDescent="0.3">
      <c r="A935" s="2">
        <v>486</v>
      </c>
      <c r="B935">
        <v>660.81999999999994</v>
      </c>
    </row>
    <row r="936" spans="1:2" x14ac:dyDescent="0.3">
      <c r="A936" s="2">
        <v>78</v>
      </c>
      <c r="B936">
        <v>660.81999999999994</v>
      </c>
    </row>
    <row r="937" spans="1:2" x14ac:dyDescent="0.3">
      <c r="A937" s="2">
        <v>860</v>
      </c>
      <c r="B937">
        <v>660.19049999999993</v>
      </c>
    </row>
    <row r="938" spans="1:2" x14ac:dyDescent="0.3">
      <c r="A938" s="2">
        <v>165</v>
      </c>
      <c r="B938">
        <v>658.36899999999991</v>
      </c>
    </row>
    <row r="939" spans="1:2" x14ac:dyDescent="0.3">
      <c r="A939" s="2">
        <v>319</v>
      </c>
      <c r="B939">
        <v>658.10400000000004</v>
      </c>
    </row>
    <row r="940" spans="1:2" x14ac:dyDescent="0.3">
      <c r="A940" s="2">
        <v>223</v>
      </c>
      <c r="B940">
        <v>654.73799999999994</v>
      </c>
    </row>
    <row r="941" spans="1:2" x14ac:dyDescent="0.3">
      <c r="A941" s="2">
        <v>717</v>
      </c>
      <c r="B941">
        <v>653.02949999999998</v>
      </c>
    </row>
    <row r="942" spans="1:2" x14ac:dyDescent="0.3">
      <c r="A942" s="2">
        <v>968</v>
      </c>
      <c r="B942">
        <v>645.87500000000011</v>
      </c>
    </row>
    <row r="943" spans="1:2" x14ac:dyDescent="0.3">
      <c r="A943" s="2">
        <v>299</v>
      </c>
      <c r="B943">
        <v>645.6345</v>
      </c>
    </row>
    <row r="944" spans="1:2" x14ac:dyDescent="0.3">
      <c r="A944" s="2">
        <v>650</v>
      </c>
      <c r="B944">
        <v>642.30400000000009</v>
      </c>
    </row>
    <row r="945" spans="1:2" x14ac:dyDescent="0.3">
      <c r="A945" s="2">
        <v>423</v>
      </c>
      <c r="B945">
        <v>640.20800000000008</v>
      </c>
    </row>
    <row r="946" spans="1:2" x14ac:dyDescent="0.3">
      <c r="A946" s="2">
        <v>579</v>
      </c>
      <c r="B946">
        <v>636.61599999999999</v>
      </c>
    </row>
    <row r="947" spans="1:2" x14ac:dyDescent="0.3">
      <c r="A947" s="2">
        <v>669</v>
      </c>
      <c r="B947">
        <v>634.83100000000002</v>
      </c>
    </row>
    <row r="948" spans="1:2" x14ac:dyDescent="0.3">
      <c r="A948" s="2">
        <v>720</v>
      </c>
      <c r="B948">
        <v>634.83100000000002</v>
      </c>
    </row>
    <row r="949" spans="1:2" x14ac:dyDescent="0.3">
      <c r="A949" s="2">
        <v>379</v>
      </c>
      <c r="B949">
        <v>634.83100000000002</v>
      </c>
    </row>
    <row r="950" spans="1:2" x14ac:dyDescent="0.3">
      <c r="A950" s="2">
        <v>401</v>
      </c>
      <c r="B950">
        <v>632.98</v>
      </c>
    </row>
    <row r="951" spans="1:2" x14ac:dyDescent="0.3">
      <c r="A951" s="2">
        <v>426</v>
      </c>
      <c r="B951">
        <v>629.39700000000005</v>
      </c>
    </row>
    <row r="952" spans="1:2" x14ac:dyDescent="0.3">
      <c r="A952" s="2">
        <v>148</v>
      </c>
      <c r="B952">
        <v>627.41999999999996</v>
      </c>
    </row>
    <row r="953" spans="1:2" x14ac:dyDescent="0.3">
      <c r="A953" s="2">
        <v>432</v>
      </c>
      <c r="B953">
        <v>626.04000000000008</v>
      </c>
    </row>
    <row r="954" spans="1:2" x14ac:dyDescent="0.3">
      <c r="A954" s="2">
        <v>310</v>
      </c>
      <c r="B954">
        <v>626.04000000000008</v>
      </c>
    </row>
    <row r="955" spans="1:2" x14ac:dyDescent="0.3">
      <c r="A955" s="2">
        <v>42</v>
      </c>
      <c r="B955">
        <v>624.21600000000001</v>
      </c>
    </row>
    <row r="956" spans="1:2" x14ac:dyDescent="0.3">
      <c r="A956" s="2">
        <v>413</v>
      </c>
      <c r="B956">
        <v>623.71799999999996</v>
      </c>
    </row>
    <row r="957" spans="1:2" x14ac:dyDescent="0.3">
      <c r="A957" s="2">
        <v>751</v>
      </c>
      <c r="B957">
        <v>620.04000000000008</v>
      </c>
    </row>
    <row r="958" spans="1:2" x14ac:dyDescent="0.3">
      <c r="A958" s="2">
        <v>686</v>
      </c>
      <c r="B958">
        <v>620.04000000000008</v>
      </c>
    </row>
    <row r="959" spans="1:2" x14ac:dyDescent="0.3">
      <c r="A959" s="2">
        <v>53</v>
      </c>
      <c r="B959">
        <v>616.22400000000005</v>
      </c>
    </row>
    <row r="960" spans="1:2" x14ac:dyDescent="0.3">
      <c r="A960" s="2">
        <v>120</v>
      </c>
      <c r="B960">
        <v>614.61599999999999</v>
      </c>
    </row>
    <row r="961" spans="1:2" x14ac:dyDescent="0.3">
      <c r="A961" s="2">
        <v>338</v>
      </c>
      <c r="B961">
        <v>614.42399999999998</v>
      </c>
    </row>
    <row r="962" spans="1:2" x14ac:dyDescent="0.3">
      <c r="A962" s="2">
        <v>100</v>
      </c>
      <c r="B962">
        <v>614.42399999999998</v>
      </c>
    </row>
    <row r="963" spans="1:2" x14ac:dyDescent="0.3">
      <c r="A963" s="2">
        <v>262</v>
      </c>
      <c r="B963">
        <v>613.27</v>
      </c>
    </row>
    <row r="964" spans="1:2" x14ac:dyDescent="0.3">
      <c r="A964" s="2">
        <v>352</v>
      </c>
      <c r="B964">
        <v>611.31150000000002</v>
      </c>
    </row>
    <row r="965" spans="1:2" x14ac:dyDescent="0.3">
      <c r="A965" s="2">
        <v>439</v>
      </c>
      <c r="B965">
        <v>608.68799999999999</v>
      </c>
    </row>
    <row r="966" spans="1:2" x14ac:dyDescent="0.3">
      <c r="A966" s="2">
        <v>754</v>
      </c>
      <c r="B966">
        <v>607.65600000000006</v>
      </c>
    </row>
    <row r="967" spans="1:2" x14ac:dyDescent="0.3">
      <c r="A967" s="2">
        <v>622</v>
      </c>
      <c r="B967">
        <v>601.33100000000002</v>
      </c>
    </row>
    <row r="968" spans="1:2" x14ac:dyDescent="0.3">
      <c r="A968" s="2">
        <v>138</v>
      </c>
      <c r="B968">
        <v>601.33100000000002</v>
      </c>
    </row>
    <row r="969" spans="1:2" x14ac:dyDescent="0.3">
      <c r="A969" s="2">
        <v>161</v>
      </c>
      <c r="B969">
        <v>601.33100000000002</v>
      </c>
    </row>
    <row r="970" spans="1:2" x14ac:dyDescent="0.3">
      <c r="A970" s="2">
        <v>131</v>
      </c>
      <c r="B970">
        <v>589.06700000000001</v>
      </c>
    </row>
    <row r="971" spans="1:2" x14ac:dyDescent="0.3">
      <c r="A971" s="2">
        <v>84</v>
      </c>
      <c r="B971">
        <v>589.06700000000001</v>
      </c>
    </row>
    <row r="972" spans="1:2" x14ac:dyDescent="0.3">
      <c r="A972" s="2">
        <v>558</v>
      </c>
      <c r="B972">
        <v>588.601</v>
      </c>
    </row>
    <row r="973" spans="1:2" x14ac:dyDescent="0.3">
      <c r="A973" s="2">
        <v>324</v>
      </c>
      <c r="B973">
        <v>583.02</v>
      </c>
    </row>
    <row r="974" spans="1:2" x14ac:dyDescent="0.3">
      <c r="A974" s="2">
        <v>515</v>
      </c>
      <c r="B974">
        <v>582.60649999999998</v>
      </c>
    </row>
    <row r="975" spans="1:2" x14ac:dyDescent="0.3">
      <c r="A975" s="2">
        <v>416</v>
      </c>
      <c r="B975">
        <v>575.35200000000009</v>
      </c>
    </row>
    <row r="976" spans="1:2" x14ac:dyDescent="0.3">
      <c r="A976" s="2">
        <v>707</v>
      </c>
      <c r="B976">
        <v>574.25</v>
      </c>
    </row>
    <row r="977" spans="1:2" x14ac:dyDescent="0.3">
      <c r="A977" s="2">
        <v>601</v>
      </c>
      <c r="B977">
        <v>559.46400000000006</v>
      </c>
    </row>
    <row r="978" spans="1:2" x14ac:dyDescent="0.3">
      <c r="A978" s="2">
        <v>521</v>
      </c>
      <c r="B978">
        <v>554.80999999999995</v>
      </c>
    </row>
    <row r="979" spans="1:2" x14ac:dyDescent="0.3">
      <c r="A979" s="2">
        <v>526</v>
      </c>
      <c r="B979">
        <v>554.41600000000005</v>
      </c>
    </row>
    <row r="980" spans="1:2" x14ac:dyDescent="0.3">
      <c r="A980" s="2">
        <v>703</v>
      </c>
      <c r="B980">
        <v>551.94299999999998</v>
      </c>
    </row>
    <row r="981" spans="1:2" x14ac:dyDescent="0.3">
      <c r="A981" s="2">
        <v>862</v>
      </c>
      <c r="B981">
        <v>550.73599999999999</v>
      </c>
    </row>
    <row r="982" spans="1:2" x14ac:dyDescent="0.3">
      <c r="A982" s="2">
        <v>15</v>
      </c>
      <c r="B982">
        <v>548.154</v>
      </c>
    </row>
    <row r="983" spans="1:2" x14ac:dyDescent="0.3">
      <c r="A983" s="2">
        <v>424</v>
      </c>
      <c r="B983">
        <v>548.11199999999997</v>
      </c>
    </row>
    <row r="984" spans="1:2" x14ac:dyDescent="0.3">
      <c r="A984" s="2">
        <v>615</v>
      </c>
      <c r="B984">
        <v>542.97</v>
      </c>
    </row>
    <row r="985" spans="1:2" x14ac:dyDescent="0.3">
      <c r="A985" s="2">
        <v>742</v>
      </c>
      <c r="B985">
        <v>535.37600000000009</v>
      </c>
    </row>
    <row r="986" spans="1:2" x14ac:dyDescent="0.3">
      <c r="A986" s="2">
        <v>680</v>
      </c>
      <c r="B986">
        <v>535.37600000000009</v>
      </c>
    </row>
    <row r="987" spans="1:2" x14ac:dyDescent="0.3">
      <c r="A987" s="2">
        <v>510</v>
      </c>
      <c r="B987">
        <v>535.37600000000009</v>
      </c>
    </row>
    <row r="988" spans="1:2" x14ac:dyDescent="0.3">
      <c r="A988" s="2">
        <v>79</v>
      </c>
      <c r="B988">
        <v>526.64300000000003</v>
      </c>
    </row>
    <row r="989" spans="1:2" x14ac:dyDescent="0.3">
      <c r="A989" s="2">
        <v>609</v>
      </c>
      <c r="B989">
        <v>525.94000000000005</v>
      </c>
    </row>
    <row r="990" spans="1:2" x14ac:dyDescent="0.3">
      <c r="A990" s="2">
        <v>160</v>
      </c>
      <c r="B990">
        <v>525.94000000000005</v>
      </c>
    </row>
    <row r="991" spans="1:2" x14ac:dyDescent="0.3">
      <c r="A991" s="2">
        <v>768</v>
      </c>
      <c r="B991">
        <v>523.98</v>
      </c>
    </row>
    <row r="992" spans="1:2" x14ac:dyDescent="0.3">
      <c r="A992" s="2">
        <v>608</v>
      </c>
      <c r="B992">
        <v>521.27949999999998</v>
      </c>
    </row>
    <row r="993" spans="1:2" x14ac:dyDescent="0.3">
      <c r="A993" s="2">
        <v>363</v>
      </c>
      <c r="B993">
        <v>517.95899999999995</v>
      </c>
    </row>
    <row r="994" spans="1:2" x14ac:dyDescent="0.3">
      <c r="A994" s="2">
        <v>28</v>
      </c>
      <c r="B994">
        <v>516.16</v>
      </c>
    </row>
    <row r="995" spans="1:2" x14ac:dyDescent="0.3">
      <c r="A995" s="2">
        <v>253</v>
      </c>
      <c r="B995">
        <v>516.16</v>
      </c>
    </row>
    <row r="996" spans="1:2" x14ac:dyDescent="0.3">
      <c r="A996" s="2">
        <v>180</v>
      </c>
      <c r="B996">
        <v>512.17999999999995</v>
      </c>
    </row>
    <row r="997" spans="1:2" x14ac:dyDescent="0.3">
      <c r="A997" s="2">
        <v>136</v>
      </c>
      <c r="B997">
        <v>512.17999999999995</v>
      </c>
    </row>
    <row r="998" spans="1:2" x14ac:dyDescent="0.3">
      <c r="A998" s="2">
        <v>19</v>
      </c>
      <c r="B998">
        <v>510.93900000000002</v>
      </c>
    </row>
    <row r="999" spans="1:2" x14ac:dyDescent="0.3">
      <c r="A999" s="2">
        <v>969</v>
      </c>
      <c r="B999">
        <v>506.55100000000004</v>
      </c>
    </row>
    <row r="1000" spans="1:2" x14ac:dyDescent="0.3">
      <c r="A1000" s="2">
        <v>271</v>
      </c>
      <c r="B1000">
        <v>506.38400000000001</v>
      </c>
    </row>
    <row r="1001" spans="1:2" x14ac:dyDescent="0.3">
      <c r="A1001" s="2">
        <v>342</v>
      </c>
      <c r="B1001">
        <v>506.08</v>
      </c>
    </row>
    <row r="1002" spans="1:2" x14ac:dyDescent="0.3">
      <c r="A1002" s="2">
        <v>743</v>
      </c>
      <c r="B1002">
        <v>504.64500000000004</v>
      </c>
    </row>
    <row r="1003" spans="1:2" x14ac:dyDescent="0.3">
      <c r="A1003" s="2">
        <v>740</v>
      </c>
      <c r="B1003">
        <v>501.93599999999998</v>
      </c>
    </row>
    <row r="1004" spans="1:2" x14ac:dyDescent="0.3">
      <c r="A1004" s="2">
        <v>639</v>
      </c>
      <c r="B1004">
        <v>499.64300000000003</v>
      </c>
    </row>
    <row r="1005" spans="1:2" x14ac:dyDescent="0.3">
      <c r="A1005" s="2">
        <v>451</v>
      </c>
      <c r="B1005">
        <v>499.64300000000003</v>
      </c>
    </row>
    <row r="1006" spans="1:2" x14ac:dyDescent="0.3">
      <c r="A1006" s="2">
        <v>152</v>
      </c>
      <c r="B1006">
        <v>498.92</v>
      </c>
    </row>
    <row r="1007" spans="1:2" x14ac:dyDescent="0.3">
      <c r="A1007" s="2">
        <v>49</v>
      </c>
      <c r="B1007">
        <v>497.78100000000001</v>
      </c>
    </row>
    <row r="1008" spans="1:2" x14ac:dyDescent="0.3">
      <c r="A1008" s="2">
        <v>988</v>
      </c>
      <c r="B1008">
        <v>495.56</v>
      </c>
    </row>
    <row r="1009" spans="1:2" x14ac:dyDescent="0.3">
      <c r="A1009" s="2">
        <v>714</v>
      </c>
      <c r="B1009">
        <v>494.39</v>
      </c>
    </row>
    <row r="1010" spans="1:2" x14ac:dyDescent="0.3">
      <c r="A1010" s="2">
        <v>804</v>
      </c>
      <c r="B1010">
        <v>491.39949999999999</v>
      </c>
    </row>
    <row r="1011" spans="1:2" x14ac:dyDescent="0.3">
      <c r="A1011" s="2">
        <v>8</v>
      </c>
      <c r="B1011">
        <v>490.86500000000001</v>
      </c>
    </row>
    <row r="1012" spans="1:2" x14ac:dyDescent="0.3">
      <c r="A1012" s="2">
        <v>202</v>
      </c>
      <c r="B1012">
        <v>490.86500000000001</v>
      </c>
    </row>
    <row r="1013" spans="1:2" x14ac:dyDescent="0.3">
      <c r="A1013" s="2">
        <v>551</v>
      </c>
      <c r="B1013">
        <v>490.69800000000004</v>
      </c>
    </row>
    <row r="1014" spans="1:2" x14ac:dyDescent="0.3">
      <c r="A1014" s="2">
        <v>718</v>
      </c>
      <c r="B1014">
        <v>488.67300000000006</v>
      </c>
    </row>
    <row r="1015" spans="1:2" x14ac:dyDescent="0.3">
      <c r="A1015" s="2">
        <v>565</v>
      </c>
      <c r="B1015">
        <v>488.34</v>
      </c>
    </row>
    <row r="1016" spans="1:2" x14ac:dyDescent="0.3">
      <c r="A1016" s="2">
        <v>243</v>
      </c>
      <c r="B1016">
        <v>488.11250000000001</v>
      </c>
    </row>
    <row r="1017" spans="1:2" x14ac:dyDescent="0.3">
      <c r="A1017" s="2">
        <v>87</v>
      </c>
      <c r="B1017">
        <v>488.11250000000001</v>
      </c>
    </row>
    <row r="1018" spans="1:2" x14ac:dyDescent="0.3">
      <c r="A1018" s="2">
        <v>524</v>
      </c>
      <c r="B1018">
        <v>482.55350000000004</v>
      </c>
    </row>
    <row r="1019" spans="1:2" x14ac:dyDescent="0.3">
      <c r="A1019" s="2">
        <v>612</v>
      </c>
      <c r="B1019">
        <v>480.77599999999995</v>
      </c>
    </row>
    <row r="1020" spans="1:2" x14ac:dyDescent="0.3">
      <c r="A1020" s="2">
        <v>164</v>
      </c>
      <c r="B1020">
        <v>473.34600000000006</v>
      </c>
    </row>
    <row r="1021" spans="1:2" x14ac:dyDescent="0.3">
      <c r="A1021" s="2">
        <v>626</v>
      </c>
      <c r="B1021">
        <v>469.08</v>
      </c>
    </row>
    <row r="1022" spans="1:2" x14ac:dyDescent="0.3">
      <c r="A1022" s="2">
        <v>411</v>
      </c>
      <c r="B1022">
        <v>466.416</v>
      </c>
    </row>
    <row r="1023" spans="1:2" x14ac:dyDescent="0.3">
      <c r="A1023" s="2">
        <v>366</v>
      </c>
      <c r="B1023">
        <v>465.03000000000003</v>
      </c>
    </row>
    <row r="1024" spans="1:2" x14ac:dyDescent="0.3">
      <c r="A1024" s="2">
        <v>206</v>
      </c>
      <c r="B1024">
        <v>465.03000000000003</v>
      </c>
    </row>
    <row r="1025" spans="1:2" x14ac:dyDescent="0.3">
      <c r="A1025" s="2">
        <v>33</v>
      </c>
      <c r="B1025">
        <v>463.43700000000001</v>
      </c>
    </row>
    <row r="1026" spans="1:2" x14ac:dyDescent="0.3">
      <c r="A1026" s="2">
        <v>634</v>
      </c>
      <c r="B1026">
        <v>460.96199999999999</v>
      </c>
    </row>
    <row r="1027" spans="1:2" x14ac:dyDescent="0.3">
      <c r="A1027" s="2">
        <v>534</v>
      </c>
      <c r="B1027">
        <v>460.96199999999999</v>
      </c>
    </row>
    <row r="1028" spans="1:2" x14ac:dyDescent="0.3">
      <c r="A1028" s="2">
        <v>716</v>
      </c>
      <c r="B1028">
        <v>447.04900000000004</v>
      </c>
    </row>
    <row r="1029" spans="1:2" x14ac:dyDescent="0.3">
      <c r="A1029" s="2">
        <v>186</v>
      </c>
      <c r="B1029">
        <v>445.62599999999998</v>
      </c>
    </row>
    <row r="1030" spans="1:2" x14ac:dyDescent="0.3">
      <c r="A1030" s="2">
        <v>244</v>
      </c>
      <c r="B1030">
        <v>445.62599999999998</v>
      </c>
    </row>
    <row r="1031" spans="1:2" x14ac:dyDescent="0.3">
      <c r="A1031" s="2">
        <v>673</v>
      </c>
      <c r="B1031">
        <v>444.95100000000002</v>
      </c>
    </row>
    <row r="1032" spans="1:2" x14ac:dyDescent="0.3">
      <c r="A1032" s="2">
        <v>712</v>
      </c>
      <c r="B1032">
        <v>443.84799999999996</v>
      </c>
    </row>
    <row r="1033" spans="1:2" x14ac:dyDescent="0.3">
      <c r="A1033" s="2">
        <v>427</v>
      </c>
      <c r="B1033">
        <v>442.90899999999999</v>
      </c>
    </row>
    <row r="1034" spans="1:2" x14ac:dyDescent="0.3">
      <c r="A1034" s="2">
        <v>446</v>
      </c>
      <c r="B1034">
        <v>441.97800000000001</v>
      </c>
    </row>
    <row r="1035" spans="1:2" x14ac:dyDescent="0.3">
      <c r="A1035" s="2">
        <v>360</v>
      </c>
      <c r="B1035">
        <v>439.50599999999997</v>
      </c>
    </row>
    <row r="1036" spans="1:2" x14ac:dyDescent="0.3">
      <c r="A1036" s="2">
        <v>383</v>
      </c>
      <c r="B1036">
        <v>438.73599999999993</v>
      </c>
    </row>
    <row r="1037" spans="1:2" x14ac:dyDescent="0.3">
      <c r="A1037" s="2">
        <v>388</v>
      </c>
      <c r="B1037">
        <v>436.49199999999996</v>
      </c>
    </row>
    <row r="1038" spans="1:2" x14ac:dyDescent="0.3">
      <c r="A1038" s="2">
        <v>126</v>
      </c>
      <c r="B1038">
        <v>434.37600000000003</v>
      </c>
    </row>
    <row r="1039" spans="1:2" x14ac:dyDescent="0.3">
      <c r="A1039" s="2">
        <v>729</v>
      </c>
      <c r="B1039">
        <v>420.23149999999998</v>
      </c>
    </row>
    <row r="1040" spans="1:2" x14ac:dyDescent="0.3">
      <c r="A1040" s="2">
        <v>436</v>
      </c>
      <c r="B1040">
        <v>419.59800000000001</v>
      </c>
    </row>
    <row r="1041" spans="1:2" x14ac:dyDescent="0.3">
      <c r="A1041" s="2">
        <v>623</v>
      </c>
      <c r="B1041">
        <v>418.71600000000001</v>
      </c>
    </row>
    <row r="1042" spans="1:2" x14ac:dyDescent="0.3">
      <c r="A1042" s="2">
        <v>523</v>
      </c>
      <c r="B1042">
        <v>418.71600000000001</v>
      </c>
    </row>
    <row r="1043" spans="1:2" x14ac:dyDescent="0.3">
      <c r="A1043" s="2">
        <v>318</v>
      </c>
      <c r="B1043">
        <v>415.08899999999994</v>
      </c>
    </row>
    <row r="1044" spans="1:2" x14ac:dyDescent="0.3">
      <c r="A1044" s="2">
        <v>254</v>
      </c>
      <c r="B1044">
        <v>414.21</v>
      </c>
    </row>
    <row r="1045" spans="1:2" x14ac:dyDescent="0.3">
      <c r="A1045" s="2">
        <v>492</v>
      </c>
      <c r="B1045">
        <v>413.36000000000007</v>
      </c>
    </row>
    <row r="1046" spans="1:2" x14ac:dyDescent="0.3">
      <c r="A1046" s="2">
        <v>41</v>
      </c>
      <c r="B1046">
        <v>413.36000000000007</v>
      </c>
    </row>
    <row r="1047" spans="1:2" x14ac:dyDescent="0.3">
      <c r="A1047" s="2">
        <v>861</v>
      </c>
      <c r="B1047">
        <v>412.73600000000005</v>
      </c>
    </row>
    <row r="1048" spans="1:2" x14ac:dyDescent="0.3">
      <c r="A1048" s="2">
        <v>756</v>
      </c>
      <c r="B1048">
        <v>410.81600000000003</v>
      </c>
    </row>
    <row r="1049" spans="1:2" x14ac:dyDescent="0.3">
      <c r="A1049" s="2">
        <v>286</v>
      </c>
      <c r="B1049">
        <v>410.81600000000003</v>
      </c>
    </row>
    <row r="1050" spans="1:2" x14ac:dyDescent="0.3">
      <c r="A1050" s="2">
        <v>660</v>
      </c>
      <c r="B1050">
        <v>405.90649999999994</v>
      </c>
    </row>
    <row r="1051" spans="1:2" x14ac:dyDescent="0.3">
      <c r="A1051" s="2">
        <v>658</v>
      </c>
      <c r="B1051">
        <v>399.13600000000002</v>
      </c>
    </row>
    <row r="1052" spans="1:2" x14ac:dyDescent="0.3">
      <c r="A1052" s="2">
        <v>541</v>
      </c>
      <c r="B1052">
        <v>396.01</v>
      </c>
    </row>
    <row r="1053" spans="1:2" x14ac:dyDescent="0.3">
      <c r="A1053" s="2">
        <v>51</v>
      </c>
      <c r="B1053">
        <v>396.01</v>
      </c>
    </row>
    <row r="1054" spans="1:2" x14ac:dyDescent="0.3">
      <c r="A1054" s="2">
        <v>495</v>
      </c>
      <c r="B1054">
        <v>395.512</v>
      </c>
    </row>
    <row r="1055" spans="1:2" x14ac:dyDescent="0.3">
      <c r="A1055" s="2">
        <v>80</v>
      </c>
      <c r="B1055">
        <v>395.37</v>
      </c>
    </row>
    <row r="1056" spans="1:2" x14ac:dyDescent="0.3">
      <c r="A1056" s="2">
        <v>642</v>
      </c>
      <c r="B1056">
        <v>393.49949999999995</v>
      </c>
    </row>
    <row r="1057" spans="1:2" x14ac:dyDescent="0.3">
      <c r="A1057" s="2">
        <v>562</v>
      </c>
      <c r="B1057">
        <v>390.67200000000003</v>
      </c>
    </row>
    <row r="1058" spans="1:2" x14ac:dyDescent="0.3">
      <c r="A1058" s="2">
        <v>261</v>
      </c>
      <c r="B1058">
        <v>390.67200000000003</v>
      </c>
    </row>
    <row r="1059" spans="1:2" x14ac:dyDescent="0.3">
      <c r="A1059" s="2">
        <v>766</v>
      </c>
      <c r="B1059">
        <v>390.41</v>
      </c>
    </row>
    <row r="1060" spans="1:2" x14ac:dyDescent="0.3">
      <c r="A1060" s="2">
        <v>578</v>
      </c>
      <c r="B1060">
        <v>390.41</v>
      </c>
    </row>
    <row r="1061" spans="1:2" x14ac:dyDescent="0.3">
      <c r="A1061" s="2">
        <v>505</v>
      </c>
      <c r="B1061">
        <v>388.68</v>
      </c>
    </row>
    <row r="1062" spans="1:2" x14ac:dyDescent="0.3">
      <c r="A1062" s="2">
        <v>787</v>
      </c>
      <c r="B1062">
        <v>382.89599999999996</v>
      </c>
    </row>
    <row r="1063" spans="1:2" x14ac:dyDescent="0.3">
      <c r="A1063" s="2">
        <v>502</v>
      </c>
      <c r="B1063">
        <v>378.59400000000005</v>
      </c>
    </row>
    <row r="1064" spans="1:2" x14ac:dyDescent="0.3">
      <c r="A1064" s="2">
        <v>757</v>
      </c>
      <c r="B1064">
        <v>376.20949999999999</v>
      </c>
    </row>
    <row r="1065" spans="1:2" x14ac:dyDescent="0.3">
      <c r="A1065" s="2">
        <v>385</v>
      </c>
      <c r="B1065">
        <v>374.22399999999999</v>
      </c>
    </row>
    <row r="1066" spans="1:2" x14ac:dyDescent="0.3">
      <c r="A1066" s="2">
        <v>169</v>
      </c>
      <c r="B1066">
        <v>374.22399999999999</v>
      </c>
    </row>
    <row r="1067" spans="1:2" x14ac:dyDescent="0.3">
      <c r="A1067" s="2">
        <v>553</v>
      </c>
      <c r="B1067">
        <v>372.97600000000006</v>
      </c>
    </row>
    <row r="1068" spans="1:2" x14ac:dyDescent="0.3">
      <c r="A1068" s="2">
        <v>267</v>
      </c>
      <c r="B1068">
        <v>372.97600000000006</v>
      </c>
    </row>
    <row r="1069" spans="1:2" x14ac:dyDescent="0.3">
      <c r="A1069" s="2">
        <v>602</v>
      </c>
      <c r="B1069">
        <v>372.78899999999999</v>
      </c>
    </row>
    <row r="1070" spans="1:2" x14ac:dyDescent="0.3">
      <c r="A1070" s="2">
        <v>269</v>
      </c>
      <c r="B1070">
        <v>370.8895</v>
      </c>
    </row>
    <row r="1071" spans="1:2" x14ac:dyDescent="0.3">
      <c r="A1071" s="2">
        <v>566</v>
      </c>
      <c r="B1071">
        <v>369.24599999999998</v>
      </c>
    </row>
    <row r="1072" spans="1:2" x14ac:dyDescent="0.3">
      <c r="A1072" s="2">
        <v>397</v>
      </c>
      <c r="B1072">
        <v>363.17949999999996</v>
      </c>
    </row>
    <row r="1073" spans="1:2" x14ac:dyDescent="0.3">
      <c r="A1073" s="2">
        <v>350</v>
      </c>
      <c r="B1073">
        <v>363.17949999999996</v>
      </c>
    </row>
    <row r="1074" spans="1:2" x14ac:dyDescent="0.3">
      <c r="A1074" s="2">
        <v>874</v>
      </c>
      <c r="B1074">
        <v>357.75450000000001</v>
      </c>
    </row>
    <row r="1075" spans="1:2" x14ac:dyDescent="0.3">
      <c r="A1075" s="2">
        <v>463</v>
      </c>
      <c r="B1075">
        <v>357.56100000000004</v>
      </c>
    </row>
    <row r="1076" spans="1:2" x14ac:dyDescent="0.3">
      <c r="A1076" s="2">
        <v>72</v>
      </c>
      <c r="B1076">
        <v>356.40899999999999</v>
      </c>
    </row>
    <row r="1077" spans="1:2" x14ac:dyDescent="0.3">
      <c r="A1077" s="2">
        <v>375</v>
      </c>
      <c r="B1077">
        <v>354.75849999999997</v>
      </c>
    </row>
    <row r="1078" spans="1:2" x14ac:dyDescent="0.3">
      <c r="A1078" s="2">
        <v>621</v>
      </c>
      <c r="B1078">
        <v>352.07849999999996</v>
      </c>
    </row>
    <row r="1079" spans="1:2" x14ac:dyDescent="0.3">
      <c r="A1079" s="2">
        <v>547</v>
      </c>
      <c r="B1079">
        <v>352.07849999999996</v>
      </c>
    </row>
    <row r="1080" spans="1:2" x14ac:dyDescent="0.3">
      <c r="A1080" s="2">
        <v>330</v>
      </c>
      <c r="B1080">
        <v>352.07849999999996</v>
      </c>
    </row>
    <row r="1081" spans="1:2" x14ac:dyDescent="0.3">
      <c r="A1081" s="2">
        <v>143</v>
      </c>
      <c r="B1081">
        <v>352.07849999999996</v>
      </c>
    </row>
    <row r="1082" spans="1:2" x14ac:dyDescent="0.3">
      <c r="A1082" s="2">
        <v>724</v>
      </c>
      <c r="B1082">
        <v>351.36900000000003</v>
      </c>
    </row>
    <row r="1083" spans="1:2" x14ac:dyDescent="0.3">
      <c r="A1083" s="2">
        <v>462</v>
      </c>
      <c r="B1083">
        <v>351.36900000000003</v>
      </c>
    </row>
    <row r="1084" spans="1:2" x14ac:dyDescent="0.3">
      <c r="A1084" s="2">
        <v>734</v>
      </c>
      <c r="B1084">
        <v>349.81200000000001</v>
      </c>
    </row>
    <row r="1085" spans="1:2" x14ac:dyDescent="0.3">
      <c r="A1085" s="2">
        <v>651</v>
      </c>
      <c r="B1085">
        <v>342.57</v>
      </c>
    </row>
    <row r="1086" spans="1:2" x14ac:dyDescent="0.3">
      <c r="A1086" s="2">
        <v>470</v>
      </c>
      <c r="B1086">
        <v>336.60849999999999</v>
      </c>
    </row>
    <row r="1087" spans="1:2" x14ac:dyDescent="0.3">
      <c r="A1087" s="2">
        <v>308</v>
      </c>
      <c r="B1087">
        <v>336.52800000000002</v>
      </c>
    </row>
    <row r="1088" spans="1:2" x14ac:dyDescent="0.3">
      <c r="A1088" s="2">
        <v>378</v>
      </c>
      <c r="B1088">
        <v>334.83199999999999</v>
      </c>
    </row>
    <row r="1089" spans="1:2" x14ac:dyDescent="0.3">
      <c r="A1089" s="2">
        <v>460</v>
      </c>
      <c r="B1089">
        <v>325.78200000000004</v>
      </c>
    </row>
    <row r="1090" spans="1:2" x14ac:dyDescent="0.3">
      <c r="A1090" s="2">
        <v>158</v>
      </c>
      <c r="B1090">
        <v>325.78200000000004</v>
      </c>
    </row>
    <row r="1091" spans="1:2" x14ac:dyDescent="0.3">
      <c r="A1091" s="2">
        <v>570</v>
      </c>
      <c r="B1091">
        <v>325.44149999999996</v>
      </c>
    </row>
    <row r="1092" spans="1:2" x14ac:dyDescent="0.3">
      <c r="A1092" s="2">
        <v>341</v>
      </c>
      <c r="B1092">
        <v>325.44149999999996</v>
      </c>
    </row>
    <row r="1093" spans="1:2" x14ac:dyDescent="0.3">
      <c r="A1093" s="2">
        <v>62</v>
      </c>
      <c r="B1093">
        <v>318.23099999999999</v>
      </c>
    </row>
    <row r="1094" spans="1:2" x14ac:dyDescent="0.3">
      <c r="A1094" s="2">
        <v>176</v>
      </c>
      <c r="B1094">
        <v>317.41550000000001</v>
      </c>
    </row>
    <row r="1095" spans="1:2" x14ac:dyDescent="0.3">
      <c r="A1095" s="2">
        <v>689</v>
      </c>
      <c r="B1095">
        <v>316.29600000000005</v>
      </c>
    </row>
    <row r="1096" spans="1:2" x14ac:dyDescent="0.3">
      <c r="A1096" s="2">
        <v>364</v>
      </c>
      <c r="B1096">
        <v>316.29600000000005</v>
      </c>
    </row>
    <row r="1097" spans="1:2" x14ac:dyDescent="0.3">
      <c r="A1097" s="2">
        <v>641</v>
      </c>
      <c r="B1097">
        <v>315.13600000000002</v>
      </c>
    </row>
    <row r="1098" spans="1:2" x14ac:dyDescent="0.3">
      <c r="A1098" s="2">
        <v>220</v>
      </c>
      <c r="B1098">
        <v>310.16000000000003</v>
      </c>
    </row>
    <row r="1099" spans="1:2" x14ac:dyDescent="0.3">
      <c r="A1099" s="2">
        <v>163</v>
      </c>
      <c r="B1099">
        <v>310.16000000000003</v>
      </c>
    </row>
    <row r="1100" spans="1:2" x14ac:dyDescent="0.3">
      <c r="A1100" s="2">
        <v>371</v>
      </c>
      <c r="B1100">
        <v>309.79000000000002</v>
      </c>
    </row>
    <row r="1101" spans="1:2" x14ac:dyDescent="0.3">
      <c r="A1101" s="2">
        <v>618</v>
      </c>
      <c r="B1101">
        <v>308.31299999999999</v>
      </c>
    </row>
    <row r="1102" spans="1:2" x14ac:dyDescent="0.3">
      <c r="A1102" s="2">
        <v>394</v>
      </c>
      <c r="B1102">
        <v>308.31299999999999</v>
      </c>
    </row>
    <row r="1103" spans="1:2" x14ac:dyDescent="0.3">
      <c r="A1103" s="2">
        <v>687</v>
      </c>
      <c r="B1103">
        <v>301.48200000000003</v>
      </c>
    </row>
    <row r="1104" spans="1:2" x14ac:dyDescent="0.3">
      <c r="A1104" s="2">
        <v>183</v>
      </c>
      <c r="B1104">
        <v>301.48200000000003</v>
      </c>
    </row>
    <row r="1105" spans="1:2" x14ac:dyDescent="0.3">
      <c r="A1105" s="2">
        <v>333</v>
      </c>
      <c r="B1105">
        <v>298.74400000000003</v>
      </c>
    </row>
    <row r="1106" spans="1:2" x14ac:dyDescent="0.3">
      <c r="A1106" s="2">
        <v>354</v>
      </c>
      <c r="B1106">
        <v>298.74400000000003</v>
      </c>
    </row>
    <row r="1107" spans="1:2" x14ac:dyDescent="0.3">
      <c r="A1107" s="2">
        <v>629</v>
      </c>
      <c r="B1107">
        <v>294.3005</v>
      </c>
    </row>
    <row r="1108" spans="1:2" x14ac:dyDescent="0.3">
      <c r="A1108" s="2">
        <v>509</v>
      </c>
      <c r="B1108">
        <v>289.584</v>
      </c>
    </row>
    <row r="1109" spans="1:2" x14ac:dyDescent="0.3">
      <c r="A1109" s="2">
        <v>520</v>
      </c>
      <c r="B1109">
        <v>284.84100000000001</v>
      </c>
    </row>
    <row r="1110" spans="1:2" x14ac:dyDescent="0.3">
      <c r="A1110" s="2">
        <v>770</v>
      </c>
      <c r="B1110">
        <v>284.41849999999999</v>
      </c>
    </row>
    <row r="1111" spans="1:2" x14ac:dyDescent="0.3">
      <c r="A1111" s="2">
        <v>750</v>
      </c>
      <c r="B1111">
        <v>282.00749999999999</v>
      </c>
    </row>
    <row r="1112" spans="1:2" x14ac:dyDescent="0.3">
      <c r="A1112" s="2">
        <v>297</v>
      </c>
      <c r="B1112">
        <v>282.00749999999999</v>
      </c>
    </row>
    <row r="1113" spans="1:2" x14ac:dyDescent="0.3">
      <c r="A1113" s="2">
        <v>649</v>
      </c>
      <c r="B1113">
        <v>279.14400000000001</v>
      </c>
    </row>
    <row r="1114" spans="1:2" x14ac:dyDescent="0.3">
      <c r="A1114" s="2">
        <v>543</v>
      </c>
      <c r="B1114">
        <v>278.81100000000004</v>
      </c>
    </row>
    <row r="1115" spans="1:2" x14ac:dyDescent="0.3">
      <c r="A1115" s="2">
        <v>599</v>
      </c>
      <c r="B1115">
        <v>274.05599999999998</v>
      </c>
    </row>
    <row r="1116" spans="1:2" x14ac:dyDescent="0.3">
      <c r="A1116" s="2">
        <v>386</v>
      </c>
      <c r="B1116">
        <v>272.61</v>
      </c>
    </row>
    <row r="1117" spans="1:2" x14ac:dyDescent="0.3">
      <c r="A1117" s="2">
        <v>733</v>
      </c>
      <c r="B1117">
        <v>269.01650000000001</v>
      </c>
    </row>
    <row r="1118" spans="1:2" x14ac:dyDescent="0.3">
      <c r="A1118" s="2">
        <v>713</v>
      </c>
      <c r="B1118">
        <v>263.63600000000002</v>
      </c>
    </row>
    <row r="1119" spans="1:2" x14ac:dyDescent="0.3">
      <c r="A1119" s="2">
        <v>393</v>
      </c>
      <c r="B1119">
        <v>263.63600000000002</v>
      </c>
    </row>
    <row r="1120" spans="1:2" x14ac:dyDescent="0.3">
      <c r="A1120" s="2">
        <v>362</v>
      </c>
      <c r="B1120">
        <v>263.63600000000002</v>
      </c>
    </row>
    <row r="1121" spans="1:2" x14ac:dyDescent="0.3">
      <c r="A1121" s="2">
        <v>216</v>
      </c>
      <c r="B1121">
        <v>258.35000000000002</v>
      </c>
    </row>
    <row r="1122" spans="1:2" x14ac:dyDescent="0.3">
      <c r="A1122" s="2">
        <v>539</v>
      </c>
      <c r="B1122">
        <v>256.08999999999997</v>
      </c>
    </row>
    <row r="1123" spans="1:2" x14ac:dyDescent="0.3">
      <c r="A1123" s="2">
        <v>471</v>
      </c>
      <c r="B1123">
        <v>252.32250000000002</v>
      </c>
    </row>
    <row r="1124" spans="1:2" x14ac:dyDescent="0.3">
      <c r="A1124" s="2">
        <v>258</v>
      </c>
      <c r="B1124">
        <v>249.82150000000001</v>
      </c>
    </row>
    <row r="1125" spans="1:2" x14ac:dyDescent="0.3">
      <c r="A1125" s="2">
        <v>232</v>
      </c>
      <c r="B1125">
        <v>248.12800000000004</v>
      </c>
    </row>
    <row r="1126" spans="1:2" x14ac:dyDescent="0.3">
      <c r="A1126" s="2">
        <v>9</v>
      </c>
      <c r="B1126">
        <v>247.83200000000002</v>
      </c>
    </row>
    <row r="1127" spans="1:2" x14ac:dyDescent="0.3">
      <c r="A1127" s="2">
        <v>139</v>
      </c>
      <c r="B1127">
        <v>247.83200000000002</v>
      </c>
    </row>
    <row r="1128" spans="1:2" x14ac:dyDescent="0.3">
      <c r="A1128" s="2">
        <v>778</v>
      </c>
      <c r="B1128">
        <v>245.4325</v>
      </c>
    </row>
    <row r="1129" spans="1:2" x14ac:dyDescent="0.3">
      <c r="A1129" s="2">
        <v>665</v>
      </c>
      <c r="B1129">
        <v>245.4325</v>
      </c>
    </row>
    <row r="1130" spans="1:2" x14ac:dyDescent="0.3">
      <c r="A1130" s="2">
        <v>282</v>
      </c>
      <c r="B1130">
        <v>245.34900000000002</v>
      </c>
    </row>
    <row r="1131" spans="1:2" x14ac:dyDescent="0.3">
      <c r="A1131" s="2">
        <v>239</v>
      </c>
      <c r="B1131">
        <v>245.34900000000002</v>
      </c>
    </row>
    <row r="1132" spans="1:2" x14ac:dyDescent="0.3">
      <c r="A1132" s="2">
        <v>407</v>
      </c>
      <c r="B1132">
        <v>245.17599999999996</v>
      </c>
    </row>
    <row r="1133" spans="1:2" x14ac:dyDescent="0.3">
      <c r="A1133" s="2">
        <v>55</v>
      </c>
      <c r="B1133">
        <v>243.28549999999996</v>
      </c>
    </row>
    <row r="1134" spans="1:2" x14ac:dyDescent="0.3">
      <c r="A1134" s="2">
        <v>661</v>
      </c>
      <c r="B1134">
        <v>237.48000000000002</v>
      </c>
    </row>
    <row r="1135" spans="1:2" x14ac:dyDescent="0.3">
      <c r="A1135" s="2">
        <v>132</v>
      </c>
      <c r="B1135">
        <v>237.48000000000002</v>
      </c>
    </row>
    <row r="1136" spans="1:2" x14ac:dyDescent="0.3">
      <c r="A1136" s="2">
        <v>98</v>
      </c>
      <c r="B1136">
        <v>234.71899999999999</v>
      </c>
    </row>
    <row r="1137" spans="1:2" x14ac:dyDescent="0.3">
      <c r="A1137" s="2">
        <v>151</v>
      </c>
      <c r="B1137">
        <v>233.49600000000001</v>
      </c>
    </row>
    <row r="1138" spans="1:2" x14ac:dyDescent="0.3">
      <c r="A1138" s="2">
        <v>26</v>
      </c>
      <c r="B1138">
        <v>233.11</v>
      </c>
    </row>
    <row r="1139" spans="1:2" x14ac:dyDescent="0.3">
      <c r="A1139" s="2">
        <v>376</v>
      </c>
      <c r="B1139">
        <v>232.27199999999999</v>
      </c>
    </row>
    <row r="1140" spans="1:2" x14ac:dyDescent="0.3">
      <c r="A1140" s="2">
        <v>313</v>
      </c>
      <c r="B1140">
        <v>231.71850000000001</v>
      </c>
    </row>
    <row r="1141" spans="1:2" x14ac:dyDescent="0.3">
      <c r="A1141" s="2">
        <v>270</v>
      </c>
      <c r="B1141">
        <v>231.71850000000001</v>
      </c>
    </row>
    <row r="1142" spans="1:2" x14ac:dyDescent="0.3">
      <c r="A1142" s="2">
        <v>595</v>
      </c>
      <c r="B1142">
        <v>230.48099999999999</v>
      </c>
    </row>
    <row r="1143" spans="1:2" x14ac:dyDescent="0.3">
      <c r="A1143" s="2">
        <v>40</v>
      </c>
      <c r="B1143">
        <v>230.48099999999999</v>
      </c>
    </row>
    <row r="1144" spans="1:2" x14ac:dyDescent="0.3">
      <c r="A1144" s="2">
        <v>483</v>
      </c>
      <c r="B1144">
        <v>228.27</v>
      </c>
    </row>
    <row r="1145" spans="1:2" x14ac:dyDescent="0.3">
      <c r="A1145" s="2">
        <v>77</v>
      </c>
      <c r="B1145">
        <v>228.27</v>
      </c>
    </row>
    <row r="1146" spans="1:2" x14ac:dyDescent="0.3">
      <c r="A1146" s="2">
        <v>420</v>
      </c>
      <c r="B1146">
        <v>224.04299999999998</v>
      </c>
    </row>
    <row r="1147" spans="1:2" x14ac:dyDescent="0.3">
      <c r="A1147" s="2">
        <v>114</v>
      </c>
      <c r="B1147">
        <v>224.04299999999998</v>
      </c>
    </row>
    <row r="1148" spans="1:2" x14ac:dyDescent="0.3">
      <c r="A1148" s="2">
        <v>525</v>
      </c>
      <c r="B1148">
        <v>220.91200000000001</v>
      </c>
    </row>
    <row r="1149" spans="1:2" x14ac:dyDescent="0.3">
      <c r="A1149" s="2">
        <v>727</v>
      </c>
      <c r="B1149">
        <v>219.59750000000003</v>
      </c>
    </row>
    <row r="1150" spans="1:2" x14ac:dyDescent="0.3">
      <c r="A1150" s="2">
        <v>156</v>
      </c>
      <c r="B1150">
        <v>218.24599999999998</v>
      </c>
    </row>
    <row r="1151" spans="1:2" x14ac:dyDescent="0.3">
      <c r="A1151" s="2">
        <v>57</v>
      </c>
      <c r="B1151">
        <v>216.85650000000001</v>
      </c>
    </row>
    <row r="1152" spans="1:2" x14ac:dyDescent="0.3">
      <c r="A1152" s="2">
        <v>237</v>
      </c>
      <c r="B1152">
        <v>210.37600000000003</v>
      </c>
    </row>
    <row r="1153" spans="1:2" x14ac:dyDescent="0.3">
      <c r="A1153" s="2">
        <v>334</v>
      </c>
      <c r="B1153">
        <v>206.464</v>
      </c>
    </row>
    <row r="1154" spans="1:2" x14ac:dyDescent="0.3">
      <c r="A1154" s="2">
        <v>2</v>
      </c>
      <c r="B1154">
        <v>206.464</v>
      </c>
    </row>
    <row r="1155" spans="1:2" x14ac:dyDescent="0.3">
      <c r="A1155" s="2">
        <v>184</v>
      </c>
      <c r="B1155">
        <v>205.44300000000001</v>
      </c>
    </row>
    <row r="1156" spans="1:2" x14ac:dyDescent="0.3">
      <c r="A1156" s="2">
        <v>314</v>
      </c>
      <c r="B1156">
        <v>205.40800000000002</v>
      </c>
    </row>
    <row r="1157" spans="1:2" x14ac:dyDescent="0.3">
      <c r="A1157" s="2">
        <v>109</v>
      </c>
      <c r="B1157">
        <v>204.87199999999999</v>
      </c>
    </row>
    <row r="1158" spans="1:2" x14ac:dyDescent="0.3">
      <c r="A1158" s="2">
        <v>349</v>
      </c>
      <c r="B1158">
        <v>198.14350000000002</v>
      </c>
    </row>
    <row r="1159" spans="1:2" x14ac:dyDescent="0.3">
      <c r="A1159" s="2">
        <v>390</v>
      </c>
      <c r="B1159">
        <v>194.34</v>
      </c>
    </row>
    <row r="1160" spans="1:2" x14ac:dyDescent="0.3">
      <c r="A1160" s="2">
        <v>347</v>
      </c>
      <c r="B1160">
        <v>194.02950000000001</v>
      </c>
    </row>
    <row r="1161" spans="1:2" x14ac:dyDescent="0.3">
      <c r="A1161" s="2">
        <v>403</v>
      </c>
      <c r="B1161">
        <v>194.02950000000001</v>
      </c>
    </row>
    <row r="1162" spans="1:2" x14ac:dyDescent="0.3">
      <c r="A1162" s="2">
        <v>607</v>
      </c>
      <c r="B1162">
        <v>186.48800000000003</v>
      </c>
    </row>
    <row r="1163" spans="1:2" x14ac:dyDescent="0.3">
      <c r="A1163" s="2">
        <v>238</v>
      </c>
      <c r="B1163">
        <v>184.851</v>
      </c>
    </row>
    <row r="1164" spans="1:2" x14ac:dyDescent="0.3">
      <c r="A1164" s="2">
        <v>107</v>
      </c>
      <c r="B1164">
        <v>182.61600000000001</v>
      </c>
    </row>
    <row r="1165" spans="1:2" x14ac:dyDescent="0.3">
      <c r="A1165" s="2">
        <v>719</v>
      </c>
      <c r="B1165">
        <v>175.12200000000001</v>
      </c>
    </row>
    <row r="1166" spans="1:2" x14ac:dyDescent="0.3">
      <c r="A1166" s="2">
        <v>326</v>
      </c>
      <c r="B1166">
        <v>174.90600000000001</v>
      </c>
    </row>
    <row r="1167" spans="1:2" x14ac:dyDescent="0.3">
      <c r="A1167" s="2">
        <v>309</v>
      </c>
      <c r="B1167">
        <v>167.416</v>
      </c>
    </row>
    <row r="1168" spans="1:2" x14ac:dyDescent="0.3">
      <c r="A1168" s="2">
        <v>556</v>
      </c>
      <c r="B1168">
        <v>165.393</v>
      </c>
    </row>
    <row r="1169" spans="1:2" x14ac:dyDescent="0.3">
      <c r="A1169" s="2">
        <v>172</v>
      </c>
      <c r="B1169">
        <v>155.47200000000001</v>
      </c>
    </row>
    <row r="1170" spans="1:2" x14ac:dyDescent="0.3">
      <c r="A1170" s="2">
        <v>106</v>
      </c>
      <c r="B1170">
        <v>153.8415</v>
      </c>
    </row>
    <row r="1171" spans="1:2" x14ac:dyDescent="0.3">
      <c r="A1171" s="2">
        <v>410</v>
      </c>
      <c r="B1171">
        <v>147.32599999999999</v>
      </c>
    </row>
    <row r="1172" spans="1:2" x14ac:dyDescent="0.3">
      <c r="A1172" s="2">
        <v>255</v>
      </c>
      <c r="B1172">
        <v>144.571</v>
      </c>
    </row>
    <row r="1173" spans="1:2" x14ac:dyDescent="0.3">
      <c r="A1173" s="2">
        <v>603</v>
      </c>
      <c r="B1173">
        <v>139.572</v>
      </c>
    </row>
    <row r="1174" spans="1:2" x14ac:dyDescent="0.3">
      <c r="A1174" s="2">
        <v>222</v>
      </c>
      <c r="B1174">
        <v>139.572</v>
      </c>
    </row>
    <row r="1175" spans="1:2" x14ac:dyDescent="0.3">
      <c r="A1175" s="2">
        <v>780</v>
      </c>
      <c r="B1175">
        <v>131.16649999999998</v>
      </c>
    </row>
    <row r="1176" spans="1:2" x14ac:dyDescent="0.3">
      <c r="A1176" s="2">
        <v>29</v>
      </c>
      <c r="B1176">
        <v>129.35300000000001</v>
      </c>
    </row>
    <row r="1177" spans="1:2" x14ac:dyDescent="0.3">
      <c r="A1177" s="2">
        <v>647</v>
      </c>
      <c r="B1177">
        <v>125.20049999999999</v>
      </c>
    </row>
    <row r="1178" spans="1:2" x14ac:dyDescent="0.3">
      <c r="A1178" s="2">
        <v>494</v>
      </c>
      <c r="B1178">
        <v>125.20049999999999</v>
      </c>
    </row>
    <row r="1179" spans="1:2" x14ac:dyDescent="0.3">
      <c r="A1179" s="2">
        <v>522</v>
      </c>
      <c r="B1179">
        <v>125.20049999999999</v>
      </c>
    </row>
    <row r="1180" spans="1:2" x14ac:dyDescent="0.3">
      <c r="A1180" s="2">
        <v>293</v>
      </c>
      <c r="B1180">
        <v>124.26299999999999</v>
      </c>
    </row>
    <row r="1181" spans="1:2" x14ac:dyDescent="0.3">
      <c r="A1181" s="2">
        <v>702</v>
      </c>
      <c r="B1181">
        <v>124.06400000000002</v>
      </c>
    </row>
    <row r="1182" spans="1:2" x14ac:dyDescent="0.3">
      <c r="A1182" s="2">
        <v>323</v>
      </c>
      <c r="B1182">
        <v>123.291</v>
      </c>
    </row>
    <row r="1183" spans="1:2" x14ac:dyDescent="0.3">
      <c r="A1183" s="2">
        <v>696</v>
      </c>
      <c r="B1183">
        <v>110.456</v>
      </c>
    </row>
    <row r="1184" spans="1:2" x14ac:dyDescent="0.3">
      <c r="A1184" s="2">
        <v>185</v>
      </c>
      <c r="B1184">
        <v>110.456</v>
      </c>
    </row>
    <row r="1185" spans="1:2" x14ac:dyDescent="0.3">
      <c r="A1185" s="2">
        <v>638</v>
      </c>
      <c r="B1185">
        <v>110.313</v>
      </c>
    </row>
    <row r="1186" spans="1:2" x14ac:dyDescent="0.3">
      <c r="A1186" s="2">
        <v>405</v>
      </c>
      <c r="B1186">
        <v>110.313</v>
      </c>
    </row>
    <row r="1187" spans="1:2" x14ac:dyDescent="0.3">
      <c r="A1187" s="2">
        <v>265</v>
      </c>
      <c r="B1187">
        <v>110.313</v>
      </c>
    </row>
    <row r="1188" spans="1:2" x14ac:dyDescent="0.3">
      <c r="A1188" s="2">
        <v>482</v>
      </c>
      <c r="B1188">
        <v>103.82400000000001</v>
      </c>
    </row>
    <row r="1189" spans="1:2" x14ac:dyDescent="0.3">
      <c r="A1189" s="2">
        <v>590</v>
      </c>
      <c r="B1189">
        <v>102.57600000000001</v>
      </c>
    </row>
    <row r="1190" spans="1:2" x14ac:dyDescent="0.3">
      <c r="A1190" s="2">
        <v>10</v>
      </c>
      <c r="B1190">
        <v>97.29</v>
      </c>
    </row>
    <row r="1191" spans="1:2" x14ac:dyDescent="0.3">
      <c r="A1191" s="2">
        <v>765</v>
      </c>
      <c r="B1191">
        <v>92.4255</v>
      </c>
    </row>
    <row r="1192" spans="1:2" x14ac:dyDescent="0.3">
      <c r="A1192" s="2">
        <v>456</v>
      </c>
      <c r="B1192">
        <v>82.6965</v>
      </c>
    </row>
    <row r="1193" spans="1:2" x14ac:dyDescent="0.3">
      <c r="A1193" s="2">
        <v>440</v>
      </c>
      <c r="B1193">
        <v>73.542000000000002</v>
      </c>
    </row>
    <row r="1194" spans="1:2" x14ac:dyDescent="0.3">
      <c r="A1194" s="2">
        <v>372</v>
      </c>
      <c r="B1194">
        <v>72.285499999999999</v>
      </c>
    </row>
    <row r="1195" spans="1:2" x14ac:dyDescent="0.3">
      <c r="A1195" s="2">
        <v>351</v>
      </c>
      <c r="B1195">
        <v>69.215999999999994</v>
      </c>
    </row>
    <row r="1196" spans="1:2" x14ac:dyDescent="0.3">
      <c r="A1196" s="2">
        <v>201</v>
      </c>
      <c r="B1196">
        <v>69.215999999999994</v>
      </c>
    </row>
    <row r="1197" spans="1:2" x14ac:dyDescent="0.3">
      <c r="A1197" s="2">
        <v>264</v>
      </c>
      <c r="B1197">
        <v>64.676500000000004</v>
      </c>
    </row>
    <row r="1198" spans="1:2" x14ac:dyDescent="0.3">
      <c r="A1198" s="2">
        <v>636</v>
      </c>
      <c r="B1198">
        <v>60.904499999999999</v>
      </c>
    </row>
    <row r="1199" spans="1:2" x14ac:dyDescent="0.3">
      <c r="A1199" s="2">
        <v>731</v>
      </c>
      <c r="B1199">
        <v>60.872000000000007</v>
      </c>
    </row>
    <row r="1200" spans="1:2" x14ac:dyDescent="0.3">
      <c r="A1200" s="2">
        <v>325</v>
      </c>
      <c r="B1200">
        <v>51.288000000000004</v>
      </c>
    </row>
    <row r="1201" spans="1:2" x14ac:dyDescent="0.3">
      <c r="A1201" s="2">
        <v>306</v>
      </c>
      <c r="B1201">
        <v>38.933999999999997</v>
      </c>
    </row>
    <row r="1202" spans="1:2" x14ac:dyDescent="0.3">
      <c r="A1202" s="2">
        <v>140</v>
      </c>
      <c r="B1202">
        <v>36.771000000000001</v>
      </c>
    </row>
    <row r="1203" spans="1:2" x14ac:dyDescent="0.3">
      <c r="A1203" s="2">
        <v>357</v>
      </c>
      <c r="B1203">
        <v>34.607999999999997</v>
      </c>
    </row>
    <row r="1204" spans="1:2" x14ac:dyDescent="0.3">
      <c r="A1204" s="2" t="s">
        <v>2256</v>
      </c>
      <c r="B1204">
        <v>2302133.9180000005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F54E-9BF1-4BD3-9E19-F1CB526019B7}">
  <dimension ref="A3:B9"/>
  <sheetViews>
    <sheetView workbookViewId="0">
      <selection activeCell="B4" sqref="B4"/>
    </sheetView>
  </sheetViews>
  <sheetFormatPr defaultRowHeight="14.4" x14ac:dyDescent="0.3"/>
  <cols>
    <col min="1" max="1" width="14" bestFit="1" customWidth="1"/>
    <col min="2" max="2" width="12.77734375" bestFit="1" customWidth="1"/>
  </cols>
  <sheetData>
    <row r="3" spans="1:2" x14ac:dyDescent="0.3">
      <c r="A3" s="1" t="s">
        <v>2255</v>
      </c>
      <c r="B3" t="s">
        <v>2280</v>
      </c>
    </row>
    <row r="4" spans="1:2" x14ac:dyDescent="0.3">
      <c r="A4" s="2" t="s">
        <v>2246</v>
      </c>
      <c r="B4">
        <v>251272.34999999998</v>
      </c>
    </row>
    <row r="5" spans="1:2" x14ac:dyDescent="0.3">
      <c r="A5" s="2" t="s">
        <v>2247</v>
      </c>
      <c r="B5">
        <v>249366.09000000003</v>
      </c>
    </row>
    <row r="6" spans="1:2" x14ac:dyDescent="0.3">
      <c r="A6" s="2" t="s">
        <v>2248</v>
      </c>
      <c r="B6">
        <v>244776.57</v>
      </c>
    </row>
    <row r="7" spans="1:2" x14ac:dyDescent="0.3">
      <c r="A7" s="2" t="s">
        <v>2249</v>
      </c>
      <c r="B7">
        <v>243503.49000000005</v>
      </c>
    </row>
    <row r="8" spans="1:2" x14ac:dyDescent="0.3">
      <c r="A8" s="2" t="s">
        <v>2245</v>
      </c>
      <c r="B8">
        <v>158319.47000000003</v>
      </c>
    </row>
    <row r="9" spans="1:2" x14ac:dyDescent="0.3">
      <c r="A9" s="2" t="s">
        <v>2256</v>
      </c>
      <c r="B9">
        <v>1147237.97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Products</vt:lpstr>
      <vt:lpstr>Orders</vt:lpstr>
      <vt:lpstr>Marketing</vt:lpstr>
      <vt:lpstr>Metrics</vt:lpstr>
      <vt:lpstr>Pivot1</vt:lpstr>
      <vt:lpstr>Pivot2</vt:lpstr>
      <vt:lpstr>Pivot3</vt:lpstr>
      <vt:lpstr>Pivot4</vt:lpstr>
      <vt:lpstr>Pivot5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abhogam7@gmail.com</cp:lastModifiedBy>
  <dcterms:created xsi:type="dcterms:W3CDTF">2026-04-21T17:40:35Z</dcterms:created>
  <dcterms:modified xsi:type="dcterms:W3CDTF">2026-04-23T02:10:33Z</dcterms:modified>
</cp:coreProperties>
</file>